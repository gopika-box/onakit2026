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VYMA\ONAKIT\"/>
    </mc:Choice>
  </mc:AlternateContent>
  <bookViews>
    <workbookView xWindow="0" yWindow="0" windowWidth="20490" windowHeight="9135" tabRatio="779" firstSheet="3" activeTab="8"/>
  </bookViews>
  <sheets>
    <sheet name="Dashboard" sheetId="1" r:id="rId1"/>
    <sheet name="Master Sheet" sheetId="2" r:id="rId2"/>
    <sheet name="Area 1 (Meenu S)" sheetId="3" r:id="rId3"/>
    <sheet name="Area 2 (Viswakala S)" sheetId="4" r:id="rId4"/>
    <sheet name="Area 3 (Saranya R)" sheetId="5" r:id="rId5"/>
    <sheet name="Area 4 (Anitha R)" sheetId="6" r:id="rId6"/>
    <sheet name="Area 5 (Renuka A)" sheetId="7" r:id="rId7"/>
    <sheet name="Area 6 (Anitha P)" sheetId="8" r:id="rId8"/>
    <sheet name="Area 7 (Anu R)" sheetId="9" r:id="rId9"/>
    <sheet name="P001" sheetId="10" r:id="rId10"/>
    <sheet name="P002" sheetId="11" r:id="rId11"/>
    <sheet name="P003" sheetId="12" r:id="rId12"/>
    <sheet name="P004" sheetId="13" r:id="rId13"/>
    <sheet name="P005" sheetId="14" r:id="rId14"/>
    <sheet name="P006" sheetId="15" r:id="rId15"/>
    <sheet name="P007" sheetId="16" r:id="rId16"/>
    <sheet name="P008" sheetId="17" r:id="rId17"/>
    <sheet name="P009" sheetId="18" r:id="rId18"/>
    <sheet name="P010" sheetId="19" r:id="rId19"/>
    <sheet name="P011" sheetId="20" r:id="rId20"/>
    <sheet name="P012" sheetId="21" r:id="rId21"/>
    <sheet name="P013" sheetId="22" r:id="rId22"/>
    <sheet name="P014" sheetId="23" r:id="rId23"/>
    <sheet name="P015" sheetId="24" r:id="rId24"/>
    <sheet name="P016" sheetId="25" r:id="rId25"/>
    <sheet name="P017" sheetId="26" r:id="rId26"/>
    <sheet name="P018" sheetId="27" r:id="rId27"/>
    <sheet name="P019" sheetId="28" r:id="rId28"/>
    <sheet name="P020" sheetId="29" r:id="rId29"/>
    <sheet name="P021" sheetId="30" r:id="rId30"/>
    <sheet name="P022" sheetId="31" r:id="rId31"/>
    <sheet name="P023" sheetId="32" r:id="rId32"/>
    <sheet name="P024" sheetId="33" r:id="rId33"/>
    <sheet name="P025" sheetId="34" r:id="rId34"/>
    <sheet name="P026" sheetId="35" r:id="rId35"/>
    <sheet name="P027" sheetId="36" r:id="rId36"/>
    <sheet name="P028" sheetId="37" r:id="rId37"/>
    <sheet name="P029" sheetId="38" r:id="rId38"/>
    <sheet name="P030" sheetId="39" r:id="rId39"/>
    <sheet name="P031" sheetId="40" r:id="rId40"/>
    <sheet name="P032" sheetId="41" r:id="rId41"/>
    <sheet name="P033" sheetId="42" r:id="rId42"/>
    <sheet name="P034" sheetId="43" r:id="rId43"/>
    <sheet name="P035" sheetId="44" r:id="rId44"/>
    <sheet name="P036" sheetId="45" r:id="rId45"/>
    <sheet name="P037" sheetId="46" r:id="rId46"/>
    <sheet name="P038" sheetId="47" r:id="rId47"/>
    <sheet name="P039" sheetId="48" r:id="rId48"/>
    <sheet name="P040" sheetId="49" r:id="rId49"/>
    <sheet name="P041" sheetId="50" r:id="rId50"/>
    <sheet name="P042" sheetId="51" r:id="rId51"/>
    <sheet name="P043" sheetId="52" r:id="rId52"/>
    <sheet name="P044" sheetId="53" r:id="rId53"/>
    <sheet name="P045" sheetId="54" r:id="rId54"/>
    <sheet name="P046" sheetId="55" r:id="rId55"/>
    <sheet name="P047" sheetId="56" r:id="rId56"/>
    <sheet name="P048" sheetId="57" r:id="rId57"/>
    <sheet name="P049" sheetId="58" r:id="rId58"/>
    <sheet name="P050" sheetId="59" r:id="rId59"/>
    <sheet name="P051" sheetId="60" r:id="rId60"/>
    <sheet name="P052" sheetId="61" r:id="rId61"/>
    <sheet name="P053" sheetId="62" r:id="rId62"/>
    <sheet name="P054" sheetId="63" r:id="rId63"/>
    <sheet name="P055" sheetId="64" r:id="rId64"/>
    <sheet name="P056" sheetId="65" r:id="rId65"/>
    <sheet name="P057" sheetId="66" r:id="rId66"/>
    <sheet name="P058" sheetId="67" r:id="rId67"/>
    <sheet name="P059" sheetId="68" r:id="rId68"/>
    <sheet name="P060" sheetId="69" r:id="rId69"/>
    <sheet name="P061" sheetId="70" r:id="rId70"/>
    <sheet name="P062" sheetId="71" r:id="rId71"/>
    <sheet name="P063" sheetId="72" r:id="rId72"/>
    <sheet name="P064" sheetId="73" r:id="rId73"/>
    <sheet name="P065" sheetId="74" r:id="rId74"/>
    <sheet name="P066" sheetId="75" r:id="rId75"/>
    <sheet name="P067" sheetId="76" r:id="rId76"/>
    <sheet name="P068" sheetId="160" r:id="rId77"/>
    <sheet name="P069" sheetId="77" r:id="rId78"/>
    <sheet name="P070" sheetId="78" r:id="rId79"/>
    <sheet name="P071" sheetId="79" r:id="rId80"/>
    <sheet name="P072" sheetId="80" r:id="rId81"/>
    <sheet name="P073" sheetId="81" r:id="rId82"/>
    <sheet name="P074" sheetId="82" r:id="rId83"/>
    <sheet name="P075" sheetId="83" r:id="rId84"/>
    <sheet name="P076" sheetId="84" r:id="rId85"/>
    <sheet name="P077" sheetId="85" r:id="rId86"/>
    <sheet name="P078" sheetId="86" r:id="rId87"/>
    <sheet name="P079" sheetId="87" r:id="rId88"/>
    <sheet name="P080" sheetId="88" r:id="rId89"/>
    <sheet name="P081" sheetId="89" r:id="rId90"/>
    <sheet name="P082" sheetId="90" r:id="rId91"/>
    <sheet name="P083" sheetId="91" r:id="rId92"/>
    <sheet name="P084" sheetId="92" r:id="rId93"/>
    <sheet name="P085" sheetId="93" r:id="rId94"/>
    <sheet name="P086" sheetId="94" r:id="rId95"/>
    <sheet name="P087" sheetId="95" r:id="rId96"/>
    <sheet name="P088" sheetId="96" r:id="rId97"/>
    <sheet name="P089" sheetId="97" r:id="rId98"/>
    <sheet name="P090" sheetId="98" r:id="rId99"/>
    <sheet name="P091" sheetId="99" r:id="rId100"/>
    <sheet name="P092" sheetId="100" r:id="rId101"/>
    <sheet name="P093" sheetId="101" r:id="rId102"/>
    <sheet name="P094" sheetId="102" r:id="rId103"/>
    <sheet name="P095" sheetId="103" r:id="rId104"/>
    <sheet name="P096" sheetId="104" r:id="rId105"/>
    <sheet name="P097" sheetId="105" r:id="rId106"/>
    <sheet name="P098" sheetId="106" r:id="rId107"/>
    <sheet name="P099" sheetId="107" r:id="rId108"/>
    <sheet name="P100" sheetId="108" r:id="rId109"/>
    <sheet name="P101" sheetId="109" r:id="rId110"/>
    <sheet name="P102" sheetId="110" r:id="rId111"/>
    <sheet name="P103" sheetId="111" r:id="rId112"/>
    <sheet name="P104" sheetId="112" r:id="rId113"/>
    <sheet name="P105" sheetId="113" r:id="rId114"/>
    <sheet name="P106" sheetId="114" r:id="rId115"/>
    <sheet name="P107" sheetId="115" r:id="rId116"/>
    <sheet name="P108" sheetId="116" r:id="rId117"/>
    <sheet name="P109" sheetId="117" r:id="rId118"/>
    <sheet name="P110" sheetId="118" r:id="rId119"/>
    <sheet name="P111" sheetId="119" r:id="rId120"/>
    <sheet name="P112" sheetId="120" r:id="rId121"/>
    <sheet name="P113" sheetId="121" r:id="rId122"/>
    <sheet name="P114" sheetId="122" r:id="rId123"/>
    <sheet name="P115" sheetId="123" r:id="rId124"/>
    <sheet name="P116" sheetId="124" r:id="rId125"/>
    <sheet name="P117" sheetId="125" r:id="rId126"/>
    <sheet name="P118" sheetId="126" r:id="rId127"/>
    <sheet name="P119" sheetId="127" r:id="rId128"/>
    <sheet name="P120" sheetId="128" r:id="rId129"/>
    <sheet name="P121" sheetId="129" r:id="rId130"/>
    <sheet name="P122" sheetId="130" r:id="rId131"/>
    <sheet name="P123" sheetId="131" r:id="rId132"/>
    <sheet name="P124" sheetId="132" r:id="rId133"/>
    <sheet name="P125" sheetId="133" r:id="rId134"/>
    <sheet name="P126" sheetId="134" r:id="rId135"/>
    <sheet name="P127" sheetId="135" r:id="rId136"/>
    <sheet name="P128" sheetId="136" r:id="rId137"/>
    <sheet name="P129" sheetId="137" r:id="rId138"/>
    <sheet name="P130" sheetId="138" r:id="rId139"/>
    <sheet name="P131" sheetId="139" r:id="rId140"/>
    <sheet name="P132" sheetId="140" r:id="rId141"/>
    <sheet name="P133" sheetId="141" r:id="rId142"/>
    <sheet name="P134" sheetId="142" r:id="rId143"/>
    <sheet name="P135" sheetId="143" r:id="rId144"/>
    <sheet name="P136" sheetId="144" r:id="rId145"/>
    <sheet name="P137" sheetId="145" r:id="rId146"/>
    <sheet name="P138" sheetId="146" r:id="rId147"/>
    <sheet name="P139" sheetId="147" r:id="rId148"/>
    <sheet name="P140" sheetId="148" r:id="rId149"/>
    <sheet name="P141" sheetId="149" r:id="rId150"/>
    <sheet name="P142" sheetId="150" r:id="rId151"/>
    <sheet name="P143" sheetId="151" r:id="rId152"/>
    <sheet name="P144" sheetId="152" r:id="rId153"/>
    <sheet name="P145" sheetId="153" r:id="rId154"/>
    <sheet name="P146" sheetId="154" r:id="rId155"/>
    <sheet name="P147" sheetId="155" r:id="rId156"/>
    <sheet name="P148" sheetId="156" r:id="rId157"/>
    <sheet name="P149" sheetId="157" r:id="rId158"/>
    <sheet name="P150" sheetId="158" r:id="rId159"/>
    <sheet name="P151" sheetId="159" r:id="rId160"/>
  </sheets>
  <definedNames>
    <definedName name="_xlnm._FilterDatabase" localSheetId="2" hidden="1">'Area 1 (Meenu S)'!$A$1:$P$151</definedName>
    <definedName name="_xlnm._FilterDatabase" localSheetId="3" hidden="1">'Area 2 (Viswakala S)'!$A$1:$A$151</definedName>
    <definedName name="_xlnm._FilterDatabase" localSheetId="4" hidden="1">'Area 3 (Saranya R)'!$A$1:$P$151</definedName>
    <definedName name="_xlnm._FilterDatabase" localSheetId="5" hidden="1">'Area 4 (Anitha R)'!$A$1:$P$151</definedName>
    <definedName name="_xlnm._FilterDatabase" localSheetId="6" hidden="1">'Area 5 (Renuka A)'!$A$1:$P$151</definedName>
    <definedName name="_xlnm._FilterDatabase" localSheetId="7" hidden="1">'Area 6 (Anitha P)'!$A$1:$P$151</definedName>
    <definedName name="_xlnm._FilterDatabase" localSheetId="8" hidden="1">'Area 7 (Anu R)'!$A$1:$P$151</definedName>
    <definedName name="_xlnm.Print_Area" localSheetId="2">'Area 1 (Meenu S)'!$A$1:$O$152</definedName>
    <definedName name="_xlnm.Print_Area" localSheetId="3">'Area 2 (Viswakala S)'!$A$1:$O$152</definedName>
    <definedName name="_xlnm.Print_Area" localSheetId="4">'Area 3 (Saranya R)'!$A$1:$O$152</definedName>
    <definedName name="_xlnm.Print_Area" localSheetId="5">'Area 4 (Anitha R)'!$A$1:$O$152</definedName>
    <definedName name="_xlnm.Print_Area" localSheetId="6">'Area 5 (Renuka A)'!$A$1:$O$152</definedName>
    <definedName name="_xlnm.Print_Area" localSheetId="7">'Area 6 (Anitha P)'!$A$1:$O$152</definedName>
    <definedName name="_xlnm.Print_Area" localSheetId="8">'Area 7 (Anu R)'!$A$1:$O$152</definedName>
    <definedName name="_xlnm.Print_Area" localSheetId="1">'Master Sheet'!$A$1:$P$152</definedName>
    <definedName name="_xlnm.Print_Titles" localSheetId="8">'Area 7 (Anu R)'!$1:$1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60" l="1"/>
  <c r="B13" i="160"/>
  <c r="B12" i="160"/>
  <c r="B11" i="160"/>
  <c r="B10" i="160"/>
  <c r="B9" i="160"/>
  <c r="B8" i="160"/>
  <c r="B7" i="160"/>
  <c r="B6" i="160"/>
  <c r="B5" i="160"/>
  <c r="B4" i="160"/>
  <c r="A151" i="5"/>
  <c r="B151" i="5"/>
  <c r="A68" i="5"/>
  <c r="B14" i="160" l="1"/>
  <c r="B15" i="160" s="1"/>
  <c r="B13" i="159" l="1"/>
  <c r="B12" i="159"/>
  <c r="B11" i="159"/>
  <c r="B10" i="159"/>
  <c r="B9" i="159"/>
  <c r="B8" i="159"/>
  <c r="B7" i="159"/>
  <c r="B6" i="159"/>
  <c r="B5" i="159"/>
  <c r="B4" i="159"/>
  <c r="B2" i="159"/>
  <c r="B13" i="158"/>
  <c r="B12" i="158"/>
  <c r="B11" i="158"/>
  <c r="B10" i="158"/>
  <c r="B9" i="158"/>
  <c r="B8" i="158"/>
  <c r="B7" i="158"/>
  <c r="B6" i="158"/>
  <c r="B5" i="158"/>
  <c r="B4" i="158"/>
  <c r="B2" i="158"/>
  <c r="B13" i="157"/>
  <c r="B12" i="157"/>
  <c r="B11" i="157"/>
  <c r="B10" i="157"/>
  <c r="B9" i="157"/>
  <c r="B8" i="157"/>
  <c r="B7" i="157"/>
  <c r="B6" i="157"/>
  <c r="B5" i="157"/>
  <c r="B4" i="157"/>
  <c r="B14" i="157" s="1"/>
  <c r="B15" i="157" s="1"/>
  <c r="B2" i="157"/>
  <c r="B13" i="156"/>
  <c r="B12" i="156"/>
  <c r="B11" i="156"/>
  <c r="B10" i="156"/>
  <c r="B9" i="156"/>
  <c r="B8" i="156"/>
  <c r="B7" i="156"/>
  <c r="B6" i="156"/>
  <c r="B5" i="156"/>
  <c r="B4" i="156"/>
  <c r="B2" i="156"/>
  <c r="B13" i="155"/>
  <c r="B12" i="155"/>
  <c r="B11" i="155"/>
  <c r="B10" i="155"/>
  <c r="B9" i="155"/>
  <c r="B8" i="155"/>
  <c r="B7" i="155"/>
  <c r="B6" i="155"/>
  <c r="B5" i="155"/>
  <c r="B4" i="155"/>
  <c r="B2" i="155"/>
  <c r="B13" i="154"/>
  <c r="B12" i="154"/>
  <c r="B11" i="154"/>
  <c r="B10" i="154"/>
  <c r="B9" i="154"/>
  <c r="B8" i="154"/>
  <c r="B7" i="154"/>
  <c r="B6" i="154"/>
  <c r="B5" i="154"/>
  <c r="B4" i="154"/>
  <c r="B2" i="154"/>
  <c r="B13" i="153"/>
  <c r="B12" i="153"/>
  <c r="B11" i="153"/>
  <c r="B10" i="153"/>
  <c r="B9" i="153"/>
  <c r="B8" i="153"/>
  <c r="B7" i="153"/>
  <c r="B6" i="153"/>
  <c r="B5" i="153"/>
  <c r="B4" i="153"/>
  <c r="B14" i="153" s="1"/>
  <c r="B15" i="153" s="1"/>
  <c r="B2" i="153"/>
  <c r="B13" i="152"/>
  <c r="B12" i="152"/>
  <c r="B11" i="152"/>
  <c r="B10" i="152"/>
  <c r="B9" i="152"/>
  <c r="B8" i="152"/>
  <c r="B7" i="152"/>
  <c r="B6" i="152"/>
  <c r="B5" i="152"/>
  <c r="B4" i="152"/>
  <c r="B2" i="152"/>
  <c r="B13" i="151"/>
  <c r="B12" i="151"/>
  <c r="B11" i="151"/>
  <c r="B10" i="151"/>
  <c r="B9" i="151"/>
  <c r="B8" i="151"/>
  <c r="B7" i="151"/>
  <c r="B6" i="151"/>
  <c r="B5" i="151"/>
  <c r="B4" i="151"/>
  <c r="B2" i="151"/>
  <c r="B13" i="150"/>
  <c r="B12" i="150"/>
  <c r="B11" i="150"/>
  <c r="B10" i="150"/>
  <c r="B9" i="150"/>
  <c r="B8" i="150"/>
  <c r="B7" i="150"/>
  <c r="B6" i="150"/>
  <c r="B5" i="150"/>
  <c r="B4" i="150"/>
  <c r="B2" i="150"/>
  <c r="B13" i="149"/>
  <c r="B12" i="149"/>
  <c r="B11" i="149"/>
  <c r="B10" i="149"/>
  <c r="B9" i="149"/>
  <c r="B8" i="149"/>
  <c r="B7" i="149"/>
  <c r="B6" i="149"/>
  <c r="B5" i="149"/>
  <c r="B4" i="149"/>
  <c r="B2" i="149"/>
  <c r="B13" i="148"/>
  <c r="B12" i="148"/>
  <c r="B11" i="148"/>
  <c r="B10" i="148"/>
  <c r="B9" i="148"/>
  <c r="B8" i="148"/>
  <c r="B7" i="148"/>
  <c r="B6" i="148"/>
  <c r="B5" i="148"/>
  <c r="B4" i="148"/>
  <c r="B2" i="148"/>
  <c r="B13" i="147"/>
  <c r="B12" i="147"/>
  <c r="B11" i="147"/>
  <c r="B10" i="147"/>
  <c r="B9" i="147"/>
  <c r="B8" i="147"/>
  <c r="B7" i="147"/>
  <c r="B6" i="147"/>
  <c r="B5" i="147"/>
  <c r="B4" i="147"/>
  <c r="B2" i="147"/>
  <c r="B13" i="146"/>
  <c r="B12" i="146"/>
  <c r="B11" i="146"/>
  <c r="B10" i="146"/>
  <c r="B9" i="146"/>
  <c r="B8" i="146"/>
  <c r="B7" i="146"/>
  <c r="B6" i="146"/>
  <c r="B5" i="146"/>
  <c r="B14" i="146" s="1"/>
  <c r="B15" i="146" s="1"/>
  <c r="B4" i="146"/>
  <c r="B2" i="146"/>
  <c r="B13" i="145"/>
  <c r="B12" i="145"/>
  <c r="B11" i="145"/>
  <c r="B10" i="145"/>
  <c r="B9" i="145"/>
  <c r="B8" i="145"/>
  <c r="B7" i="145"/>
  <c r="B6" i="145"/>
  <c r="B5" i="145"/>
  <c r="B4" i="145"/>
  <c r="B2" i="145"/>
  <c r="B13" i="144"/>
  <c r="B12" i="144"/>
  <c r="B11" i="144"/>
  <c r="B10" i="144"/>
  <c r="B9" i="144"/>
  <c r="B8" i="144"/>
  <c r="B7" i="144"/>
  <c r="B6" i="144"/>
  <c r="B5" i="144"/>
  <c r="B4" i="144"/>
  <c r="B2" i="144"/>
  <c r="B13" i="143"/>
  <c r="B12" i="143"/>
  <c r="B11" i="143"/>
  <c r="B10" i="143"/>
  <c r="B9" i="143"/>
  <c r="B8" i="143"/>
  <c r="B7" i="143"/>
  <c r="B6" i="143"/>
  <c r="B5" i="143"/>
  <c r="B4" i="143"/>
  <c r="B2" i="143"/>
  <c r="B13" i="142"/>
  <c r="B12" i="142"/>
  <c r="B11" i="142"/>
  <c r="B10" i="142"/>
  <c r="B9" i="142"/>
  <c r="B8" i="142"/>
  <c r="B7" i="142"/>
  <c r="B6" i="142"/>
  <c r="B5" i="142"/>
  <c r="B4" i="142"/>
  <c r="B2" i="142"/>
  <c r="B13" i="141"/>
  <c r="B12" i="141"/>
  <c r="B11" i="141"/>
  <c r="B10" i="141"/>
  <c r="B9" i="141"/>
  <c r="B8" i="141"/>
  <c r="B7" i="141"/>
  <c r="B6" i="141"/>
  <c r="B5" i="141"/>
  <c r="B4" i="141"/>
  <c r="B2" i="141"/>
  <c r="B13" i="140"/>
  <c r="B12" i="140"/>
  <c r="B11" i="140"/>
  <c r="B10" i="140"/>
  <c r="B9" i="140"/>
  <c r="B8" i="140"/>
  <c r="B7" i="140"/>
  <c r="B6" i="140"/>
  <c r="B5" i="140"/>
  <c r="B4" i="140"/>
  <c r="B2" i="140"/>
  <c r="B13" i="139"/>
  <c r="B12" i="139"/>
  <c r="B11" i="139"/>
  <c r="B10" i="139"/>
  <c r="B9" i="139"/>
  <c r="B8" i="139"/>
  <c r="B7" i="139"/>
  <c r="B6" i="139"/>
  <c r="B5" i="139"/>
  <c r="B4" i="139"/>
  <c r="B2" i="139"/>
  <c r="B13" i="138"/>
  <c r="B12" i="138"/>
  <c r="B11" i="138"/>
  <c r="B10" i="138"/>
  <c r="B9" i="138"/>
  <c r="B8" i="138"/>
  <c r="B7" i="138"/>
  <c r="B6" i="138"/>
  <c r="B5" i="138"/>
  <c r="B4" i="138"/>
  <c r="B2" i="138"/>
  <c r="B13" i="137"/>
  <c r="B12" i="137"/>
  <c r="B11" i="137"/>
  <c r="B10" i="137"/>
  <c r="B9" i="137"/>
  <c r="B8" i="137"/>
  <c r="B7" i="137"/>
  <c r="B6" i="137"/>
  <c r="B5" i="137"/>
  <c r="B4" i="137"/>
  <c r="B2" i="137"/>
  <c r="B13" i="136"/>
  <c r="B12" i="136"/>
  <c r="B11" i="136"/>
  <c r="B10" i="136"/>
  <c r="B9" i="136"/>
  <c r="B8" i="136"/>
  <c r="B7" i="136"/>
  <c r="B6" i="136"/>
  <c r="B5" i="136"/>
  <c r="B4" i="136"/>
  <c r="B2" i="136"/>
  <c r="B13" i="135"/>
  <c r="B12" i="135"/>
  <c r="B11" i="135"/>
  <c r="B10" i="135"/>
  <c r="B9" i="135"/>
  <c r="B8" i="135"/>
  <c r="B7" i="135"/>
  <c r="B6" i="135"/>
  <c r="B5" i="135"/>
  <c r="B4" i="135"/>
  <c r="B2" i="135"/>
  <c r="B13" i="134"/>
  <c r="B12" i="134"/>
  <c r="B11" i="134"/>
  <c r="B10" i="134"/>
  <c r="B9" i="134"/>
  <c r="B8" i="134"/>
  <c r="B7" i="134"/>
  <c r="B6" i="134"/>
  <c r="B5" i="134"/>
  <c r="B4" i="134"/>
  <c r="B2" i="134"/>
  <c r="B13" i="133"/>
  <c r="B12" i="133"/>
  <c r="B11" i="133"/>
  <c r="B10" i="133"/>
  <c r="B9" i="133"/>
  <c r="B8" i="133"/>
  <c r="B7" i="133"/>
  <c r="B6" i="133"/>
  <c r="B5" i="133"/>
  <c r="B4" i="133"/>
  <c r="B2" i="133"/>
  <c r="B13" i="132"/>
  <c r="B12" i="132"/>
  <c r="B11" i="132"/>
  <c r="B10" i="132"/>
  <c r="B9" i="132"/>
  <c r="B8" i="132"/>
  <c r="B7" i="132"/>
  <c r="B6" i="132"/>
  <c r="B5" i="132"/>
  <c r="B4" i="132"/>
  <c r="B2" i="132"/>
  <c r="B13" i="131"/>
  <c r="B12" i="131"/>
  <c r="B11" i="131"/>
  <c r="B10" i="131"/>
  <c r="B9" i="131"/>
  <c r="B8" i="131"/>
  <c r="B7" i="131"/>
  <c r="B6" i="131"/>
  <c r="B5" i="131"/>
  <c r="B4" i="131"/>
  <c r="B2" i="131"/>
  <c r="B13" i="130"/>
  <c r="B12" i="130"/>
  <c r="B11" i="130"/>
  <c r="B10" i="130"/>
  <c r="B9" i="130"/>
  <c r="B8" i="130"/>
  <c r="B7" i="130"/>
  <c r="B6" i="130"/>
  <c r="B5" i="130"/>
  <c r="B4" i="130"/>
  <c r="B2" i="130"/>
  <c r="B13" i="129"/>
  <c r="B12" i="129"/>
  <c r="B11" i="129"/>
  <c r="B10" i="129"/>
  <c r="B9" i="129"/>
  <c r="B8" i="129"/>
  <c r="B7" i="129"/>
  <c r="B6" i="129"/>
  <c r="B5" i="129"/>
  <c r="B4" i="129"/>
  <c r="B2" i="129"/>
  <c r="B13" i="128"/>
  <c r="B12" i="128"/>
  <c r="B11" i="128"/>
  <c r="B10" i="128"/>
  <c r="B9" i="128"/>
  <c r="B8" i="128"/>
  <c r="B7" i="128"/>
  <c r="B6" i="128"/>
  <c r="B5" i="128"/>
  <c r="B4" i="128"/>
  <c r="B2" i="128"/>
  <c r="B13" i="127"/>
  <c r="B12" i="127"/>
  <c r="B11" i="127"/>
  <c r="B10" i="127"/>
  <c r="B9" i="127"/>
  <c r="B8" i="127"/>
  <c r="B7" i="127"/>
  <c r="B6" i="127"/>
  <c r="B5" i="127"/>
  <c r="B4" i="127"/>
  <c r="B2" i="127"/>
  <c r="B13" i="126"/>
  <c r="B12" i="126"/>
  <c r="B11" i="126"/>
  <c r="B10" i="126"/>
  <c r="B9" i="126"/>
  <c r="B8" i="126"/>
  <c r="B7" i="126"/>
  <c r="B6" i="126"/>
  <c r="B5" i="126"/>
  <c r="B4" i="126"/>
  <c r="B2" i="126"/>
  <c r="B13" i="125"/>
  <c r="B12" i="125"/>
  <c r="B11" i="125"/>
  <c r="B10" i="125"/>
  <c r="B9" i="125"/>
  <c r="B8" i="125"/>
  <c r="B7" i="125"/>
  <c r="B6" i="125"/>
  <c r="B5" i="125"/>
  <c r="B4" i="125"/>
  <c r="B2" i="125"/>
  <c r="B13" i="124"/>
  <c r="B12" i="124"/>
  <c r="B11" i="124"/>
  <c r="B10" i="124"/>
  <c r="B9" i="124"/>
  <c r="B8" i="124"/>
  <c r="B7" i="124"/>
  <c r="B6" i="124"/>
  <c r="B5" i="124"/>
  <c r="B4" i="124"/>
  <c r="B2" i="124"/>
  <c r="B13" i="123"/>
  <c r="B12" i="123"/>
  <c r="B11" i="123"/>
  <c r="B10" i="123"/>
  <c r="B9" i="123"/>
  <c r="B8" i="123"/>
  <c r="B7" i="123"/>
  <c r="B6" i="123"/>
  <c r="B5" i="123"/>
  <c r="B4" i="123"/>
  <c r="B2" i="123"/>
  <c r="B13" i="122"/>
  <c r="B12" i="122"/>
  <c r="B11" i="122"/>
  <c r="B10" i="122"/>
  <c r="B9" i="122"/>
  <c r="B8" i="122"/>
  <c r="B7" i="122"/>
  <c r="B6" i="122"/>
  <c r="B5" i="122"/>
  <c r="B4" i="122"/>
  <c r="B2" i="122"/>
  <c r="B13" i="121"/>
  <c r="B12" i="121"/>
  <c r="B11" i="121"/>
  <c r="B10" i="121"/>
  <c r="B9" i="121"/>
  <c r="B8" i="121"/>
  <c r="B7" i="121"/>
  <c r="B6" i="121"/>
  <c r="B5" i="121"/>
  <c r="B4" i="121"/>
  <c r="B2" i="121"/>
  <c r="B13" i="120"/>
  <c r="B12" i="120"/>
  <c r="B11" i="120"/>
  <c r="B10" i="120"/>
  <c r="B9" i="120"/>
  <c r="B8" i="120"/>
  <c r="B7" i="120"/>
  <c r="B6" i="120"/>
  <c r="B5" i="120"/>
  <c r="B4" i="120"/>
  <c r="B2" i="120"/>
  <c r="B13" i="119"/>
  <c r="B12" i="119"/>
  <c r="B11" i="119"/>
  <c r="B10" i="119"/>
  <c r="B9" i="119"/>
  <c r="B8" i="119"/>
  <c r="B7" i="119"/>
  <c r="B6" i="119"/>
  <c r="B5" i="119"/>
  <c r="B4" i="119"/>
  <c r="B2" i="119"/>
  <c r="B13" i="118"/>
  <c r="B12" i="118"/>
  <c r="B11" i="118"/>
  <c r="B10" i="118"/>
  <c r="B9" i="118"/>
  <c r="B8" i="118"/>
  <c r="B7" i="118"/>
  <c r="B6" i="118"/>
  <c r="B5" i="118"/>
  <c r="B4" i="118"/>
  <c r="B2" i="118"/>
  <c r="B13" i="117"/>
  <c r="B12" i="117"/>
  <c r="B11" i="117"/>
  <c r="B10" i="117"/>
  <c r="B9" i="117"/>
  <c r="B8" i="117"/>
  <c r="B7" i="117"/>
  <c r="B6" i="117"/>
  <c r="B5" i="117"/>
  <c r="B4" i="117"/>
  <c r="B2" i="117"/>
  <c r="B13" i="116"/>
  <c r="B12" i="116"/>
  <c r="B11" i="116"/>
  <c r="B10" i="116"/>
  <c r="B9" i="116"/>
  <c r="B8" i="116"/>
  <c r="B7" i="116"/>
  <c r="B6" i="116"/>
  <c r="B5" i="116"/>
  <c r="B4" i="116"/>
  <c r="B14" i="116" s="1"/>
  <c r="B15" i="116" s="1"/>
  <c r="B2" i="116"/>
  <c r="B13" i="115"/>
  <c r="B12" i="115"/>
  <c r="B11" i="115"/>
  <c r="B10" i="115"/>
  <c r="B9" i="115"/>
  <c r="B8" i="115"/>
  <c r="B7" i="115"/>
  <c r="B6" i="115"/>
  <c r="B5" i="115"/>
  <c r="B4" i="115"/>
  <c r="B2" i="115"/>
  <c r="B13" i="114"/>
  <c r="B12" i="114"/>
  <c r="B11" i="114"/>
  <c r="B10" i="114"/>
  <c r="B9" i="114"/>
  <c r="B8" i="114"/>
  <c r="B7" i="114"/>
  <c r="B6" i="114"/>
  <c r="B5" i="114"/>
  <c r="B4" i="114"/>
  <c r="B2" i="114"/>
  <c r="B13" i="113"/>
  <c r="B12" i="113"/>
  <c r="B11" i="113"/>
  <c r="B10" i="113"/>
  <c r="B9" i="113"/>
  <c r="B8" i="113"/>
  <c r="B7" i="113"/>
  <c r="B6" i="113"/>
  <c r="B5" i="113"/>
  <c r="B4" i="113"/>
  <c r="B2" i="113"/>
  <c r="B13" i="112"/>
  <c r="B12" i="112"/>
  <c r="B11" i="112"/>
  <c r="B10" i="112"/>
  <c r="B9" i="112"/>
  <c r="B8" i="112"/>
  <c r="B7" i="112"/>
  <c r="B6" i="112"/>
  <c r="B5" i="112"/>
  <c r="B4" i="112"/>
  <c r="B2" i="112"/>
  <c r="B13" i="111"/>
  <c r="B12" i="111"/>
  <c r="B11" i="111"/>
  <c r="B10" i="111"/>
  <c r="B9" i="111"/>
  <c r="B8" i="111"/>
  <c r="B7" i="111"/>
  <c r="B6" i="111"/>
  <c r="B5" i="111"/>
  <c r="B4" i="111"/>
  <c r="B2" i="111"/>
  <c r="B13" i="110"/>
  <c r="B12" i="110"/>
  <c r="B11" i="110"/>
  <c r="B10" i="110"/>
  <c r="B9" i="110"/>
  <c r="B8" i="110"/>
  <c r="B7" i="110"/>
  <c r="B6" i="110"/>
  <c r="B5" i="110"/>
  <c r="B4" i="110"/>
  <c r="B2" i="110"/>
  <c r="B13" i="109"/>
  <c r="B12" i="109"/>
  <c r="B11" i="109"/>
  <c r="B10" i="109"/>
  <c r="B9" i="109"/>
  <c r="B8" i="109"/>
  <c r="B7" i="109"/>
  <c r="B6" i="109"/>
  <c r="B5" i="109"/>
  <c r="B4" i="109"/>
  <c r="B2" i="109"/>
  <c r="B13" i="108"/>
  <c r="B12" i="108"/>
  <c r="B11" i="108"/>
  <c r="B10" i="108"/>
  <c r="B9" i="108"/>
  <c r="B8" i="108"/>
  <c r="B7" i="108"/>
  <c r="B6" i="108"/>
  <c r="B5" i="108"/>
  <c r="B4" i="108"/>
  <c r="B2" i="108"/>
  <c r="B13" i="107"/>
  <c r="B12" i="107"/>
  <c r="B11" i="107"/>
  <c r="B10" i="107"/>
  <c r="B9" i="107"/>
  <c r="B8" i="107"/>
  <c r="B7" i="107"/>
  <c r="B6" i="107"/>
  <c r="B5" i="107"/>
  <c r="B4" i="107"/>
  <c r="B2" i="107"/>
  <c r="B13" i="106"/>
  <c r="B12" i="106"/>
  <c r="B11" i="106"/>
  <c r="B10" i="106"/>
  <c r="B9" i="106"/>
  <c r="B8" i="106"/>
  <c r="B7" i="106"/>
  <c r="B6" i="106"/>
  <c r="B5" i="106"/>
  <c r="B4" i="106"/>
  <c r="B2" i="106"/>
  <c r="B13" i="105"/>
  <c r="B12" i="105"/>
  <c r="B11" i="105"/>
  <c r="B10" i="105"/>
  <c r="B9" i="105"/>
  <c r="B8" i="105"/>
  <c r="B7" i="105"/>
  <c r="B6" i="105"/>
  <c r="B5" i="105"/>
  <c r="B4" i="105"/>
  <c r="B2" i="105"/>
  <c r="B13" i="104"/>
  <c r="B12" i="104"/>
  <c r="B11" i="104"/>
  <c r="B10" i="104"/>
  <c r="B9" i="104"/>
  <c r="B8" i="104"/>
  <c r="B7" i="104"/>
  <c r="B6" i="104"/>
  <c r="B5" i="104"/>
  <c r="B4" i="104"/>
  <c r="B2" i="104"/>
  <c r="B13" i="103"/>
  <c r="B12" i="103"/>
  <c r="B11" i="103"/>
  <c r="B10" i="103"/>
  <c r="B9" i="103"/>
  <c r="B8" i="103"/>
  <c r="B7" i="103"/>
  <c r="B6" i="103"/>
  <c r="B5" i="103"/>
  <c r="B4" i="103"/>
  <c r="B2" i="103"/>
  <c r="B13" i="102"/>
  <c r="B12" i="102"/>
  <c r="B11" i="102"/>
  <c r="B10" i="102"/>
  <c r="B9" i="102"/>
  <c r="B8" i="102"/>
  <c r="B7" i="102"/>
  <c r="B6" i="102"/>
  <c r="B5" i="102"/>
  <c r="B4" i="102"/>
  <c r="B2" i="102"/>
  <c r="B13" i="101"/>
  <c r="B12" i="101"/>
  <c r="B11" i="101"/>
  <c r="B10" i="101"/>
  <c r="B9" i="101"/>
  <c r="B8" i="101"/>
  <c r="B7" i="101"/>
  <c r="B6" i="101"/>
  <c r="B5" i="101"/>
  <c r="B4" i="101"/>
  <c r="B2" i="101"/>
  <c r="B13" i="100"/>
  <c r="B12" i="100"/>
  <c r="B11" i="100"/>
  <c r="B10" i="100"/>
  <c r="B9" i="100"/>
  <c r="B8" i="100"/>
  <c r="B7" i="100"/>
  <c r="B6" i="100"/>
  <c r="B5" i="100"/>
  <c r="B4" i="100"/>
  <c r="B2" i="100"/>
  <c r="B13" i="99"/>
  <c r="B12" i="99"/>
  <c r="B11" i="99"/>
  <c r="B10" i="99"/>
  <c r="B9" i="99"/>
  <c r="B8" i="99"/>
  <c r="B7" i="99"/>
  <c r="B6" i="99"/>
  <c r="B5" i="99"/>
  <c r="B4" i="99"/>
  <c r="B2" i="99"/>
  <c r="B13" i="98"/>
  <c r="B12" i="98"/>
  <c r="B11" i="98"/>
  <c r="B10" i="98"/>
  <c r="B9" i="98"/>
  <c r="B8" i="98"/>
  <c r="B7" i="98"/>
  <c r="B6" i="98"/>
  <c r="B5" i="98"/>
  <c r="B4" i="98"/>
  <c r="B2" i="98"/>
  <c r="B13" i="97"/>
  <c r="B12" i="97"/>
  <c r="B11" i="97"/>
  <c r="B10" i="97"/>
  <c r="B9" i="97"/>
  <c r="B8" i="97"/>
  <c r="B7" i="97"/>
  <c r="B6" i="97"/>
  <c r="B5" i="97"/>
  <c r="B4" i="97"/>
  <c r="B2" i="97"/>
  <c r="B13" i="96"/>
  <c r="B12" i="96"/>
  <c r="B11" i="96"/>
  <c r="B10" i="96"/>
  <c r="B9" i="96"/>
  <c r="B8" i="96"/>
  <c r="B7" i="96"/>
  <c r="B6" i="96"/>
  <c r="B5" i="96"/>
  <c r="B4" i="96"/>
  <c r="B14" i="96" s="1"/>
  <c r="B15" i="96" s="1"/>
  <c r="B2" i="96"/>
  <c r="B13" i="92"/>
  <c r="B13" i="93"/>
  <c r="B13" i="94"/>
  <c r="B13" i="95"/>
  <c r="B12" i="95"/>
  <c r="B11" i="95"/>
  <c r="B10" i="95"/>
  <c r="B9" i="95"/>
  <c r="B8" i="95"/>
  <c r="B7" i="95"/>
  <c r="B6" i="95"/>
  <c r="B5" i="95"/>
  <c r="B4" i="95"/>
  <c r="B2" i="95"/>
  <c r="B12" i="94"/>
  <c r="B11" i="94"/>
  <c r="B10" i="94"/>
  <c r="B9" i="94"/>
  <c r="B8" i="94"/>
  <c r="B7" i="94"/>
  <c r="B6" i="94"/>
  <c r="B5" i="94"/>
  <c r="B4" i="94"/>
  <c r="B14" i="94" s="1"/>
  <c r="B15" i="94" s="1"/>
  <c r="B2" i="94"/>
  <c r="B12" i="93"/>
  <c r="B11" i="93"/>
  <c r="B10" i="93"/>
  <c r="B9" i="93"/>
  <c r="B8" i="93"/>
  <c r="B7" i="93"/>
  <c r="B6" i="93"/>
  <c r="B5" i="93"/>
  <c r="B4" i="93"/>
  <c r="B2" i="93"/>
  <c r="B12" i="92"/>
  <c r="B11" i="92"/>
  <c r="B10" i="92"/>
  <c r="B9" i="92"/>
  <c r="B8" i="92"/>
  <c r="B7" i="92"/>
  <c r="B6" i="92"/>
  <c r="B5" i="92"/>
  <c r="B4" i="92"/>
  <c r="B2" i="92"/>
  <c r="B13" i="91"/>
  <c r="B12" i="91"/>
  <c r="B11" i="91"/>
  <c r="B10" i="91"/>
  <c r="B9" i="91"/>
  <c r="B8" i="91"/>
  <c r="B7" i="91"/>
  <c r="B6" i="91"/>
  <c r="B5" i="91"/>
  <c r="B4" i="91"/>
  <c r="B2" i="91"/>
  <c r="B13" i="90"/>
  <c r="B12" i="90"/>
  <c r="B11" i="90"/>
  <c r="B10" i="90"/>
  <c r="B9" i="90"/>
  <c r="B8" i="90"/>
  <c r="B7" i="90"/>
  <c r="B6" i="90"/>
  <c r="B5" i="90"/>
  <c r="B4" i="90"/>
  <c r="B2" i="90"/>
  <c r="B13" i="89"/>
  <c r="B12" i="89"/>
  <c r="B11" i="89"/>
  <c r="B10" i="89"/>
  <c r="B9" i="89"/>
  <c r="B8" i="89"/>
  <c r="B7" i="89"/>
  <c r="B6" i="89"/>
  <c r="B5" i="89"/>
  <c r="B4" i="89"/>
  <c r="B2" i="89"/>
  <c r="B13" i="88"/>
  <c r="B12" i="88"/>
  <c r="B11" i="88"/>
  <c r="B10" i="88"/>
  <c r="B9" i="88"/>
  <c r="B8" i="88"/>
  <c r="B7" i="88"/>
  <c r="B6" i="88"/>
  <c r="B5" i="88"/>
  <c r="B4" i="88"/>
  <c r="B2" i="88"/>
  <c r="B13" i="87"/>
  <c r="B12" i="87"/>
  <c r="B11" i="87"/>
  <c r="B10" i="87"/>
  <c r="B9" i="87"/>
  <c r="B8" i="87"/>
  <c r="B7" i="87"/>
  <c r="B6" i="87"/>
  <c r="B5" i="87"/>
  <c r="B4" i="87"/>
  <c r="B2" i="87"/>
  <c r="B13" i="86"/>
  <c r="B12" i="86"/>
  <c r="B11" i="86"/>
  <c r="B10" i="86"/>
  <c r="B9" i="86"/>
  <c r="B8" i="86"/>
  <c r="B7" i="86"/>
  <c r="B6" i="86"/>
  <c r="B5" i="86"/>
  <c r="B4" i="86"/>
  <c r="B2" i="86"/>
  <c r="B13" i="85"/>
  <c r="B12" i="85"/>
  <c r="B11" i="85"/>
  <c r="B10" i="85"/>
  <c r="B9" i="85"/>
  <c r="B8" i="85"/>
  <c r="B7" i="85"/>
  <c r="B6" i="85"/>
  <c r="B5" i="85"/>
  <c r="B4" i="85"/>
  <c r="B2" i="85"/>
  <c r="B13" i="84"/>
  <c r="B12" i="84"/>
  <c r="B11" i="84"/>
  <c r="B10" i="84"/>
  <c r="B9" i="84"/>
  <c r="B8" i="84"/>
  <c r="B7" i="84"/>
  <c r="B6" i="84"/>
  <c r="B5" i="84"/>
  <c r="B4" i="84"/>
  <c r="B2" i="84"/>
  <c r="B13" i="83"/>
  <c r="B12" i="83"/>
  <c r="B11" i="83"/>
  <c r="B10" i="83"/>
  <c r="B9" i="83"/>
  <c r="B8" i="83"/>
  <c r="B7" i="83"/>
  <c r="B6" i="83"/>
  <c r="B5" i="83"/>
  <c r="B4" i="83"/>
  <c r="B2" i="83"/>
  <c r="B13" i="82"/>
  <c r="B12" i="82"/>
  <c r="B11" i="82"/>
  <c r="B10" i="82"/>
  <c r="B9" i="82"/>
  <c r="B8" i="82"/>
  <c r="B7" i="82"/>
  <c r="B6" i="82"/>
  <c r="B5" i="82"/>
  <c r="B4" i="82"/>
  <c r="B2" i="82"/>
  <c r="B13" i="81"/>
  <c r="B12" i="81"/>
  <c r="B11" i="81"/>
  <c r="B10" i="81"/>
  <c r="B9" i="81"/>
  <c r="B8" i="81"/>
  <c r="B7" i="81"/>
  <c r="B6" i="81"/>
  <c r="B5" i="81"/>
  <c r="B4" i="81"/>
  <c r="B2" i="81"/>
  <c r="B13" i="80"/>
  <c r="B12" i="80"/>
  <c r="B11" i="80"/>
  <c r="B10" i="80"/>
  <c r="B9" i="80"/>
  <c r="B8" i="80"/>
  <c r="B7" i="80"/>
  <c r="B6" i="80"/>
  <c r="B5" i="80"/>
  <c r="B4" i="80"/>
  <c r="B2" i="80"/>
  <c r="B13" i="79"/>
  <c r="B12" i="79"/>
  <c r="B11" i="79"/>
  <c r="B10" i="79"/>
  <c r="B9" i="79"/>
  <c r="B8" i="79"/>
  <c r="B7" i="79"/>
  <c r="B6" i="79"/>
  <c r="B5" i="79"/>
  <c r="B4" i="79"/>
  <c r="B2" i="79"/>
  <c r="B13" i="78"/>
  <c r="B12" i="78"/>
  <c r="B11" i="78"/>
  <c r="B10" i="78"/>
  <c r="B9" i="78"/>
  <c r="B8" i="78"/>
  <c r="B7" i="78"/>
  <c r="B6" i="78"/>
  <c r="B5" i="78"/>
  <c r="B4" i="78"/>
  <c r="B2" i="78"/>
  <c r="B13" i="77"/>
  <c r="B12" i="77"/>
  <c r="B11" i="77"/>
  <c r="B10" i="77"/>
  <c r="B9" i="77"/>
  <c r="B8" i="77"/>
  <c r="B7" i="77"/>
  <c r="B6" i="77"/>
  <c r="B5" i="77"/>
  <c r="B4" i="77"/>
  <c r="B2" i="77"/>
  <c r="B13" i="76"/>
  <c r="B12" i="76"/>
  <c r="B11" i="76"/>
  <c r="B10" i="76"/>
  <c r="B9" i="76"/>
  <c r="B8" i="76"/>
  <c r="B7" i="76"/>
  <c r="B6" i="76"/>
  <c r="B5" i="76"/>
  <c r="B4" i="76"/>
  <c r="B2" i="76"/>
  <c r="B13" i="75"/>
  <c r="B12" i="75"/>
  <c r="B11" i="75"/>
  <c r="B10" i="75"/>
  <c r="B9" i="75"/>
  <c r="B8" i="75"/>
  <c r="B7" i="75"/>
  <c r="B6" i="75"/>
  <c r="B5" i="75"/>
  <c r="B4" i="75"/>
  <c r="B2" i="75"/>
  <c r="B13" i="74"/>
  <c r="B12" i="74"/>
  <c r="B11" i="74"/>
  <c r="B10" i="74"/>
  <c r="B9" i="74"/>
  <c r="B8" i="74"/>
  <c r="B7" i="74"/>
  <c r="B6" i="74"/>
  <c r="B5" i="74"/>
  <c r="B4" i="74"/>
  <c r="B2" i="74"/>
  <c r="B13" i="73"/>
  <c r="B12" i="73"/>
  <c r="B11" i="73"/>
  <c r="B10" i="73"/>
  <c r="B9" i="73"/>
  <c r="B8" i="73"/>
  <c r="B7" i="73"/>
  <c r="B6" i="73"/>
  <c r="B5" i="73"/>
  <c r="B4" i="73"/>
  <c r="B2" i="73"/>
  <c r="B13" i="72"/>
  <c r="B12" i="72"/>
  <c r="B11" i="72"/>
  <c r="B10" i="72"/>
  <c r="B9" i="72"/>
  <c r="B8" i="72"/>
  <c r="B7" i="72"/>
  <c r="B6" i="72"/>
  <c r="B5" i="72"/>
  <c r="B4" i="72"/>
  <c r="B2" i="72"/>
  <c r="B13" i="71"/>
  <c r="B12" i="71"/>
  <c r="B11" i="71"/>
  <c r="B10" i="71"/>
  <c r="B9" i="71"/>
  <c r="B8" i="71"/>
  <c r="B7" i="71"/>
  <c r="B6" i="71"/>
  <c r="B5" i="71"/>
  <c r="B4" i="71"/>
  <c r="B2" i="71"/>
  <c r="B13" i="70"/>
  <c r="B12" i="70"/>
  <c r="B11" i="70"/>
  <c r="B10" i="70"/>
  <c r="B9" i="70"/>
  <c r="B8" i="70"/>
  <c r="B7" i="70"/>
  <c r="B6" i="70"/>
  <c r="B5" i="70"/>
  <c r="B4" i="70"/>
  <c r="B2" i="70"/>
  <c r="B13" i="69"/>
  <c r="B12" i="69"/>
  <c r="B11" i="69"/>
  <c r="B10" i="69"/>
  <c r="B9" i="69"/>
  <c r="B8" i="69"/>
  <c r="B7" i="69"/>
  <c r="B6" i="69"/>
  <c r="B5" i="69"/>
  <c r="B4" i="69"/>
  <c r="B2" i="69"/>
  <c r="B13" i="68"/>
  <c r="B12" i="68"/>
  <c r="B11" i="68"/>
  <c r="B10" i="68"/>
  <c r="B9" i="68"/>
  <c r="B8" i="68"/>
  <c r="B7" i="68"/>
  <c r="B6" i="68"/>
  <c r="B5" i="68"/>
  <c r="B4" i="68"/>
  <c r="B2" i="68"/>
  <c r="B13" i="67"/>
  <c r="B12" i="67"/>
  <c r="B11" i="67"/>
  <c r="B10" i="67"/>
  <c r="B9" i="67"/>
  <c r="B8" i="67"/>
  <c r="B7" i="67"/>
  <c r="B6" i="67"/>
  <c r="B5" i="67"/>
  <c r="B4" i="67"/>
  <c r="B2" i="67"/>
  <c r="B13" i="66"/>
  <c r="B12" i="66"/>
  <c r="B11" i="66"/>
  <c r="B10" i="66"/>
  <c r="B9" i="66"/>
  <c r="B8" i="66"/>
  <c r="B7" i="66"/>
  <c r="B6" i="66"/>
  <c r="B5" i="66"/>
  <c r="B4" i="66"/>
  <c r="B2" i="66"/>
  <c r="B13" i="65"/>
  <c r="B12" i="65"/>
  <c r="B11" i="65"/>
  <c r="B10" i="65"/>
  <c r="B9" i="65"/>
  <c r="B8" i="65"/>
  <c r="B7" i="65"/>
  <c r="B6" i="65"/>
  <c r="B5" i="65"/>
  <c r="B4" i="65"/>
  <c r="B2" i="65"/>
  <c r="B13" i="64"/>
  <c r="B12" i="64"/>
  <c r="B11" i="64"/>
  <c r="B10" i="64"/>
  <c r="B9" i="64"/>
  <c r="B8" i="64"/>
  <c r="B7" i="64"/>
  <c r="B6" i="64"/>
  <c r="B5" i="64"/>
  <c r="B4" i="64"/>
  <c r="B2" i="64"/>
  <c r="B13" i="63"/>
  <c r="B12" i="63"/>
  <c r="B11" i="63"/>
  <c r="B10" i="63"/>
  <c r="B9" i="63"/>
  <c r="B8" i="63"/>
  <c r="B7" i="63"/>
  <c r="B6" i="63"/>
  <c r="B5" i="63"/>
  <c r="B4" i="63"/>
  <c r="B2" i="63"/>
  <c r="B13" i="62"/>
  <c r="B12" i="62"/>
  <c r="B11" i="62"/>
  <c r="B10" i="62"/>
  <c r="B9" i="62"/>
  <c r="B8" i="62"/>
  <c r="B7" i="62"/>
  <c r="B6" i="62"/>
  <c r="B5" i="62"/>
  <c r="B4" i="62"/>
  <c r="B2" i="62"/>
  <c r="B13" i="61"/>
  <c r="B12" i="61"/>
  <c r="B11" i="61"/>
  <c r="B10" i="61"/>
  <c r="B9" i="61"/>
  <c r="B8" i="61"/>
  <c r="B7" i="61"/>
  <c r="B6" i="61"/>
  <c r="B5" i="61"/>
  <c r="B4" i="61"/>
  <c r="B2" i="61"/>
  <c r="B13" i="60"/>
  <c r="B12" i="60"/>
  <c r="B11" i="60"/>
  <c r="B10" i="60"/>
  <c r="B9" i="60"/>
  <c r="B8" i="60"/>
  <c r="B7" i="60"/>
  <c r="B6" i="60"/>
  <c r="B5" i="60"/>
  <c r="B4" i="60"/>
  <c r="B2" i="60"/>
  <c r="B13" i="59"/>
  <c r="B12" i="59"/>
  <c r="B11" i="59"/>
  <c r="B10" i="59"/>
  <c r="B9" i="59"/>
  <c r="B8" i="59"/>
  <c r="B7" i="59"/>
  <c r="B6" i="59"/>
  <c r="B5" i="59"/>
  <c r="B4" i="59"/>
  <c r="B2" i="59"/>
  <c r="B13" i="58"/>
  <c r="B12" i="58"/>
  <c r="B11" i="58"/>
  <c r="B10" i="58"/>
  <c r="B9" i="58"/>
  <c r="B8" i="58"/>
  <c r="B7" i="58"/>
  <c r="B6" i="58"/>
  <c r="B5" i="58"/>
  <c r="B4" i="58"/>
  <c r="B2" i="58"/>
  <c r="B13" i="57"/>
  <c r="B12" i="57"/>
  <c r="B11" i="57"/>
  <c r="B10" i="57"/>
  <c r="B9" i="57"/>
  <c r="B8" i="57"/>
  <c r="B7" i="57"/>
  <c r="B6" i="57"/>
  <c r="B5" i="57"/>
  <c r="B4" i="57"/>
  <c r="B2" i="57"/>
  <c r="B13" i="56"/>
  <c r="B12" i="56"/>
  <c r="B11" i="56"/>
  <c r="B10" i="56"/>
  <c r="B9" i="56"/>
  <c r="B8" i="56"/>
  <c r="B7" i="56"/>
  <c r="B6" i="56"/>
  <c r="B5" i="56"/>
  <c r="B4" i="56"/>
  <c r="B2" i="56"/>
  <c r="B13" i="55"/>
  <c r="B12" i="55"/>
  <c r="B11" i="55"/>
  <c r="B10" i="55"/>
  <c r="B9" i="55"/>
  <c r="B8" i="55"/>
  <c r="B7" i="55"/>
  <c r="B6" i="55"/>
  <c r="B5" i="55"/>
  <c r="B4" i="55"/>
  <c r="B2" i="55"/>
  <c r="B13" i="54"/>
  <c r="B12" i="54"/>
  <c r="B11" i="54"/>
  <c r="B10" i="54"/>
  <c r="B9" i="54"/>
  <c r="B8" i="54"/>
  <c r="B7" i="54"/>
  <c r="B6" i="54"/>
  <c r="B5" i="54"/>
  <c r="B4" i="54"/>
  <c r="B2" i="54"/>
  <c r="B13" i="53"/>
  <c r="B12" i="53"/>
  <c r="B11" i="53"/>
  <c r="B10" i="53"/>
  <c r="B9" i="53"/>
  <c r="B8" i="53"/>
  <c r="B7" i="53"/>
  <c r="B6" i="53"/>
  <c r="B5" i="53"/>
  <c r="B4" i="53"/>
  <c r="B2" i="53"/>
  <c r="B13" i="52"/>
  <c r="B12" i="52"/>
  <c r="B11" i="52"/>
  <c r="B10" i="52"/>
  <c r="B9" i="52"/>
  <c r="B8" i="52"/>
  <c r="B7" i="52"/>
  <c r="B6" i="52"/>
  <c r="B5" i="52"/>
  <c r="B4" i="52"/>
  <c r="B2" i="52"/>
  <c r="B13" i="51"/>
  <c r="B12" i="51"/>
  <c r="B11" i="51"/>
  <c r="B10" i="51"/>
  <c r="B9" i="51"/>
  <c r="B8" i="51"/>
  <c r="B7" i="51"/>
  <c r="B6" i="51"/>
  <c r="B5" i="51"/>
  <c r="B4" i="51"/>
  <c r="B2" i="51"/>
  <c r="B13" i="50"/>
  <c r="B12" i="50"/>
  <c r="B11" i="50"/>
  <c r="B10" i="50"/>
  <c r="B9" i="50"/>
  <c r="B8" i="50"/>
  <c r="B7" i="50"/>
  <c r="B6" i="50"/>
  <c r="B5" i="50"/>
  <c r="B4" i="50"/>
  <c r="B2" i="50"/>
  <c r="B13" i="49"/>
  <c r="B12" i="49"/>
  <c r="B11" i="49"/>
  <c r="B10" i="49"/>
  <c r="B9" i="49"/>
  <c r="B8" i="49"/>
  <c r="B7" i="49"/>
  <c r="B6" i="49"/>
  <c r="B5" i="49"/>
  <c r="B4" i="49"/>
  <c r="B2" i="49"/>
  <c r="B13" i="48"/>
  <c r="B12" i="48"/>
  <c r="B11" i="48"/>
  <c r="B10" i="48"/>
  <c r="B9" i="48"/>
  <c r="B8" i="48"/>
  <c r="B7" i="48"/>
  <c r="B6" i="48"/>
  <c r="B5" i="48"/>
  <c r="B4" i="48"/>
  <c r="B2" i="48"/>
  <c r="B13" i="47"/>
  <c r="B12" i="47"/>
  <c r="B11" i="47"/>
  <c r="B10" i="47"/>
  <c r="B9" i="47"/>
  <c r="B8" i="47"/>
  <c r="B7" i="47"/>
  <c r="B6" i="47"/>
  <c r="B5" i="47"/>
  <c r="B4" i="47"/>
  <c r="B2" i="47"/>
  <c r="B13" i="46"/>
  <c r="B12" i="46"/>
  <c r="B11" i="46"/>
  <c r="B10" i="46"/>
  <c r="B9" i="46"/>
  <c r="B8" i="46"/>
  <c r="B7" i="46"/>
  <c r="B6" i="46"/>
  <c r="B5" i="46"/>
  <c r="B4" i="46"/>
  <c r="B2" i="46"/>
  <c r="B13" i="45"/>
  <c r="B12" i="45"/>
  <c r="B11" i="45"/>
  <c r="B10" i="45"/>
  <c r="B9" i="45"/>
  <c r="B8" i="45"/>
  <c r="B7" i="45"/>
  <c r="B6" i="45"/>
  <c r="B5" i="45"/>
  <c r="B4" i="45"/>
  <c r="B2" i="45"/>
  <c r="B13" i="44"/>
  <c r="B12" i="44"/>
  <c r="B11" i="44"/>
  <c r="B10" i="44"/>
  <c r="B9" i="44"/>
  <c r="B8" i="44"/>
  <c r="B7" i="44"/>
  <c r="B6" i="44"/>
  <c r="B5" i="44"/>
  <c r="B4" i="44"/>
  <c r="B2" i="44"/>
  <c r="B13" i="43"/>
  <c r="B12" i="43"/>
  <c r="B11" i="43"/>
  <c r="B10" i="43"/>
  <c r="B9" i="43"/>
  <c r="B8" i="43"/>
  <c r="B7" i="43"/>
  <c r="B6" i="43"/>
  <c r="B5" i="43"/>
  <c r="B4" i="43"/>
  <c r="B2" i="43"/>
  <c r="B13" i="42"/>
  <c r="B12" i="42"/>
  <c r="B11" i="42"/>
  <c r="B10" i="42"/>
  <c r="B9" i="42"/>
  <c r="B8" i="42"/>
  <c r="B7" i="42"/>
  <c r="B6" i="42"/>
  <c r="B5" i="42"/>
  <c r="B4" i="42"/>
  <c r="B2" i="42"/>
  <c r="B13" i="41"/>
  <c r="B12" i="41"/>
  <c r="B11" i="41"/>
  <c r="B10" i="41"/>
  <c r="B9" i="41"/>
  <c r="B8" i="41"/>
  <c r="B7" i="41"/>
  <c r="B6" i="41"/>
  <c r="B5" i="41"/>
  <c r="B4" i="41"/>
  <c r="B2" i="41"/>
  <c r="B13" i="40"/>
  <c r="B12" i="40"/>
  <c r="B11" i="40"/>
  <c r="B10" i="40"/>
  <c r="B9" i="40"/>
  <c r="B8" i="40"/>
  <c r="B7" i="40"/>
  <c r="B6" i="40"/>
  <c r="B5" i="40"/>
  <c r="B4" i="40"/>
  <c r="B2" i="40"/>
  <c r="B13" i="39"/>
  <c r="B12" i="39"/>
  <c r="B11" i="39"/>
  <c r="B10" i="39"/>
  <c r="B9" i="39"/>
  <c r="B8" i="39"/>
  <c r="B7" i="39"/>
  <c r="B6" i="39"/>
  <c r="B5" i="39"/>
  <c r="B4" i="39"/>
  <c r="B2" i="39"/>
  <c r="B13" i="38"/>
  <c r="B12" i="38"/>
  <c r="B11" i="38"/>
  <c r="B10" i="38"/>
  <c r="B9" i="38"/>
  <c r="B8" i="38"/>
  <c r="B7" i="38"/>
  <c r="B6" i="38"/>
  <c r="B5" i="38"/>
  <c r="B4" i="38"/>
  <c r="B2" i="38"/>
  <c r="B13" i="37"/>
  <c r="B12" i="37"/>
  <c r="B11" i="37"/>
  <c r="B10" i="37"/>
  <c r="B9" i="37"/>
  <c r="B8" i="37"/>
  <c r="B7" i="37"/>
  <c r="B6" i="37"/>
  <c r="B5" i="37"/>
  <c r="B4" i="37"/>
  <c r="B2" i="37"/>
  <c r="B13" i="36"/>
  <c r="B12" i="36"/>
  <c r="B11" i="36"/>
  <c r="B10" i="36"/>
  <c r="B9" i="36"/>
  <c r="B8" i="36"/>
  <c r="B7" i="36"/>
  <c r="B6" i="36"/>
  <c r="B5" i="36"/>
  <c r="B4" i="36"/>
  <c r="B2" i="36"/>
  <c r="B13" i="35"/>
  <c r="B12" i="35"/>
  <c r="B11" i="35"/>
  <c r="B10" i="35"/>
  <c r="B9" i="35"/>
  <c r="B8" i="35"/>
  <c r="B7" i="35"/>
  <c r="B6" i="35"/>
  <c r="B5" i="35"/>
  <c r="B4" i="35"/>
  <c r="B2" i="35"/>
  <c r="B13" i="34"/>
  <c r="B12" i="34"/>
  <c r="B11" i="34"/>
  <c r="B10" i="34"/>
  <c r="B9" i="34"/>
  <c r="B8" i="34"/>
  <c r="B7" i="34"/>
  <c r="B6" i="34"/>
  <c r="B5" i="34"/>
  <c r="B4" i="34"/>
  <c r="B2" i="34"/>
  <c r="B13" i="33"/>
  <c r="B12" i="33"/>
  <c r="B11" i="33"/>
  <c r="B10" i="33"/>
  <c r="B9" i="33"/>
  <c r="B8" i="33"/>
  <c r="B7" i="33"/>
  <c r="B6" i="33"/>
  <c r="B5" i="33"/>
  <c r="B4" i="33"/>
  <c r="B2" i="33"/>
  <c r="B13" i="32"/>
  <c r="B12" i="32"/>
  <c r="B11" i="32"/>
  <c r="B10" i="32"/>
  <c r="B9" i="32"/>
  <c r="B8" i="32"/>
  <c r="B7" i="32"/>
  <c r="B6" i="32"/>
  <c r="B5" i="32"/>
  <c r="B4" i="32"/>
  <c r="B2" i="32"/>
  <c r="B13" i="31"/>
  <c r="B12" i="31"/>
  <c r="B11" i="31"/>
  <c r="B10" i="31"/>
  <c r="B9" i="31"/>
  <c r="B8" i="31"/>
  <c r="B7" i="31"/>
  <c r="B6" i="31"/>
  <c r="B5" i="31"/>
  <c r="B4" i="31"/>
  <c r="B2" i="31"/>
  <c r="B13" i="30"/>
  <c r="B12" i="30"/>
  <c r="B11" i="30"/>
  <c r="B10" i="30"/>
  <c r="B9" i="30"/>
  <c r="B8" i="30"/>
  <c r="B7" i="30"/>
  <c r="B6" i="30"/>
  <c r="B5" i="30"/>
  <c r="B4" i="30"/>
  <c r="B2" i="30"/>
  <c r="B13" i="29"/>
  <c r="B12" i="29"/>
  <c r="B11" i="29"/>
  <c r="B10" i="29"/>
  <c r="B9" i="29"/>
  <c r="B8" i="29"/>
  <c r="B7" i="29"/>
  <c r="B6" i="29"/>
  <c r="B5" i="29"/>
  <c r="B4" i="29"/>
  <c r="B2" i="29"/>
  <c r="B13" i="28"/>
  <c r="B12" i="28"/>
  <c r="B11" i="28"/>
  <c r="B10" i="28"/>
  <c r="B9" i="28"/>
  <c r="B8" i="28"/>
  <c r="B7" i="28"/>
  <c r="B6" i="28"/>
  <c r="B5" i="28"/>
  <c r="B4" i="28"/>
  <c r="B2" i="28"/>
  <c r="B13" i="27"/>
  <c r="B12" i="27"/>
  <c r="B11" i="27"/>
  <c r="B10" i="27"/>
  <c r="B9" i="27"/>
  <c r="B8" i="27"/>
  <c r="B7" i="27"/>
  <c r="B6" i="27"/>
  <c r="B5" i="27"/>
  <c r="B4" i="27"/>
  <c r="B2" i="27"/>
  <c r="B13" i="26"/>
  <c r="B12" i="26"/>
  <c r="B11" i="26"/>
  <c r="B10" i="26"/>
  <c r="B9" i="26"/>
  <c r="B8" i="26"/>
  <c r="B7" i="26"/>
  <c r="B6" i="26"/>
  <c r="B4" i="26"/>
  <c r="B5" i="26"/>
  <c r="B2" i="26"/>
  <c r="B13" i="25"/>
  <c r="B12" i="25"/>
  <c r="B11" i="25"/>
  <c r="B10" i="25"/>
  <c r="B9" i="25"/>
  <c r="B8" i="25"/>
  <c r="B7" i="25"/>
  <c r="B6" i="25"/>
  <c r="B5" i="25"/>
  <c r="B4" i="25"/>
  <c r="B2" i="25"/>
  <c r="B13" i="24"/>
  <c r="B12" i="24"/>
  <c r="B11" i="24"/>
  <c r="B10" i="24"/>
  <c r="B9" i="24"/>
  <c r="B8" i="24"/>
  <c r="B7" i="24"/>
  <c r="B6" i="24"/>
  <c r="B5" i="24"/>
  <c r="B4" i="24"/>
  <c r="B2" i="24"/>
  <c r="B13" i="23"/>
  <c r="B12" i="23"/>
  <c r="B11" i="23"/>
  <c r="B10" i="23"/>
  <c r="B9" i="23"/>
  <c r="B8" i="23"/>
  <c r="B7" i="23"/>
  <c r="B6" i="23"/>
  <c r="B5" i="23"/>
  <c r="B4" i="23"/>
  <c r="B2" i="23"/>
  <c r="B13" i="22"/>
  <c r="B12" i="22"/>
  <c r="B11" i="22"/>
  <c r="B10" i="22"/>
  <c r="B9" i="22"/>
  <c r="B8" i="22"/>
  <c r="B7" i="22"/>
  <c r="B6" i="22"/>
  <c r="B5" i="22"/>
  <c r="B4" i="22"/>
  <c r="B2" i="22"/>
  <c r="B13" i="21"/>
  <c r="B12" i="21"/>
  <c r="B11" i="21"/>
  <c r="B10" i="21"/>
  <c r="B9" i="21"/>
  <c r="B8" i="21"/>
  <c r="B7" i="21"/>
  <c r="B6" i="21"/>
  <c r="B5" i="21"/>
  <c r="B4" i="21"/>
  <c r="B2" i="21"/>
  <c r="B13" i="20"/>
  <c r="B12" i="20"/>
  <c r="B11" i="20"/>
  <c r="B10" i="20"/>
  <c r="B9" i="20"/>
  <c r="B8" i="20"/>
  <c r="B7" i="20"/>
  <c r="B6" i="20"/>
  <c r="B5" i="20"/>
  <c r="B4" i="20"/>
  <c r="B2" i="20"/>
  <c r="B13" i="19"/>
  <c r="B12" i="19"/>
  <c r="B11" i="19"/>
  <c r="B10" i="19"/>
  <c r="B9" i="19"/>
  <c r="B8" i="19"/>
  <c r="B7" i="19"/>
  <c r="B6" i="19"/>
  <c r="B5" i="19"/>
  <c r="B4" i="19"/>
  <c r="B2" i="19"/>
  <c r="B13" i="18"/>
  <c r="B12" i="18"/>
  <c r="B11" i="18"/>
  <c r="B10" i="18"/>
  <c r="B9" i="18"/>
  <c r="B8" i="18"/>
  <c r="B7" i="18"/>
  <c r="B6" i="18"/>
  <c r="B5" i="18"/>
  <c r="B4" i="18"/>
  <c r="B2" i="18"/>
  <c r="B13" i="17"/>
  <c r="B12" i="17"/>
  <c r="B11" i="17"/>
  <c r="B10" i="17"/>
  <c r="B9" i="17"/>
  <c r="B8" i="17"/>
  <c r="B7" i="17"/>
  <c r="B6" i="17"/>
  <c r="B5" i="17"/>
  <c r="B4" i="17"/>
  <c r="B2" i="17"/>
  <c r="B13" i="16"/>
  <c r="B12" i="16"/>
  <c r="B11" i="16"/>
  <c r="B10" i="16"/>
  <c r="B9" i="16"/>
  <c r="B8" i="16"/>
  <c r="B7" i="16"/>
  <c r="B6" i="16"/>
  <c r="B5" i="16"/>
  <c r="B4" i="16"/>
  <c r="B2" i="16"/>
  <c r="B13" i="15"/>
  <c r="B12" i="15"/>
  <c r="B11" i="15"/>
  <c r="B10" i="15"/>
  <c r="B9" i="15"/>
  <c r="B8" i="15"/>
  <c r="B7" i="15"/>
  <c r="B6" i="15"/>
  <c r="B5" i="15"/>
  <c r="B4" i="15"/>
  <c r="B2" i="14"/>
  <c r="B2" i="15"/>
  <c r="B13" i="14"/>
  <c r="B12" i="14"/>
  <c r="B11" i="14"/>
  <c r="B10" i="14"/>
  <c r="B9" i="14"/>
  <c r="B8" i="14"/>
  <c r="B7" i="14"/>
  <c r="B6" i="14"/>
  <c r="B5" i="14"/>
  <c r="B4" i="14"/>
  <c r="B13" i="13"/>
  <c r="B12" i="13"/>
  <c r="B11" i="13"/>
  <c r="B10" i="13"/>
  <c r="B9" i="13"/>
  <c r="B8" i="13"/>
  <c r="B7" i="13"/>
  <c r="B6" i="13"/>
  <c r="B5" i="13"/>
  <c r="B4" i="13"/>
  <c r="B2" i="13"/>
  <c r="B13" i="12"/>
  <c r="B12" i="12"/>
  <c r="B11" i="12"/>
  <c r="B10" i="12"/>
  <c r="B9" i="12"/>
  <c r="B8" i="12"/>
  <c r="B7" i="12"/>
  <c r="B6" i="12"/>
  <c r="B5" i="12"/>
  <c r="B4" i="12"/>
  <c r="B12" i="11"/>
  <c r="B13" i="11"/>
  <c r="B11" i="11"/>
  <c r="B10" i="11"/>
  <c r="B9" i="11"/>
  <c r="B8" i="11"/>
  <c r="B7" i="11"/>
  <c r="B6" i="11"/>
  <c r="B5" i="11"/>
  <c r="B4" i="11"/>
  <c r="B2" i="12"/>
  <c r="B2" i="11"/>
  <c r="B2" i="10"/>
  <c r="B13" i="10"/>
  <c r="B10" i="10"/>
  <c r="B9" i="10"/>
  <c r="B12" i="10"/>
  <c r="B11" i="10"/>
  <c r="B8" i="10"/>
  <c r="B7" i="10"/>
  <c r="B6" i="10"/>
  <c r="B5" i="10"/>
  <c r="B4" i="10"/>
  <c r="N3" i="2"/>
  <c r="O3" i="2" s="1"/>
  <c r="M151" i="9"/>
  <c r="L151" i="9"/>
  <c r="K151" i="9"/>
  <c r="J151" i="9"/>
  <c r="I151" i="9"/>
  <c r="H151" i="9"/>
  <c r="G151" i="9"/>
  <c r="F151" i="9"/>
  <c r="E151" i="9"/>
  <c r="D151" i="9"/>
  <c r="B151" i="9"/>
  <c r="A151" i="9"/>
  <c r="M150" i="9"/>
  <c r="L150" i="9"/>
  <c r="K150" i="9"/>
  <c r="J150" i="9"/>
  <c r="I150" i="9"/>
  <c r="H150" i="9"/>
  <c r="G150" i="9"/>
  <c r="F150" i="9"/>
  <c r="E150" i="9"/>
  <c r="D150" i="9"/>
  <c r="B150" i="9"/>
  <c r="A150" i="9"/>
  <c r="M149" i="9"/>
  <c r="L149" i="9"/>
  <c r="K149" i="9"/>
  <c r="J149" i="9"/>
  <c r="I149" i="9"/>
  <c r="H149" i="9"/>
  <c r="G149" i="9"/>
  <c r="F149" i="9"/>
  <c r="E149" i="9"/>
  <c r="D149" i="9"/>
  <c r="B149" i="9"/>
  <c r="A149" i="9"/>
  <c r="M148" i="9"/>
  <c r="L148" i="9"/>
  <c r="K148" i="9"/>
  <c r="J148" i="9"/>
  <c r="I148" i="9"/>
  <c r="H148" i="9"/>
  <c r="G148" i="9"/>
  <c r="F148" i="9"/>
  <c r="E148" i="9"/>
  <c r="D148" i="9"/>
  <c r="B148" i="9"/>
  <c r="A148" i="9"/>
  <c r="M147" i="9"/>
  <c r="L147" i="9"/>
  <c r="K147" i="9"/>
  <c r="J147" i="9"/>
  <c r="I147" i="9"/>
  <c r="H147" i="9"/>
  <c r="G147" i="9"/>
  <c r="F147" i="9"/>
  <c r="E147" i="9"/>
  <c r="D147" i="9"/>
  <c r="B147" i="9"/>
  <c r="A147" i="9"/>
  <c r="M146" i="9"/>
  <c r="L146" i="9"/>
  <c r="K146" i="9"/>
  <c r="J146" i="9"/>
  <c r="I146" i="9"/>
  <c r="H146" i="9"/>
  <c r="G146" i="9"/>
  <c r="F146" i="9"/>
  <c r="E146" i="9"/>
  <c r="D146" i="9"/>
  <c r="B146" i="9"/>
  <c r="A146" i="9"/>
  <c r="M145" i="9"/>
  <c r="L145" i="9"/>
  <c r="K145" i="9"/>
  <c r="J145" i="9"/>
  <c r="I145" i="9"/>
  <c r="H145" i="9"/>
  <c r="G145" i="9"/>
  <c r="F145" i="9"/>
  <c r="E145" i="9"/>
  <c r="D145" i="9"/>
  <c r="B145" i="9"/>
  <c r="A145" i="9"/>
  <c r="M144" i="9"/>
  <c r="L144" i="9"/>
  <c r="K144" i="9"/>
  <c r="J144" i="9"/>
  <c r="I144" i="9"/>
  <c r="H144" i="9"/>
  <c r="G144" i="9"/>
  <c r="F144" i="9"/>
  <c r="E144" i="9"/>
  <c r="D144" i="9"/>
  <c r="B144" i="9"/>
  <c r="A144" i="9"/>
  <c r="M143" i="9"/>
  <c r="L143" i="9"/>
  <c r="K143" i="9"/>
  <c r="J143" i="9"/>
  <c r="I143" i="9"/>
  <c r="H143" i="9"/>
  <c r="G143" i="9"/>
  <c r="F143" i="9"/>
  <c r="E143" i="9"/>
  <c r="D143" i="9"/>
  <c r="B143" i="9"/>
  <c r="A143" i="9"/>
  <c r="M142" i="9"/>
  <c r="L142" i="9"/>
  <c r="K142" i="9"/>
  <c r="J142" i="9"/>
  <c r="I142" i="9"/>
  <c r="H142" i="9"/>
  <c r="G142" i="9"/>
  <c r="F142" i="9"/>
  <c r="E142" i="9"/>
  <c r="D142" i="9"/>
  <c r="B142" i="9"/>
  <c r="A142" i="9"/>
  <c r="M141" i="9"/>
  <c r="L141" i="9"/>
  <c r="K141" i="9"/>
  <c r="J141" i="9"/>
  <c r="I141" i="9"/>
  <c r="H141" i="9"/>
  <c r="G141" i="9"/>
  <c r="F141" i="9"/>
  <c r="E141" i="9"/>
  <c r="D141" i="9"/>
  <c r="B141" i="9"/>
  <c r="A141" i="9"/>
  <c r="M140" i="9"/>
  <c r="L140" i="9"/>
  <c r="K140" i="9"/>
  <c r="J140" i="9"/>
  <c r="I140" i="9"/>
  <c r="H140" i="9"/>
  <c r="G140" i="9"/>
  <c r="F140" i="9"/>
  <c r="E140" i="9"/>
  <c r="D140" i="9"/>
  <c r="B140" i="9"/>
  <c r="A140" i="9"/>
  <c r="M139" i="9"/>
  <c r="L139" i="9"/>
  <c r="K139" i="9"/>
  <c r="J139" i="9"/>
  <c r="I139" i="9"/>
  <c r="H139" i="9"/>
  <c r="G139" i="9"/>
  <c r="F139" i="9"/>
  <c r="E139" i="9"/>
  <c r="D139" i="9"/>
  <c r="B139" i="9"/>
  <c r="A139" i="9"/>
  <c r="M138" i="9"/>
  <c r="L138" i="9"/>
  <c r="K138" i="9"/>
  <c r="J138" i="9"/>
  <c r="I138" i="9"/>
  <c r="H138" i="9"/>
  <c r="G138" i="9"/>
  <c r="F138" i="9"/>
  <c r="E138" i="9"/>
  <c r="D138" i="9"/>
  <c r="B138" i="9"/>
  <c r="A138" i="9"/>
  <c r="M137" i="9"/>
  <c r="L137" i="9"/>
  <c r="K137" i="9"/>
  <c r="J137" i="9"/>
  <c r="I137" i="9"/>
  <c r="H137" i="9"/>
  <c r="G137" i="9"/>
  <c r="F137" i="9"/>
  <c r="E137" i="9"/>
  <c r="D137" i="9"/>
  <c r="B137" i="9"/>
  <c r="A137" i="9"/>
  <c r="M136" i="9"/>
  <c r="L136" i="9"/>
  <c r="K136" i="9"/>
  <c r="J136" i="9"/>
  <c r="I136" i="9"/>
  <c r="H136" i="9"/>
  <c r="G136" i="9"/>
  <c r="F136" i="9"/>
  <c r="E136" i="9"/>
  <c r="D136" i="9"/>
  <c r="B136" i="9"/>
  <c r="A136" i="9"/>
  <c r="M135" i="9"/>
  <c r="L135" i="9"/>
  <c r="K135" i="9"/>
  <c r="J135" i="9"/>
  <c r="I135" i="9"/>
  <c r="H135" i="9"/>
  <c r="G135" i="9"/>
  <c r="F135" i="9"/>
  <c r="E135" i="9"/>
  <c r="D135" i="9"/>
  <c r="B135" i="9"/>
  <c r="A135" i="9"/>
  <c r="M134" i="9"/>
  <c r="L134" i="9"/>
  <c r="K134" i="9"/>
  <c r="J134" i="9"/>
  <c r="I134" i="9"/>
  <c r="H134" i="9"/>
  <c r="G134" i="9"/>
  <c r="F134" i="9"/>
  <c r="E134" i="9"/>
  <c r="D134" i="9"/>
  <c r="B134" i="9"/>
  <c r="A134" i="9"/>
  <c r="M133" i="9"/>
  <c r="L133" i="9"/>
  <c r="K133" i="9"/>
  <c r="J133" i="9"/>
  <c r="I133" i="9"/>
  <c r="H133" i="9"/>
  <c r="G133" i="9"/>
  <c r="F133" i="9"/>
  <c r="E133" i="9"/>
  <c r="D133" i="9"/>
  <c r="B133" i="9"/>
  <c r="A133" i="9"/>
  <c r="M132" i="9"/>
  <c r="L132" i="9"/>
  <c r="K132" i="9"/>
  <c r="J132" i="9"/>
  <c r="I132" i="9"/>
  <c r="H132" i="9"/>
  <c r="G132" i="9"/>
  <c r="F132" i="9"/>
  <c r="E132" i="9"/>
  <c r="D132" i="9"/>
  <c r="B132" i="9"/>
  <c r="A132" i="9"/>
  <c r="M131" i="9"/>
  <c r="L131" i="9"/>
  <c r="K131" i="9"/>
  <c r="J131" i="9"/>
  <c r="I131" i="9"/>
  <c r="H131" i="9"/>
  <c r="G131" i="9"/>
  <c r="F131" i="9"/>
  <c r="E131" i="9"/>
  <c r="D131" i="9"/>
  <c r="B131" i="9"/>
  <c r="A131" i="9"/>
  <c r="M130" i="9"/>
  <c r="L130" i="9"/>
  <c r="K130" i="9"/>
  <c r="J130" i="9"/>
  <c r="I130" i="9"/>
  <c r="H130" i="9"/>
  <c r="G130" i="9"/>
  <c r="F130" i="9"/>
  <c r="E130" i="9"/>
  <c r="D130" i="9"/>
  <c r="B130" i="9"/>
  <c r="A130" i="9"/>
  <c r="M129" i="9"/>
  <c r="L129" i="9"/>
  <c r="K129" i="9"/>
  <c r="J129" i="9"/>
  <c r="I129" i="9"/>
  <c r="H129" i="9"/>
  <c r="G129" i="9"/>
  <c r="F129" i="9"/>
  <c r="E129" i="9"/>
  <c r="D129" i="9"/>
  <c r="B129" i="9"/>
  <c r="A129" i="9"/>
  <c r="M128" i="9"/>
  <c r="L128" i="9"/>
  <c r="K128" i="9"/>
  <c r="J128" i="9"/>
  <c r="I128" i="9"/>
  <c r="H128" i="9"/>
  <c r="G128" i="9"/>
  <c r="F128" i="9"/>
  <c r="E128" i="9"/>
  <c r="D128" i="9"/>
  <c r="B128" i="9"/>
  <c r="A128" i="9"/>
  <c r="M127" i="9"/>
  <c r="L127" i="9"/>
  <c r="K127" i="9"/>
  <c r="J127" i="9"/>
  <c r="I127" i="9"/>
  <c r="H127" i="9"/>
  <c r="G127" i="9"/>
  <c r="F127" i="9"/>
  <c r="E127" i="9"/>
  <c r="D127" i="9"/>
  <c r="B127" i="9"/>
  <c r="A127" i="9"/>
  <c r="M126" i="9"/>
  <c r="L126" i="9"/>
  <c r="K126" i="9"/>
  <c r="J126" i="9"/>
  <c r="I126" i="9"/>
  <c r="H126" i="9"/>
  <c r="G126" i="9"/>
  <c r="F126" i="9"/>
  <c r="E126" i="9"/>
  <c r="D126" i="9"/>
  <c r="B126" i="9"/>
  <c r="A126" i="9"/>
  <c r="M125" i="9"/>
  <c r="L125" i="9"/>
  <c r="K125" i="9"/>
  <c r="J125" i="9"/>
  <c r="I125" i="9"/>
  <c r="H125" i="9"/>
  <c r="G125" i="9"/>
  <c r="F125" i="9"/>
  <c r="E125" i="9"/>
  <c r="D125" i="9"/>
  <c r="B125" i="9"/>
  <c r="A125" i="9"/>
  <c r="M124" i="9"/>
  <c r="L124" i="9"/>
  <c r="K124" i="9"/>
  <c r="J124" i="9"/>
  <c r="I124" i="9"/>
  <c r="H124" i="9"/>
  <c r="G124" i="9"/>
  <c r="F124" i="9"/>
  <c r="E124" i="9"/>
  <c r="D124" i="9"/>
  <c r="B124" i="9"/>
  <c r="A124" i="9"/>
  <c r="M123" i="9"/>
  <c r="L123" i="9"/>
  <c r="K123" i="9"/>
  <c r="J123" i="9"/>
  <c r="I123" i="9"/>
  <c r="H123" i="9"/>
  <c r="G123" i="9"/>
  <c r="F123" i="9"/>
  <c r="E123" i="9"/>
  <c r="D123" i="9"/>
  <c r="B123" i="9"/>
  <c r="A123" i="9"/>
  <c r="M122" i="9"/>
  <c r="L122" i="9"/>
  <c r="K122" i="9"/>
  <c r="J122" i="9"/>
  <c r="I122" i="9"/>
  <c r="H122" i="9"/>
  <c r="G122" i="9"/>
  <c r="F122" i="9"/>
  <c r="E122" i="9"/>
  <c r="D122" i="9"/>
  <c r="B122" i="9"/>
  <c r="A122" i="9"/>
  <c r="M121" i="9"/>
  <c r="L121" i="9"/>
  <c r="K121" i="9"/>
  <c r="J121" i="9"/>
  <c r="I121" i="9"/>
  <c r="H121" i="9"/>
  <c r="G121" i="9"/>
  <c r="F121" i="9"/>
  <c r="E121" i="9"/>
  <c r="D121" i="9"/>
  <c r="B121" i="9"/>
  <c r="A121" i="9"/>
  <c r="M120" i="9"/>
  <c r="L120" i="9"/>
  <c r="K120" i="9"/>
  <c r="J120" i="9"/>
  <c r="I120" i="9"/>
  <c r="H120" i="9"/>
  <c r="G120" i="9"/>
  <c r="F120" i="9"/>
  <c r="E120" i="9"/>
  <c r="D120" i="9"/>
  <c r="B120" i="9"/>
  <c r="A120" i="9"/>
  <c r="M119" i="9"/>
  <c r="L119" i="9"/>
  <c r="K119" i="9"/>
  <c r="J119" i="9"/>
  <c r="I119" i="9"/>
  <c r="H119" i="9"/>
  <c r="G119" i="9"/>
  <c r="F119" i="9"/>
  <c r="E119" i="9"/>
  <c r="D119" i="9"/>
  <c r="B119" i="9"/>
  <c r="A119" i="9"/>
  <c r="M118" i="9"/>
  <c r="L118" i="9"/>
  <c r="K118" i="9"/>
  <c r="J118" i="9"/>
  <c r="I118" i="9"/>
  <c r="H118" i="9"/>
  <c r="G118" i="9"/>
  <c r="F118" i="9"/>
  <c r="E118" i="9"/>
  <c r="D118" i="9"/>
  <c r="B118" i="9"/>
  <c r="A118" i="9"/>
  <c r="M117" i="9"/>
  <c r="L117" i="9"/>
  <c r="K117" i="9"/>
  <c r="J117" i="9"/>
  <c r="I117" i="9"/>
  <c r="H117" i="9"/>
  <c r="G117" i="9"/>
  <c r="F117" i="9"/>
  <c r="E117" i="9"/>
  <c r="D117" i="9"/>
  <c r="B117" i="9"/>
  <c r="A117" i="9"/>
  <c r="M116" i="9"/>
  <c r="L116" i="9"/>
  <c r="K116" i="9"/>
  <c r="J116" i="9"/>
  <c r="I116" i="9"/>
  <c r="H116" i="9"/>
  <c r="G116" i="9"/>
  <c r="F116" i="9"/>
  <c r="E116" i="9"/>
  <c r="D116" i="9"/>
  <c r="B116" i="9"/>
  <c r="A116" i="9"/>
  <c r="M115" i="9"/>
  <c r="L115" i="9"/>
  <c r="K115" i="9"/>
  <c r="J115" i="9"/>
  <c r="I115" i="9"/>
  <c r="H115" i="9"/>
  <c r="G115" i="9"/>
  <c r="F115" i="9"/>
  <c r="E115" i="9"/>
  <c r="D115" i="9"/>
  <c r="B115" i="9"/>
  <c r="A115" i="9"/>
  <c r="M114" i="9"/>
  <c r="L114" i="9"/>
  <c r="K114" i="9"/>
  <c r="J114" i="9"/>
  <c r="I114" i="9"/>
  <c r="H114" i="9"/>
  <c r="G114" i="9"/>
  <c r="F114" i="9"/>
  <c r="E114" i="9"/>
  <c r="D114" i="9"/>
  <c r="B114" i="9"/>
  <c r="A114" i="9"/>
  <c r="M113" i="9"/>
  <c r="L113" i="9"/>
  <c r="K113" i="9"/>
  <c r="J113" i="9"/>
  <c r="I113" i="9"/>
  <c r="H113" i="9"/>
  <c r="G113" i="9"/>
  <c r="F113" i="9"/>
  <c r="E113" i="9"/>
  <c r="D113" i="9"/>
  <c r="B113" i="9"/>
  <c r="A113" i="9"/>
  <c r="M112" i="9"/>
  <c r="L112" i="9"/>
  <c r="K112" i="9"/>
  <c r="J112" i="9"/>
  <c r="I112" i="9"/>
  <c r="H112" i="9"/>
  <c r="G112" i="9"/>
  <c r="F112" i="9"/>
  <c r="E112" i="9"/>
  <c r="D112" i="9"/>
  <c r="B112" i="9"/>
  <c r="A112" i="9"/>
  <c r="M111" i="9"/>
  <c r="L111" i="9"/>
  <c r="K111" i="9"/>
  <c r="J111" i="9"/>
  <c r="I111" i="9"/>
  <c r="H111" i="9"/>
  <c r="G111" i="9"/>
  <c r="F111" i="9"/>
  <c r="E111" i="9"/>
  <c r="D111" i="9"/>
  <c r="B111" i="9"/>
  <c r="A111" i="9"/>
  <c r="M110" i="9"/>
  <c r="L110" i="9"/>
  <c r="K110" i="9"/>
  <c r="J110" i="9"/>
  <c r="I110" i="9"/>
  <c r="H110" i="9"/>
  <c r="G110" i="9"/>
  <c r="F110" i="9"/>
  <c r="E110" i="9"/>
  <c r="D110" i="9"/>
  <c r="B110" i="9"/>
  <c r="A110" i="9"/>
  <c r="M109" i="9"/>
  <c r="L109" i="9"/>
  <c r="K109" i="9"/>
  <c r="J109" i="9"/>
  <c r="I109" i="9"/>
  <c r="H109" i="9"/>
  <c r="G109" i="9"/>
  <c r="F109" i="9"/>
  <c r="E109" i="9"/>
  <c r="D109" i="9"/>
  <c r="B109" i="9"/>
  <c r="A109" i="9"/>
  <c r="M108" i="9"/>
  <c r="L108" i="9"/>
  <c r="K108" i="9"/>
  <c r="J108" i="9"/>
  <c r="I108" i="9"/>
  <c r="H108" i="9"/>
  <c r="G108" i="9"/>
  <c r="F108" i="9"/>
  <c r="E108" i="9"/>
  <c r="D108" i="9"/>
  <c r="B108" i="9"/>
  <c r="A108" i="9"/>
  <c r="M107" i="9"/>
  <c r="L107" i="9"/>
  <c r="K107" i="9"/>
  <c r="J107" i="9"/>
  <c r="I107" i="9"/>
  <c r="H107" i="9"/>
  <c r="G107" i="9"/>
  <c r="F107" i="9"/>
  <c r="E107" i="9"/>
  <c r="D107" i="9"/>
  <c r="B107" i="9"/>
  <c r="A107" i="9"/>
  <c r="M106" i="9"/>
  <c r="L106" i="9"/>
  <c r="K106" i="9"/>
  <c r="J106" i="9"/>
  <c r="I106" i="9"/>
  <c r="H106" i="9"/>
  <c r="G106" i="9"/>
  <c r="F106" i="9"/>
  <c r="E106" i="9"/>
  <c r="D106" i="9"/>
  <c r="B106" i="9"/>
  <c r="A106" i="9"/>
  <c r="M105" i="9"/>
  <c r="L105" i="9"/>
  <c r="K105" i="9"/>
  <c r="J105" i="9"/>
  <c r="I105" i="9"/>
  <c r="H105" i="9"/>
  <c r="G105" i="9"/>
  <c r="F105" i="9"/>
  <c r="E105" i="9"/>
  <c r="D105" i="9"/>
  <c r="B105" i="9"/>
  <c r="A105" i="9"/>
  <c r="M104" i="9"/>
  <c r="L104" i="9"/>
  <c r="K104" i="9"/>
  <c r="J104" i="9"/>
  <c r="I104" i="9"/>
  <c r="H104" i="9"/>
  <c r="G104" i="9"/>
  <c r="F104" i="9"/>
  <c r="E104" i="9"/>
  <c r="D104" i="9"/>
  <c r="B104" i="9"/>
  <c r="A104" i="9"/>
  <c r="M103" i="9"/>
  <c r="L103" i="9"/>
  <c r="K103" i="9"/>
  <c r="J103" i="9"/>
  <c r="I103" i="9"/>
  <c r="H103" i="9"/>
  <c r="G103" i="9"/>
  <c r="F103" i="9"/>
  <c r="E103" i="9"/>
  <c r="D103" i="9"/>
  <c r="B103" i="9"/>
  <c r="A103" i="9"/>
  <c r="M102" i="9"/>
  <c r="L102" i="9"/>
  <c r="K102" i="9"/>
  <c r="J102" i="9"/>
  <c r="I102" i="9"/>
  <c r="H102" i="9"/>
  <c r="G102" i="9"/>
  <c r="F102" i="9"/>
  <c r="E102" i="9"/>
  <c r="D102" i="9"/>
  <c r="B102" i="9"/>
  <c r="A102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B101" i="9"/>
  <c r="A101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B100" i="9"/>
  <c r="A100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B99" i="9"/>
  <c r="A99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B98" i="9"/>
  <c r="A98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B97" i="9"/>
  <c r="A97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B96" i="9"/>
  <c r="A96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B95" i="9"/>
  <c r="A95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B94" i="9"/>
  <c r="A94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B93" i="9"/>
  <c r="A93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B92" i="9"/>
  <c r="A92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B91" i="9"/>
  <c r="A91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B90" i="9"/>
  <c r="A90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B89" i="9"/>
  <c r="A89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B88" i="9"/>
  <c r="A88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B87" i="9"/>
  <c r="A87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B86" i="9"/>
  <c r="A86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B85" i="9"/>
  <c r="A85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B84" i="9"/>
  <c r="A84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B83" i="9"/>
  <c r="A83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B82" i="9"/>
  <c r="A82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B81" i="9"/>
  <c r="A81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B80" i="9"/>
  <c r="A80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B79" i="9"/>
  <c r="A79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B78" i="9"/>
  <c r="A78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B77" i="9"/>
  <c r="A77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B76" i="9"/>
  <c r="A76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B75" i="9"/>
  <c r="A75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B74" i="9"/>
  <c r="A74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B73" i="9"/>
  <c r="A73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B72" i="9"/>
  <c r="A72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B71" i="9"/>
  <c r="A71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B70" i="9"/>
  <c r="A70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B69" i="9"/>
  <c r="A69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B68" i="9"/>
  <c r="A68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B67" i="9"/>
  <c r="A67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B66" i="9"/>
  <c r="A66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B65" i="9"/>
  <c r="A65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B64" i="9"/>
  <c r="A64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B63" i="9"/>
  <c r="A63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B62" i="9"/>
  <c r="A62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B61" i="9"/>
  <c r="A61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B60" i="9"/>
  <c r="A60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B59" i="9"/>
  <c r="A59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B58" i="9"/>
  <c r="A58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B57" i="9"/>
  <c r="A57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B56" i="9"/>
  <c r="A56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B55" i="9"/>
  <c r="A55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B54" i="9"/>
  <c r="A54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B53" i="9"/>
  <c r="A53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B52" i="9"/>
  <c r="A52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B51" i="9"/>
  <c r="A51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B50" i="9"/>
  <c r="A50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B49" i="9"/>
  <c r="A49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B48" i="9"/>
  <c r="A48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B47" i="9"/>
  <c r="A47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B46" i="9"/>
  <c r="A46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B45" i="9"/>
  <c r="A45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B44" i="9"/>
  <c r="A44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B43" i="9"/>
  <c r="A43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B42" i="9"/>
  <c r="A42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B41" i="9"/>
  <c r="A41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B40" i="9"/>
  <c r="A40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B39" i="9"/>
  <c r="A39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B38" i="9"/>
  <c r="A38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B37" i="9"/>
  <c r="A37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B36" i="9"/>
  <c r="A36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B35" i="9"/>
  <c r="A35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B34" i="9"/>
  <c r="A34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B33" i="9"/>
  <c r="A33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B32" i="9"/>
  <c r="A32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B31" i="9"/>
  <c r="A31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B30" i="9"/>
  <c r="A30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B29" i="9"/>
  <c r="A29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B28" i="9"/>
  <c r="A28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B27" i="9"/>
  <c r="A27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B26" i="9"/>
  <c r="A26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B25" i="9"/>
  <c r="A25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B24" i="9"/>
  <c r="A24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B23" i="9"/>
  <c r="A23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B22" i="9"/>
  <c r="A22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B21" i="9"/>
  <c r="A21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B20" i="9"/>
  <c r="A20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B19" i="9"/>
  <c r="A19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B18" i="9"/>
  <c r="A18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B17" i="9"/>
  <c r="A17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B16" i="9"/>
  <c r="A16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B15" i="9"/>
  <c r="A15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B14" i="9"/>
  <c r="A14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B13" i="9"/>
  <c r="A13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B12" i="9"/>
  <c r="A12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B11" i="9"/>
  <c r="A11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B10" i="9"/>
  <c r="A10" i="9"/>
  <c r="P9" i="9"/>
  <c r="O9" i="9"/>
  <c r="N9" i="9"/>
  <c r="M9" i="9"/>
  <c r="L9" i="9"/>
  <c r="K9" i="9"/>
  <c r="J9" i="9"/>
  <c r="I9" i="9"/>
  <c r="H9" i="9"/>
  <c r="G9" i="9"/>
  <c r="F9" i="9"/>
  <c r="E9" i="9"/>
  <c r="D9" i="9"/>
  <c r="B9" i="9"/>
  <c r="A9" i="9"/>
  <c r="P8" i="9"/>
  <c r="O8" i="9"/>
  <c r="N8" i="9"/>
  <c r="M8" i="9"/>
  <c r="L8" i="9"/>
  <c r="K8" i="9"/>
  <c r="J8" i="9"/>
  <c r="I8" i="9"/>
  <c r="H8" i="9"/>
  <c r="G8" i="9"/>
  <c r="F8" i="9"/>
  <c r="E8" i="9"/>
  <c r="D8" i="9"/>
  <c r="B8" i="9"/>
  <c r="A8" i="9"/>
  <c r="P7" i="9"/>
  <c r="O7" i="9"/>
  <c r="N7" i="9"/>
  <c r="M7" i="9"/>
  <c r="L7" i="9"/>
  <c r="K7" i="9"/>
  <c r="J7" i="9"/>
  <c r="I7" i="9"/>
  <c r="H7" i="9"/>
  <c r="G7" i="9"/>
  <c r="F7" i="9"/>
  <c r="E7" i="9"/>
  <c r="D7" i="9"/>
  <c r="B7" i="9"/>
  <c r="A7" i="9"/>
  <c r="P6" i="9"/>
  <c r="O6" i="9"/>
  <c r="N6" i="9"/>
  <c r="M6" i="9"/>
  <c r="L6" i="9"/>
  <c r="K6" i="9"/>
  <c r="J6" i="9"/>
  <c r="I6" i="9"/>
  <c r="H6" i="9"/>
  <c r="G6" i="9"/>
  <c r="F6" i="9"/>
  <c r="E6" i="9"/>
  <c r="D6" i="9"/>
  <c r="B6" i="9"/>
  <c r="A6" i="9"/>
  <c r="P5" i="9"/>
  <c r="O5" i="9"/>
  <c r="N5" i="9"/>
  <c r="M5" i="9"/>
  <c r="L5" i="9"/>
  <c r="K5" i="9"/>
  <c r="J5" i="9"/>
  <c r="I5" i="9"/>
  <c r="H5" i="9"/>
  <c r="G5" i="9"/>
  <c r="F5" i="9"/>
  <c r="E5" i="9"/>
  <c r="D5" i="9"/>
  <c r="B5" i="9"/>
  <c r="A5" i="9"/>
  <c r="P4" i="9"/>
  <c r="O4" i="9"/>
  <c r="N4" i="9"/>
  <c r="M4" i="9"/>
  <c r="L4" i="9"/>
  <c r="K4" i="9"/>
  <c r="J4" i="9"/>
  <c r="I4" i="9"/>
  <c r="H4" i="9"/>
  <c r="G4" i="9"/>
  <c r="F4" i="9"/>
  <c r="E4" i="9"/>
  <c r="D4" i="9"/>
  <c r="B4" i="9"/>
  <c r="A4" i="9"/>
  <c r="P3" i="9"/>
  <c r="O3" i="9"/>
  <c r="N3" i="9"/>
  <c r="M3" i="9"/>
  <c r="L3" i="9"/>
  <c r="K3" i="9"/>
  <c r="J3" i="9"/>
  <c r="I3" i="9"/>
  <c r="H3" i="9"/>
  <c r="G3" i="9"/>
  <c r="F3" i="9"/>
  <c r="E3" i="9"/>
  <c r="D3" i="9"/>
  <c r="B3" i="9"/>
  <c r="A3" i="9"/>
  <c r="P2" i="9"/>
  <c r="O2" i="9"/>
  <c r="N2" i="9"/>
  <c r="M2" i="9"/>
  <c r="L2" i="9"/>
  <c r="K2" i="9"/>
  <c r="J2" i="9"/>
  <c r="I2" i="9"/>
  <c r="H2" i="9"/>
  <c r="G2" i="9"/>
  <c r="F2" i="9"/>
  <c r="E2" i="9"/>
  <c r="D2" i="9"/>
  <c r="B2" i="9"/>
  <c r="A2" i="9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B151" i="8"/>
  <c r="A151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B150" i="8"/>
  <c r="A150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B149" i="8"/>
  <c r="A149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B148" i="8"/>
  <c r="A148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B147" i="8"/>
  <c r="A147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B146" i="8"/>
  <c r="A146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B145" i="8"/>
  <c r="A145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B144" i="8"/>
  <c r="A144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B143" i="8"/>
  <c r="A143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B142" i="8"/>
  <c r="A142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B141" i="8"/>
  <c r="A141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B140" i="8"/>
  <c r="A140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B139" i="8"/>
  <c r="A139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B138" i="8"/>
  <c r="A138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B137" i="8"/>
  <c r="A137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B136" i="8"/>
  <c r="A136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B135" i="8"/>
  <c r="A135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B134" i="8"/>
  <c r="A134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B133" i="8"/>
  <c r="A133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B132" i="8"/>
  <c r="A132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B131" i="8"/>
  <c r="A131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B130" i="8"/>
  <c r="A130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B129" i="8"/>
  <c r="A129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B128" i="8"/>
  <c r="A128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B127" i="8"/>
  <c r="A127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B126" i="8"/>
  <c r="A126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B125" i="8"/>
  <c r="A125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B124" i="8"/>
  <c r="A124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B123" i="8"/>
  <c r="A123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B122" i="8"/>
  <c r="A122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B121" i="8"/>
  <c r="A121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B120" i="8"/>
  <c r="A120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B119" i="8"/>
  <c r="A119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B118" i="8"/>
  <c r="A118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B117" i="8"/>
  <c r="A117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B116" i="8"/>
  <c r="A116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B115" i="8"/>
  <c r="A115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B114" i="8"/>
  <c r="A114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B113" i="8"/>
  <c r="A113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B112" i="8"/>
  <c r="A112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B111" i="8"/>
  <c r="A111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B110" i="8"/>
  <c r="A110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B109" i="8"/>
  <c r="A109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B108" i="8"/>
  <c r="A108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B107" i="8"/>
  <c r="A107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B106" i="8"/>
  <c r="A106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B105" i="8"/>
  <c r="A105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B104" i="8"/>
  <c r="A104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B103" i="8"/>
  <c r="A103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B102" i="8"/>
  <c r="A102" i="8"/>
  <c r="M101" i="8"/>
  <c r="L101" i="8"/>
  <c r="K101" i="8"/>
  <c r="J101" i="8"/>
  <c r="I101" i="8"/>
  <c r="H101" i="8"/>
  <c r="G101" i="8"/>
  <c r="F101" i="8"/>
  <c r="E101" i="8"/>
  <c r="D101" i="8"/>
  <c r="B101" i="8"/>
  <c r="A101" i="8"/>
  <c r="M100" i="8"/>
  <c r="L100" i="8"/>
  <c r="K100" i="8"/>
  <c r="J100" i="8"/>
  <c r="I100" i="8"/>
  <c r="H100" i="8"/>
  <c r="G100" i="8"/>
  <c r="F100" i="8"/>
  <c r="E100" i="8"/>
  <c r="D100" i="8"/>
  <c r="B100" i="8"/>
  <c r="A100" i="8"/>
  <c r="M99" i="8"/>
  <c r="L99" i="8"/>
  <c r="K99" i="8"/>
  <c r="J99" i="8"/>
  <c r="I99" i="8"/>
  <c r="H99" i="8"/>
  <c r="G99" i="8"/>
  <c r="F99" i="8"/>
  <c r="E99" i="8"/>
  <c r="D99" i="8"/>
  <c r="B99" i="8"/>
  <c r="A99" i="8"/>
  <c r="M98" i="8"/>
  <c r="L98" i="8"/>
  <c r="K98" i="8"/>
  <c r="J98" i="8"/>
  <c r="I98" i="8"/>
  <c r="H98" i="8"/>
  <c r="G98" i="8"/>
  <c r="F98" i="8"/>
  <c r="E98" i="8"/>
  <c r="D98" i="8"/>
  <c r="B98" i="8"/>
  <c r="A98" i="8"/>
  <c r="M97" i="8"/>
  <c r="L97" i="8"/>
  <c r="K97" i="8"/>
  <c r="J97" i="8"/>
  <c r="I97" i="8"/>
  <c r="H97" i="8"/>
  <c r="G97" i="8"/>
  <c r="F97" i="8"/>
  <c r="E97" i="8"/>
  <c r="D97" i="8"/>
  <c r="B97" i="8"/>
  <c r="A97" i="8"/>
  <c r="M96" i="8"/>
  <c r="L96" i="8"/>
  <c r="K96" i="8"/>
  <c r="J96" i="8"/>
  <c r="I96" i="8"/>
  <c r="H96" i="8"/>
  <c r="G96" i="8"/>
  <c r="F96" i="8"/>
  <c r="E96" i="8"/>
  <c r="D96" i="8"/>
  <c r="B96" i="8"/>
  <c r="A96" i="8"/>
  <c r="M95" i="8"/>
  <c r="L95" i="8"/>
  <c r="K95" i="8"/>
  <c r="J95" i="8"/>
  <c r="I95" i="8"/>
  <c r="H95" i="8"/>
  <c r="G95" i="8"/>
  <c r="F95" i="8"/>
  <c r="E95" i="8"/>
  <c r="D95" i="8"/>
  <c r="B95" i="8"/>
  <c r="A95" i="8"/>
  <c r="M94" i="8"/>
  <c r="L94" i="8"/>
  <c r="K94" i="8"/>
  <c r="J94" i="8"/>
  <c r="I94" i="8"/>
  <c r="H94" i="8"/>
  <c r="G94" i="8"/>
  <c r="F94" i="8"/>
  <c r="E94" i="8"/>
  <c r="D94" i="8"/>
  <c r="B94" i="8"/>
  <c r="A94" i="8"/>
  <c r="M93" i="8"/>
  <c r="L93" i="8"/>
  <c r="K93" i="8"/>
  <c r="J93" i="8"/>
  <c r="I93" i="8"/>
  <c r="H93" i="8"/>
  <c r="G93" i="8"/>
  <c r="F93" i="8"/>
  <c r="E93" i="8"/>
  <c r="D93" i="8"/>
  <c r="B93" i="8"/>
  <c r="A93" i="8"/>
  <c r="M92" i="8"/>
  <c r="L92" i="8"/>
  <c r="K92" i="8"/>
  <c r="J92" i="8"/>
  <c r="I92" i="8"/>
  <c r="H92" i="8"/>
  <c r="G92" i="8"/>
  <c r="F92" i="8"/>
  <c r="E92" i="8"/>
  <c r="D92" i="8"/>
  <c r="B92" i="8"/>
  <c r="A92" i="8"/>
  <c r="M91" i="8"/>
  <c r="L91" i="8"/>
  <c r="K91" i="8"/>
  <c r="J91" i="8"/>
  <c r="I91" i="8"/>
  <c r="H91" i="8"/>
  <c r="G91" i="8"/>
  <c r="F91" i="8"/>
  <c r="E91" i="8"/>
  <c r="D91" i="8"/>
  <c r="B91" i="8"/>
  <c r="A91" i="8"/>
  <c r="M90" i="8"/>
  <c r="L90" i="8"/>
  <c r="K90" i="8"/>
  <c r="J90" i="8"/>
  <c r="J152" i="8" s="1"/>
  <c r="I90" i="8"/>
  <c r="H90" i="8"/>
  <c r="G90" i="8"/>
  <c r="F90" i="8"/>
  <c r="F152" i="8" s="1"/>
  <c r="E90" i="8"/>
  <c r="D90" i="8"/>
  <c r="B90" i="8"/>
  <c r="A90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B89" i="8"/>
  <c r="A89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B88" i="8"/>
  <c r="A88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B87" i="8"/>
  <c r="A87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B86" i="8"/>
  <c r="A86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B85" i="8"/>
  <c r="A85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B84" i="8"/>
  <c r="A84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B83" i="8"/>
  <c r="A83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B82" i="8"/>
  <c r="A82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B81" i="8"/>
  <c r="A81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B80" i="8"/>
  <c r="A80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B79" i="8"/>
  <c r="A79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B78" i="8"/>
  <c r="A78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B77" i="8"/>
  <c r="A77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B76" i="8"/>
  <c r="A76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B75" i="8"/>
  <c r="A75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B74" i="8"/>
  <c r="A74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B73" i="8"/>
  <c r="A73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B72" i="8"/>
  <c r="A72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B71" i="8"/>
  <c r="A71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B70" i="8"/>
  <c r="A70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B69" i="8"/>
  <c r="A69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B68" i="8"/>
  <c r="A68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B67" i="8"/>
  <c r="A67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B66" i="8"/>
  <c r="A66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B65" i="8"/>
  <c r="A65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B64" i="8"/>
  <c r="A64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B63" i="8"/>
  <c r="A63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B62" i="8"/>
  <c r="A62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B61" i="8"/>
  <c r="A61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B60" i="8"/>
  <c r="A60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B59" i="8"/>
  <c r="A59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B58" i="8"/>
  <c r="A58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B57" i="8"/>
  <c r="A57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B56" i="8"/>
  <c r="A56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B55" i="8"/>
  <c r="A55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B54" i="8"/>
  <c r="A54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B53" i="8"/>
  <c r="A53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B52" i="8"/>
  <c r="A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B51" i="8"/>
  <c r="A51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B50" i="8"/>
  <c r="A50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B49" i="8"/>
  <c r="A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B48" i="8"/>
  <c r="A48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B47" i="8"/>
  <c r="A47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B46" i="8"/>
  <c r="A46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B45" i="8"/>
  <c r="A45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B44" i="8"/>
  <c r="A44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B43" i="8"/>
  <c r="A43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B42" i="8"/>
  <c r="A42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B41" i="8"/>
  <c r="A41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B40" i="8"/>
  <c r="A40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B39" i="8"/>
  <c r="A39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B38" i="8"/>
  <c r="A38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B37" i="8"/>
  <c r="A37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B36" i="8"/>
  <c r="A36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B35" i="8"/>
  <c r="A35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B34" i="8"/>
  <c r="A34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B33" i="8"/>
  <c r="A33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B32" i="8"/>
  <c r="A32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B31" i="8"/>
  <c r="A31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B30" i="8"/>
  <c r="A30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B29" i="8"/>
  <c r="A29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B28" i="8"/>
  <c r="A28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B27" i="8"/>
  <c r="A27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B26" i="8"/>
  <c r="A26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B25" i="8"/>
  <c r="A25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B24" i="8"/>
  <c r="A24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B23" i="8"/>
  <c r="A23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B22" i="8"/>
  <c r="A22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B21" i="8"/>
  <c r="A21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B20" i="8"/>
  <c r="A20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B19" i="8"/>
  <c r="A19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B18" i="8"/>
  <c r="A18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B17" i="8"/>
  <c r="A17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B16" i="8"/>
  <c r="A16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B15" i="8"/>
  <c r="A15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B14" i="8"/>
  <c r="A14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B13" i="8"/>
  <c r="A13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B12" i="8"/>
  <c r="A12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B11" i="8"/>
  <c r="A11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B10" i="8"/>
  <c r="A10" i="8"/>
  <c r="P9" i="8"/>
  <c r="O9" i="8"/>
  <c r="N9" i="8"/>
  <c r="M9" i="8"/>
  <c r="L9" i="8"/>
  <c r="K9" i="8"/>
  <c r="J9" i="8"/>
  <c r="I9" i="8"/>
  <c r="H9" i="8"/>
  <c r="G9" i="8"/>
  <c r="F9" i="8"/>
  <c r="E9" i="8"/>
  <c r="D9" i="8"/>
  <c r="B9" i="8"/>
  <c r="A9" i="8"/>
  <c r="P8" i="8"/>
  <c r="O8" i="8"/>
  <c r="N8" i="8"/>
  <c r="M8" i="8"/>
  <c r="L8" i="8"/>
  <c r="K8" i="8"/>
  <c r="J8" i="8"/>
  <c r="I8" i="8"/>
  <c r="H8" i="8"/>
  <c r="G8" i="8"/>
  <c r="F8" i="8"/>
  <c r="E8" i="8"/>
  <c r="D8" i="8"/>
  <c r="B8" i="8"/>
  <c r="A8" i="8"/>
  <c r="P7" i="8"/>
  <c r="O7" i="8"/>
  <c r="N7" i="8"/>
  <c r="M7" i="8"/>
  <c r="L7" i="8"/>
  <c r="K7" i="8"/>
  <c r="J7" i="8"/>
  <c r="I7" i="8"/>
  <c r="H7" i="8"/>
  <c r="G7" i="8"/>
  <c r="F7" i="8"/>
  <c r="E7" i="8"/>
  <c r="D7" i="8"/>
  <c r="B7" i="8"/>
  <c r="A7" i="8"/>
  <c r="P6" i="8"/>
  <c r="O6" i="8"/>
  <c r="N6" i="8"/>
  <c r="M6" i="8"/>
  <c r="L6" i="8"/>
  <c r="K6" i="8"/>
  <c r="J6" i="8"/>
  <c r="I6" i="8"/>
  <c r="H6" i="8"/>
  <c r="G6" i="8"/>
  <c r="F6" i="8"/>
  <c r="E6" i="8"/>
  <c r="D6" i="8"/>
  <c r="B6" i="8"/>
  <c r="A6" i="8"/>
  <c r="P5" i="8"/>
  <c r="O5" i="8"/>
  <c r="N5" i="8"/>
  <c r="M5" i="8"/>
  <c r="L5" i="8"/>
  <c r="K5" i="8"/>
  <c r="J5" i="8"/>
  <c r="I5" i="8"/>
  <c r="H5" i="8"/>
  <c r="G5" i="8"/>
  <c r="F5" i="8"/>
  <c r="E5" i="8"/>
  <c r="D5" i="8"/>
  <c r="B5" i="8"/>
  <c r="A5" i="8"/>
  <c r="P4" i="8"/>
  <c r="O4" i="8"/>
  <c r="N4" i="8"/>
  <c r="M4" i="8"/>
  <c r="L4" i="8"/>
  <c r="K4" i="8"/>
  <c r="J4" i="8"/>
  <c r="I4" i="8"/>
  <c r="H4" i="8"/>
  <c r="G4" i="8"/>
  <c r="F4" i="8"/>
  <c r="E4" i="8"/>
  <c r="D4" i="8"/>
  <c r="B4" i="8"/>
  <c r="A4" i="8"/>
  <c r="P3" i="8"/>
  <c r="O3" i="8"/>
  <c r="N3" i="8"/>
  <c r="M3" i="8"/>
  <c r="L3" i="8"/>
  <c r="K3" i="8"/>
  <c r="J3" i="8"/>
  <c r="I3" i="8"/>
  <c r="H3" i="8"/>
  <c r="G3" i="8"/>
  <c r="F3" i="8"/>
  <c r="E3" i="8"/>
  <c r="D3" i="8"/>
  <c r="B3" i="8"/>
  <c r="A3" i="8"/>
  <c r="P2" i="8"/>
  <c r="O2" i="8"/>
  <c r="N2" i="8"/>
  <c r="M2" i="8"/>
  <c r="L2" i="8"/>
  <c r="K2" i="8"/>
  <c r="J2" i="8"/>
  <c r="I2" i="8"/>
  <c r="H2" i="8"/>
  <c r="G2" i="8"/>
  <c r="F2" i="8"/>
  <c r="E2" i="8"/>
  <c r="D2" i="8"/>
  <c r="B2" i="8"/>
  <c r="A2" i="8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B151" i="7"/>
  <c r="A151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B150" i="7"/>
  <c r="A150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B149" i="7"/>
  <c r="A149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B148" i="7"/>
  <c r="A148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B147" i="7"/>
  <c r="A147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B146" i="7"/>
  <c r="A146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B145" i="7"/>
  <c r="A145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B144" i="7"/>
  <c r="A144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B143" i="7"/>
  <c r="A143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B142" i="7"/>
  <c r="A142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B141" i="7"/>
  <c r="A141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B140" i="7"/>
  <c r="A140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B139" i="7"/>
  <c r="A139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B138" i="7"/>
  <c r="A138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B137" i="7"/>
  <c r="A137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B136" i="7"/>
  <c r="A136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B135" i="7"/>
  <c r="A135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B134" i="7"/>
  <c r="A134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B133" i="7"/>
  <c r="A133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B132" i="7"/>
  <c r="A132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B131" i="7"/>
  <c r="A131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B130" i="7"/>
  <c r="A130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B129" i="7"/>
  <c r="A129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B128" i="7"/>
  <c r="A128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B127" i="7"/>
  <c r="A127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B126" i="7"/>
  <c r="A126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B125" i="7"/>
  <c r="A125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B124" i="7"/>
  <c r="A124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B123" i="7"/>
  <c r="A123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B122" i="7"/>
  <c r="A122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B121" i="7"/>
  <c r="A121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B120" i="7"/>
  <c r="A120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B119" i="7"/>
  <c r="A119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B118" i="7"/>
  <c r="A118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B117" i="7"/>
  <c r="A117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B116" i="7"/>
  <c r="A116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B115" i="7"/>
  <c r="A115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B114" i="7"/>
  <c r="A114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B113" i="7"/>
  <c r="A113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B112" i="7"/>
  <c r="A112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B111" i="7"/>
  <c r="A111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B110" i="7"/>
  <c r="A110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B109" i="7"/>
  <c r="A109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B108" i="7"/>
  <c r="A108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B107" i="7"/>
  <c r="A107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B106" i="7"/>
  <c r="A106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B105" i="7"/>
  <c r="A105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B104" i="7"/>
  <c r="A104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B103" i="7"/>
  <c r="A103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B102" i="7"/>
  <c r="A102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B101" i="7"/>
  <c r="A101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B100" i="7"/>
  <c r="A100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B99" i="7"/>
  <c r="A99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B98" i="7"/>
  <c r="A98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B97" i="7"/>
  <c r="A97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B96" i="7"/>
  <c r="A96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B95" i="7"/>
  <c r="A95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B94" i="7"/>
  <c r="A94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B93" i="7"/>
  <c r="A93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B92" i="7"/>
  <c r="A92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B91" i="7"/>
  <c r="A91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B90" i="7"/>
  <c r="A90" i="7"/>
  <c r="M89" i="7"/>
  <c r="L89" i="7"/>
  <c r="K89" i="7"/>
  <c r="J89" i="7"/>
  <c r="I89" i="7"/>
  <c r="H89" i="7"/>
  <c r="G89" i="7"/>
  <c r="F89" i="7"/>
  <c r="E89" i="7"/>
  <c r="D89" i="7"/>
  <c r="B89" i="7"/>
  <c r="A89" i="7"/>
  <c r="M88" i="7"/>
  <c r="L88" i="7"/>
  <c r="K88" i="7"/>
  <c r="J88" i="7"/>
  <c r="I88" i="7"/>
  <c r="H88" i="7"/>
  <c r="G88" i="7"/>
  <c r="F88" i="7"/>
  <c r="E88" i="7"/>
  <c r="D88" i="7"/>
  <c r="B88" i="7"/>
  <c r="A88" i="7"/>
  <c r="M87" i="7"/>
  <c r="L87" i="7"/>
  <c r="K87" i="7"/>
  <c r="J87" i="7"/>
  <c r="I87" i="7"/>
  <c r="H87" i="7"/>
  <c r="G87" i="7"/>
  <c r="F87" i="7"/>
  <c r="E87" i="7"/>
  <c r="D87" i="7"/>
  <c r="B87" i="7"/>
  <c r="A87" i="7"/>
  <c r="M86" i="7"/>
  <c r="L86" i="7"/>
  <c r="K86" i="7"/>
  <c r="J86" i="7"/>
  <c r="I86" i="7"/>
  <c r="H86" i="7"/>
  <c r="G86" i="7"/>
  <c r="F86" i="7"/>
  <c r="E86" i="7"/>
  <c r="D86" i="7"/>
  <c r="B86" i="7"/>
  <c r="A86" i="7"/>
  <c r="M85" i="7"/>
  <c r="L85" i="7"/>
  <c r="K85" i="7"/>
  <c r="J85" i="7"/>
  <c r="I85" i="7"/>
  <c r="H85" i="7"/>
  <c r="G85" i="7"/>
  <c r="F85" i="7"/>
  <c r="E85" i="7"/>
  <c r="D85" i="7"/>
  <c r="B85" i="7"/>
  <c r="A85" i="7"/>
  <c r="M84" i="7"/>
  <c r="L84" i="7"/>
  <c r="K84" i="7"/>
  <c r="J84" i="7"/>
  <c r="I84" i="7"/>
  <c r="H84" i="7"/>
  <c r="G84" i="7"/>
  <c r="F84" i="7"/>
  <c r="E84" i="7"/>
  <c r="D84" i="7"/>
  <c r="B84" i="7"/>
  <c r="A84" i="7"/>
  <c r="M83" i="7"/>
  <c r="L83" i="7"/>
  <c r="K83" i="7"/>
  <c r="J83" i="7"/>
  <c r="I83" i="7"/>
  <c r="H83" i="7"/>
  <c r="G83" i="7"/>
  <c r="F83" i="7"/>
  <c r="E83" i="7"/>
  <c r="D83" i="7"/>
  <c r="B83" i="7"/>
  <c r="A83" i="7"/>
  <c r="M82" i="7"/>
  <c r="L82" i="7"/>
  <c r="K82" i="7"/>
  <c r="J82" i="7"/>
  <c r="I82" i="7"/>
  <c r="H82" i="7"/>
  <c r="G82" i="7"/>
  <c r="F82" i="7"/>
  <c r="E82" i="7"/>
  <c r="D82" i="7"/>
  <c r="B82" i="7"/>
  <c r="A82" i="7"/>
  <c r="M81" i="7"/>
  <c r="L81" i="7"/>
  <c r="K81" i="7"/>
  <c r="J81" i="7"/>
  <c r="I81" i="7"/>
  <c r="H81" i="7"/>
  <c r="G81" i="7"/>
  <c r="F81" i="7"/>
  <c r="E81" i="7"/>
  <c r="D81" i="7"/>
  <c r="B81" i="7"/>
  <c r="A81" i="7"/>
  <c r="M80" i="7"/>
  <c r="L80" i="7"/>
  <c r="K80" i="7"/>
  <c r="J80" i="7"/>
  <c r="I80" i="7"/>
  <c r="H80" i="7"/>
  <c r="G80" i="7"/>
  <c r="F80" i="7"/>
  <c r="E80" i="7"/>
  <c r="D80" i="7"/>
  <c r="B80" i="7"/>
  <c r="A80" i="7"/>
  <c r="M79" i="7"/>
  <c r="L79" i="7"/>
  <c r="K79" i="7"/>
  <c r="J79" i="7"/>
  <c r="I79" i="7"/>
  <c r="H79" i="7"/>
  <c r="G79" i="7"/>
  <c r="F79" i="7"/>
  <c r="E79" i="7"/>
  <c r="D79" i="7"/>
  <c r="B79" i="7"/>
  <c r="A79" i="7"/>
  <c r="M78" i="7"/>
  <c r="L78" i="7"/>
  <c r="L152" i="7" s="1"/>
  <c r="K78" i="7"/>
  <c r="J78" i="7"/>
  <c r="J152" i="7" s="1"/>
  <c r="I78" i="7"/>
  <c r="H78" i="7"/>
  <c r="H152" i="7" s="1"/>
  <c r="G78" i="7"/>
  <c r="F78" i="7"/>
  <c r="E78" i="7"/>
  <c r="D78" i="7"/>
  <c r="D152" i="7" s="1"/>
  <c r="B78" i="7"/>
  <c r="A78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B77" i="7"/>
  <c r="A77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B76" i="7"/>
  <c r="A76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B75" i="7"/>
  <c r="A75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B74" i="7"/>
  <c r="A74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B73" i="7"/>
  <c r="A73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B72" i="7"/>
  <c r="A72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B71" i="7"/>
  <c r="A71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B70" i="7"/>
  <c r="A70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B69" i="7"/>
  <c r="A69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B68" i="7"/>
  <c r="A68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B67" i="7"/>
  <c r="A67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B66" i="7"/>
  <c r="A66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B65" i="7"/>
  <c r="A65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B64" i="7"/>
  <c r="A64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B63" i="7"/>
  <c r="A63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B62" i="7"/>
  <c r="A62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B61" i="7"/>
  <c r="A61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B60" i="7"/>
  <c r="A60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B59" i="7"/>
  <c r="A59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B58" i="7"/>
  <c r="A58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B57" i="7"/>
  <c r="A57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B56" i="7"/>
  <c r="A56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B55" i="7"/>
  <c r="A55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B54" i="7"/>
  <c r="A54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B53" i="7"/>
  <c r="A53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B52" i="7"/>
  <c r="A52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B51" i="7"/>
  <c r="A51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B50" i="7"/>
  <c r="A50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B49" i="7"/>
  <c r="A49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B48" i="7"/>
  <c r="A48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B47" i="7"/>
  <c r="A47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B46" i="7"/>
  <c r="A46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B45" i="7"/>
  <c r="A45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B44" i="7"/>
  <c r="A44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B43" i="7"/>
  <c r="A43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B42" i="7"/>
  <c r="A42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B41" i="7"/>
  <c r="A41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B40" i="7"/>
  <c r="A40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B39" i="7"/>
  <c r="A39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B38" i="7"/>
  <c r="A38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B37" i="7"/>
  <c r="A37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B36" i="7"/>
  <c r="A36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B35" i="7"/>
  <c r="A35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B34" i="7"/>
  <c r="A34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B33" i="7"/>
  <c r="A33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B32" i="7"/>
  <c r="A32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B31" i="7"/>
  <c r="A31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B30" i="7"/>
  <c r="A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B29" i="7"/>
  <c r="A29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B28" i="7"/>
  <c r="A28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B27" i="7"/>
  <c r="A27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B26" i="7"/>
  <c r="A26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B25" i="7"/>
  <c r="A25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B24" i="7"/>
  <c r="A24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B23" i="7"/>
  <c r="A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B22" i="7"/>
  <c r="A22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B21" i="7"/>
  <c r="A21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B20" i="7"/>
  <c r="A20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B19" i="7"/>
  <c r="A19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B18" i="7"/>
  <c r="A18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B17" i="7"/>
  <c r="A17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B16" i="7"/>
  <c r="A16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B15" i="7"/>
  <c r="A15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B14" i="7"/>
  <c r="A14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B13" i="7"/>
  <c r="A13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B12" i="7"/>
  <c r="A12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B11" i="7"/>
  <c r="A11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B10" i="7"/>
  <c r="A10" i="7"/>
  <c r="P9" i="7"/>
  <c r="O9" i="7"/>
  <c r="N9" i="7"/>
  <c r="M9" i="7"/>
  <c r="L9" i="7"/>
  <c r="K9" i="7"/>
  <c r="J9" i="7"/>
  <c r="I9" i="7"/>
  <c r="H9" i="7"/>
  <c r="G9" i="7"/>
  <c r="F9" i="7"/>
  <c r="E9" i="7"/>
  <c r="D9" i="7"/>
  <c r="B9" i="7"/>
  <c r="A9" i="7"/>
  <c r="P8" i="7"/>
  <c r="O8" i="7"/>
  <c r="N8" i="7"/>
  <c r="M8" i="7"/>
  <c r="L8" i="7"/>
  <c r="K8" i="7"/>
  <c r="J8" i="7"/>
  <c r="I8" i="7"/>
  <c r="H8" i="7"/>
  <c r="G8" i="7"/>
  <c r="F8" i="7"/>
  <c r="E8" i="7"/>
  <c r="D8" i="7"/>
  <c r="B8" i="7"/>
  <c r="A8" i="7"/>
  <c r="P7" i="7"/>
  <c r="O7" i="7"/>
  <c r="N7" i="7"/>
  <c r="M7" i="7"/>
  <c r="L7" i="7"/>
  <c r="K7" i="7"/>
  <c r="J7" i="7"/>
  <c r="I7" i="7"/>
  <c r="H7" i="7"/>
  <c r="G7" i="7"/>
  <c r="F7" i="7"/>
  <c r="E7" i="7"/>
  <c r="D7" i="7"/>
  <c r="B7" i="7"/>
  <c r="A7" i="7"/>
  <c r="P6" i="7"/>
  <c r="O6" i="7"/>
  <c r="N6" i="7"/>
  <c r="M6" i="7"/>
  <c r="L6" i="7"/>
  <c r="K6" i="7"/>
  <c r="J6" i="7"/>
  <c r="I6" i="7"/>
  <c r="H6" i="7"/>
  <c r="G6" i="7"/>
  <c r="F6" i="7"/>
  <c r="E6" i="7"/>
  <c r="D6" i="7"/>
  <c r="B6" i="7"/>
  <c r="A6" i="7"/>
  <c r="P5" i="7"/>
  <c r="O5" i="7"/>
  <c r="N5" i="7"/>
  <c r="M5" i="7"/>
  <c r="L5" i="7"/>
  <c r="K5" i="7"/>
  <c r="J5" i="7"/>
  <c r="I5" i="7"/>
  <c r="H5" i="7"/>
  <c r="G5" i="7"/>
  <c r="F5" i="7"/>
  <c r="E5" i="7"/>
  <c r="D5" i="7"/>
  <c r="B5" i="7"/>
  <c r="A5" i="7"/>
  <c r="P4" i="7"/>
  <c r="O4" i="7"/>
  <c r="N4" i="7"/>
  <c r="M4" i="7"/>
  <c r="L4" i="7"/>
  <c r="K4" i="7"/>
  <c r="J4" i="7"/>
  <c r="I4" i="7"/>
  <c r="H4" i="7"/>
  <c r="G4" i="7"/>
  <c r="F4" i="7"/>
  <c r="E4" i="7"/>
  <c r="D4" i="7"/>
  <c r="B4" i="7"/>
  <c r="A4" i="7"/>
  <c r="P3" i="7"/>
  <c r="O3" i="7"/>
  <c r="N3" i="7"/>
  <c r="M3" i="7"/>
  <c r="L3" i="7"/>
  <c r="K3" i="7"/>
  <c r="J3" i="7"/>
  <c r="I3" i="7"/>
  <c r="H3" i="7"/>
  <c r="G3" i="7"/>
  <c r="F3" i="7"/>
  <c r="E3" i="7"/>
  <c r="D3" i="7"/>
  <c r="B3" i="7"/>
  <c r="A3" i="7"/>
  <c r="P2" i="7"/>
  <c r="O2" i="7"/>
  <c r="N2" i="7"/>
  <c r="M2" i="7"/>
  <c r="L2" i="7"/>
  <c r="K2" i="7"/>
  <c r="J2" i="7"/>
  <c r="I2" i="7"/>
  <c r="H2" i="7"/>
  <c r="G2" i="7"/>
  <c r="F2" i="7"/>
  <c r="E2" i="7"/>
  <c r="D2" i="7"/>
  <c r="B2" i="7"/>
  <c r="A2" i="7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B151" i="6"/>
  <c r="A151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B150" i="6"/>
  <c r="A150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B149" i="6"/>
  <c r="A149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B148" i="6"/>
  <c r="A148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B147" i="6"/>
  <c r="A147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B146" i="6"/>
  <c r="A146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B145" i="6"/>
  <c r="A145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B144" i="6"/>
  <c r="A144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B143" i="6"/>
  <c r="A143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B142" i="6"/>
  <c r="A142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B141" i="6"/>
  <c r="A141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B140" i="6"/>
  <c r="A140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B139" i="6"/>
  <c r="A139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B138" i="6"/>
  <c r="A138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B137" i="6"/>
  <c r="A137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B136" i="6"/>
  <c r="A136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B135" i="6"/>
  <c r="A135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B134" i="6"/>
  <c r="A134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B133" i="6"/>
  <c r="A133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B132" i="6"/>
  <c r="A132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B131" i="6"/>
  <c r="A131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B130" i="6"/>
  <c r="A130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B129" i="6"/>
  <c r="A129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B128" i="6"/>
  <c r="A128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B127" i="6"/>
  <c r="A127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B126" i="6"/>
  <c r="A126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B125" i="6"/>
  <c r="A125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B124" i="6"/>
  <c r="A124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B123" i="6"/>
  <c r="A123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B122" i="6"/>
  <c r="A122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B121" i="6"/>
  <c r="A121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B120" i="6"/>
  <c r="A120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B119" i="6"/>
  <c r="A119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B118" i="6"/>
  <c r="A118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B117" i="6"/>
  <c r="A117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B116" i="6"/>
  <c r="A116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B115" i="6"/>
  <c r="A115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B114" i="6"/>
  <c r="A114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B113" i="6"/>
  <c r="A113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B112" i="6"/>
  <c r="A112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B111" i="6"/>
  <c r="A111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B110" i="6"/>
  <c r="A110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B109" i="6"/>
  <c r="A109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B108" i="6"/>
  <c r="A108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B107" i="6"/>
  <c r="A107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B106" i="6"/>
  <c r="A106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B105" i="6"/>
  <c r="A105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B104" i="6"/>
  <c r="A104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B103" i="6"/>
  <c r="A103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B102" i="6"/>
  <c r="A102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B101" i="6"/>
  <c r="A101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B100" i="6"/>
  <c r="A100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B99" i="6"/>
  <c r="A99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B98" i="6"/>
  <c r="A98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B97" i="6"/>
  <c r="A97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B96" i="6"/>
  <c r="A96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B95" i="6"/>
  <c r="A95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B94" i="6"/>
  <c r="A94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B93" i="6"/>
  <c r="A93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B92" i="6"/>
  <c r="A92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B91" i="6"/>
  <c r="A91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B90" i="6"/>
  <c r="A90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B89" i="6"/>
  <c r="A89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B88" i="6"/>
  <c r="A88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B87" i="6"/>
  <c r="A87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B86" i="6"/>
  <c r="A86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B85" i="6"/>
  <c r="A85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B84" i="6"/>
  <c r="A84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B83" i="6"/>
  <c r="A83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B82" i="6"/>
  <c r="A82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B81" i="6"/>
  <c r="A81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B80" i="6"/>
  <c r="A80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B79" i="6"/>
  <c r="A79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B78" i="6"/>
  <c r="A78" i="6"/>
  <c r="M77" i="6"/>
  <c r="L77" i="6"/>
  <c r="K77" i="6"/>
  <c r="J77" i="6"/>
  <c r="I77" i="6"/>
  <c r="H77" i="6"/>
  <c r="G77" i="6"/>
  <c r="F77" i="6"/>
  <c r="E77" i="6"/>
  <c r="D77" i="6"/>
  <c r="B77" i="6"/>
  <c r="A77" i="6"/>
  <c r="M76" i="6"/>
  <c r="L76" i="6"/>
  <c r="K76" i="6"/>
  <c r="J76" i="6"/>
  <c r="I76" i="6"/>
  <c r="H76" i="6"/>
  <c r="G76" i="6"/>
  <c r="F76" i="6"/>
  <c r="E76" i="6"/>
  <c r="D76" i="6"/>
  <c r="B76" i="6"/>
  <c r="A76" i="6"/>
  <c r="M75" i="6"/>
  <c r="L75" i="6"/>
  <c r="K75" i="6"/>
  <c r="J75" i="6"/>
  <c r="I75" i="6"/>
  <c r="H75" i="6"/>
  <c r="G75" i="6"/>
  <c r="F75" i="6"/>
  <c r="E75" i="6"/>
  <c r="D75" i="6"/>
  <c r="B75" i="6"/>
  <c r="A75" i="6"/>
  <c r="M74" i="6"/>
  <c r="L74" i="6"/>
  <c r="K74" i="6"/>
  <c r="J74" i="6"/>
  <c r="I74" i="6"/>
  <c r="H74" i="6"/>
  <c r="G74" i="6"/>
  <c r="F74" i="6"/>
  <c r="E74" i="6"/>
  <c r="D74" i="6"/>
  <c r="B74" i="6"/>
  <c r="A74" i="6"/>
  <c r="M73" i="6"/>
  <c r="L73" i="6"/>
  <c r="K73" i="6"/>
  <c r="J73" i="6"/>
  <c r="I73" i="6"/>
  <c r="H73" i="6"/>
  <c r="G73" i="6"/>
  <c r="F73" i="6"/>
  <c r="E73" i="6"/>
  <c r="D73" i="6"/>
  <c r="B73" i="6"/>
  <c r="A73" i="6"/>
  <c r="M72" i="6"/>
  <c r="L72" i="6"/>
  <c r="K72" i="6"/>
  <c r="J72" i="6"/>
  <c r="I72" i="6"/>
  <c r="H72" i="6"/>
  <c r="G72" i="6"/>
  <c r="F72" i="6"/>
  <c r="E72" i="6"/>
  <c r="D72" i="6"/>
  <c r="B72" i="6"/>
  <c r="A72" i="6"/>
  <c r="M71" i="6"/>
  <c r="L71" i="6"/>
  <c r="K71" i="6"/>
  <c r="J71" i="6"/>
  <c r="I71" i="6"/>
  <c r="H71" i="6"/>
  <c r="G71" i="6"/>
  <c r="F71" i="6"/>
  <c r="E71" i="6"/>
  <c r="D71" i="6"/>
  <c r="B71" i="6"/>
  <c r="A71" i="6"/>
  <c r="M70" i="6"/>
  <c r="L70" i="6"/>
  <c r="K70" i="6"/>
  <c r="J70" i="6"/>
  <c r="I70" i="6"/>
  <c r="H70" i="6"/>
  <c r="G70" i="6"/>
  <c r="F70" i="6"/>
  <c r="E70" i="6"/>
  <c r="D70" i="6"/>
  <c r="B70" i="6"/>
  <c r="A70" i="6"/>
  <c r="M69" i="6"/>
  <c r="M152" i="6" s="1"/>
  <c r="L69" i="6"/>
  <c r="L152" i="6" s="1"/>
  <c r="K69" i="6"/>
  <c r="K152" i="6" s="1"/>
  <c r="J69" i="6"/>
  <c r="J152" i="6" s="1"/>
  <c r="I69" i="6"/>
  <c r="I152" i="6" s="1"/>
  <c r="H69" i="6"/>
  <c r="G69" i="6"/>
  <c r="G152" i="6" s="1"/>
  <c r="F69" i="6"/>
  <c r="F152" i="6" s="1"/>
  <c r="E69" i="6"/>
  <c r="E152" i="6" s="1"/>
  <c r="D69" i="6"/>
  <c r="D152" i="6" s="1"/>
  <c r="B69" i="6"/>
  <c r="A69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B68" i="6"/>
  <c r="A68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B67" i="6"/>
  <c r="A67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B66" i="6"/>
  <c r="A66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B65" i="6"/>
  <c r="A65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B64" i="6"/>
  <c r="A64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B63" i="6"/>
  <c r="A63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B62" i="6"/>
  <c r="A62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B61" i="6"/>
  <c r="A61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B60" i="6"/>
  <c r="A60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B59" i="6"/>
  <c r="A59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B58" i="6"/>
  <c r="A58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B57" i="6"/>
  <c r="A57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B56" i="6"/>
  <c r="A56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B55" i="6"/>
  <c r="A55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B54" i="6"/>
  <c r="A54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B53" i="6"/>
  <c r="A53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B52" i="6"/>
  <c r="A52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B51" i="6"/>
  <c r="A51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B50" i="6"/>
  <c r="A50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B49" i="6"/>
  <c r="A49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B48" i="6"/>
  <c r="A48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B47" i="6"/>
  <c r="A47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B46" i="6"/>
  <c r="A46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B45" i="6"/>
  <c r="A45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B44" i="6"/>
  <c r="A44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B43" i="6"/>
  <c r="A43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B42" i="6"/>
  <c r="A42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B41" i="6"/>
  <c r="A41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B40" i="6"/>
  <c r="A40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B39" i="6"/>
  <c r="A39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B38" i="6"/>
  <c r="A38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B37" i="6"/>
  <c r="A37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B36" i="6"/>
  <c r="A36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B35" i="6"/>
  <c r="A35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B34" i="6"/>
  <c r="A34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B33" i="6"/>
  <c r="A33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B32" i="6"/>
  <c r="A32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B31" i="6"/>
  <c r="A31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B30" i="6"/>
  <c r="A30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B29" i="6"/>
  <c r="A29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B28" i="6"/>
  <c r="A28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B27" i="6"/>
  <c r="A27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B26" i="6"/>
  <c r="A26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B25" i="6"/>
  <c r="A25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B24" i="6"/>
  <c r="A24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B23" i="6"/>
  <c r="A23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B22" i="6"/>
  <c r="A22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B21" i="6"/>
  <c r="A21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B20" i="6"/>
  <c r="A20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B19" i="6"/>
  <c r="A19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B18" i="6"/>
  <c r="A18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B17" i="6"/>
  <c r="A17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B16" i="6"/>
  <c r="A16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B15" i="6"/>
  <c r="A15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B14" i="6"/>
  <c r="A14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B13" i="6"/>
  <c r="A13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B12" i="6"/>
  <c r="A12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B11" i="6"/>
  <c r="A11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B10" i="6"/>
  <c r="A10" i="6"/>
  <c r="P9" i="6"/>
  <c r="O9" i="6"/>
  <c r="N9" i="6"/>
  <c r="M9" i="6"/>
  <c r="L9" i="6"/>
  <c r="K9" i="6"/>
  <c r="J9" i="6"/>
  <c r="I9" i="6"/>
  <c r="H9" i="6"/>
  <c r="G9" i="6"/>
  <c r="F9" i="6"/>
  <c r="E9" i="6"/>
  <c r="D9" i="6"/>
  <c r="B9" i="6"/>
  <c r="A9" i="6"/>
  <c r="P8" i="6"/>
  <c r="O8" i="6"/>
  <c r="N8" i="6"/>
  <c r="M8" i="6"/>
  <c r="L8" i="6"/>
  <c r="K8" i="6"/>
  <c r="J8" i="6"/>
  <c r="I8" i="6"/>
  <c r="H8" i="6"/>
  <c r="G8" i="6"/>
  <c r="F8" i="6"/>
  <c r="E8" i="6"/>
  <c r="D8" i="6"/>
  <c r="B8" i="6"/>
  <c r="A8" i="6"/>
  <c r="P7" i="6"/>
  <c r="O7" i="6"/>
  <c r="N7" i="6"/>
  <c r="M7" i="6"/>
  <c r="L7" i="6"/>
  <c r="K7" i="6"/>
  <c r="J7" i="6"/>
  <c r="I7" i="6"/>
  <c r="H7" i="6"/>
  <c r="G7" i="6"/>
  <c r="F7" i="6"/>
  <c r="E7" i="6"/>
  <c r="D7" i="6"/>
  <c r="B7" i="6"/>
  <c r="A7" i="6"/>
  <c r="P6" i="6"/>
  <c r="O6" i="6"/>
  <c r="N6" i="6"/>
  <c r="M6" i="6"/>
  <c r="L6" i="6"/>
  <c r="K6" i="6"/>
  <c r="J6" i="6"/>
  <c r="I6" i="6"/>
  <c r="H6" i="6"/>
  <c r="G6" i="6"/>
  <c r="F6" i="6"/>
  <c r="E6" i="6"/>
  <c r="D6" i="6"/>
  <c r="B6" i="6"/>
  <c r="A6" i="6"/>
  <c r="P5" i="6"/>
  <c r="O5" i="6"/>
  <c r="N5" i="6"/>
  <c r="M5" i="6"/>
  <c r="L5" i="6"/>
  <c r="K5" i="6"/>
  <c r="J5" i="6"/>
  <c r="I5" i="6"/>
  <c r="H5" i="6"/>
  <c r="G5" i="6"/>
  <c r="F5" i="6"/>
  <c r="E5" i="6"/>
  <c r="D5" i="6"/>
  <c r="B5" i="6"/>
  <c r="A5" i="6"/>
  <c r="P4" i="6"/>
  <c r="O4" i="6"/>
  <c r="N4" i="6"/>
  <c r="M4" i="6"/>
  <c r="L4" i="6"/>
  <c r="K4" i="6"/>
  <c r="J4" i="6"/>
  <c r="I4" i="6"/>
  <c r="H4" i="6"/>
  <c r="G4" i="6"/>
  <c r="F4" i="6"/>
  <c r="E4" i="6"/>
  <c r="D4" i="6"/>
  <c r="B4" i="6"/>
  <c r="A4" i="6"/>
  <c r="P3" i="6"/>
  <c r="O3" i="6"/>
  <c r="N3" i="6"/>
  <c r="M3" i="6"/>
  <c r="L3" i="6"/>
  <c r="K3" i="6"/>
  <c r="J3" i="6"/>
  <c r="I3" i="6"/>
  <c r="H3" i="6"/>
  <c r="G3" i="6"/>
  <c r="F3" i="6"/>
  <c r="E3" i="6"/>
  <c r="D3" i="6"/>
  <c r="B3" i="6"/>
  <c r="A3" i="6"/>
  <c r="P2" i="6"/>
  <c r="O2" i="6"/>
  <c r="N2" i="6"/>
  <c r="M2" i="6"/>
  <c r="L2" i="6"/>
  <c r="K2" i="6"/>
  <c r="J2" i="6"/>
  <c r="I2" i="6"/>
  <c r="H2" i="6"/>
  <c r="G2" i="6"/>
  <c r="F2" i="6"/>
  <c r="E2" i="6"/>
  <c r="D2" i="6"/>
  <c r="B2" i="6"/>
  <c r="A2" i="6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B150" i="5"/>
  <c r="A150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B149" i="5"/>
  <c r="A149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B148" i="5"/>
  <c r="A148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B147" i="5"/>
  <c r="A147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B146" i="5"/>
  <c r="A146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B145" i="5"/>
  <c r="A145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B144" i="5"/>
  <c r="A144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B143" i="5"/>
  <c r="A143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B142" i="5"/>
  <c r="A142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B141" i="5"/>
  <c r="A141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B140" i="5"/>
  <c r="A140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B139" i="5"/>
  <c r="A139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B138" i="5"/>
  <c r="A138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B137" i="5"/>
  <c r="A137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B136" i="5"/>
  <c r="A136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B135" i="5"/>
  <c r="A135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B134" i="5"/>
  <c r="A134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B133" i="5"/>
  <c r="A133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B132" i="5"/>
  <c r="A132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B131" i="5"/>
  <c r="A131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B130" i="5"/>
  <c r="A130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B129" i="5"/>
  <c r="A129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B128" i="5"/>
  <c r="A128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B127" i="5"/>
  <c r="A127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B126" i="5"/>
  <c r="A126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B125" i="5"/>
  <c r="A125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B124" i="5"/>
  <c r="A124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B123" i="5"/>
  <c r="A123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B122" i="5"/>
  <c r="A122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B121" i="5"/>
  <c r="A121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B120" i="5"/>
  <c r="A120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B119" i="5"/>
  <c r="A119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B118" i="5"/>
  <c r="A118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B117" i="5"/>
  <c r="A117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B116" i="5"/>
  <c r="A116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B115" i="5"/>
  <c r="A115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B114" i="5"/>
  <c r="A114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B113" i="5"/>
  <c r="A113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B112" i="5"/>
  <c r="A112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B111" i="5"/>
  <c r="A111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B110" i="5"/>
  <c r="A110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B109" i="5"/>
  <c r="A109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B108" i="5"/>
  <c r="A108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B107" i="5"/>
  <c r="A107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B106" i="5"/>
  <c r="A106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B105" i="5"/>
  <c r="A105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B104" i="5"/>
  <c r="A104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B103" i="5"/>
  <c r="A103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B102" i="5"/>
  <c r="A102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B101" i="5"/>
  <c r="A101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B100" i="5"/>
  <c r="A100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B99" i="5"/>
  <c r="A99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B98" i="5"/>
  <c r="A98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B97" i="5"/>
  <c r="A97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B96" i="5"/>
  <c r="A96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B95" i="5"/>
  <c r="A95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B94" i="5"/>
  <c r="A94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B93" i="5"/>
  <c r="A93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B92" i="5"/>
  <c r="A92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B91" i="5"/>
  <c r="A91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B90" i="5"/>
  <c r="A90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B89" i="5"/>
  <c r="A89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B88" i="5"/>
  <c r="A88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B87" i="5"/>
  <c r="A87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B86" i="5"/>
  <c r="A86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B85" i="5"/>
  <c r="A85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B84" i="5"/>
  <c r="A84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B83" i="5"/>
  <c r="A83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B82" i="5"/>
  <c r="A82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B81" i="5"/>
  <c r="A81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B80" i="5"/>
  <c r="A80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B79" i="5"/>
  <c r="A79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B78" i="5"/>
  <c r="A78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B77" i="5"/>
  <c r="A77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B76" i="5"/>
  <c r="A76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B75" i="5"/>
  <c r="A75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B74" i="5"/>
  <c r="A74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B73" i="5"/>
  <c r="A73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B72" i="5"/>
  <c r="A72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B71" i="5"/>
  <c r="A71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B70" i="5"/>
  <c r="A70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B69" i="5"/>
  <c r="A69" i="5"/>
  <c r="M68" i="5"/>
  <c r="L68" i="5"/>
  <c r="K68" i="5"/>
  <c r="J68" i="5"/>
  <c r="I68" i="5"/>
  <c r="H68" i="5"/>
  <c r="G68" i="5"/>
  <c r="F68" i="5"/>
  <c r="E68" i="5"/>
  <c r="D68" i="5"/>
  <c r="B68" i="5"/>
  <c r="M67" i="5"/>
  <c r="L67" i="5"/>
  <c r="K67" i="5"/>
  <c r="J67" i="5"/>
  <c r="I67" i="5"/>
  <c r="H67" i="5"/>
  <c r="G67" i="5"/>
  <c r="F67" i="5"/>
  <c r="E67" i="5"/>
  <c r="D67" i="5"/>
  <c r="B67" i="5"/>
  <c r="A67" i="5"/>
  <c r="M66" i="5"/>
  <c r="L66" i="5"/>
  <c r="K66" i="5"/>
  <c r="J66" i="5"/>
  <c r="I66" i="5"/>
  <c r="H66" i="5"/>
  <c r="G66" i="5"/>
  <c r="F66" i="5"/>
  <c r="E66" i="5"/>
  <c r="D66" i="5"/>
  <c r="B66" i="5"/>
  <c r="A66" i="5"/>
  <c r="M65" i="5"/>
  <c r="L65" i="5"/>
  <c r="K65" i="5"/>
  <c r="J65" i="5"/>
  <c r="I65" i="5"/>
  <c r="H65" i="5"/>
  <c r="G65" i="5"/>
  <c r="F65" i="5"/>
  <c r="E65" i="5"/>
  <c r="D65" i="5"/>
  <c r="B65" i="5"/>
  <c r="A65" i="5"/>
  <c r="M64" i="5"/>
  <c r="L64" i="5"/>
  <c r="K64" i="5"/>
  <c r="J64" i="5"/>
  <c r="I64" i="5"/>
  <c r="H64" i="5"/>
  <c r="G64" i="5"/>
  <c r="F64" i="5"/>
  <c r="E64" i="5"/>
  <c r="D64" i="5"/>
  <c r="B64" i="5"/>
  <c r="A64" i="5"/>
  <c r="M63" i="5"/>
  <c r="L63" i="5"/>
  <c r="K63" i="5"/>
  <c r="J63" i="5"/>
  <c r="I63" i="5"/>
  <c r="H63" i="5"/>
  <c r="G63" i="5"/>
  <c r="F63" i="5"/>
  <c r="E63" i="5"/>
  <c r="D63" i="5"/>
  <c r="B63" i="5"/>
  <c r="A63" i="5"/>
  <c r="M62" i="5"/>
  <c r="L62" i="5"/>
  <c r="K62" i="5"/>
  <c r="J62" i="5"/>
  <c r="I62" i="5"/>
  <c r="H62" i="5"/>
  <c r="G62" i="5"/>
  <c r="F62" i="5"/>
  <c r="E62" i="5"/>
  <c r="D62" i="5"/>
  <c r="B62" i="5"/>
  <c r="A62" i="5"/>
  <c r="M61" i="5"/>
  <c r="L61" i="5"/>
  <c r="K61" i="5"/>
  <c r="J61" i="5"/>
  <c r="I61" i="5"/>
  <c r="H61" i="5"/>
  <c r="G61" i="5"/>
  <c r="F61" i="5"/>
  <c r="E61" i="5"/>
  <c r="D61" i="5"/>
  <c r="B61" i="5"/>
  <c r="A61" i="5"/>
  <c r="M60" i="5"/>
  <c r="L60" i="5"/>
  <c r="K60" i="5"/>
  <c r="J60" i="5"/>
  <c r="I60" i="5"/>
  <c r="H60" i="5"/>
  <c r="G60" i="5"/>
  <c r="F60" i="5"/>
  <c r="E60" i="5"/>
  <c r="D60" i="5"/>
  <c r="B60" i="5"/>
  <c r="A60" i="5"/>
  <c r="M59" i="5"/>
  <c r="L59" i="5"/>
  <c r="K59" i="5"/>
  <c r="J59" i="5"/>
  <c r="I59" i="5"/>
  <c r="H59" i="5"/>
  <c r="G59" i="5"/>
  <c r="F59" i="5"/>
  <c r="E59" i="5"/>
  <c r="D59" i="5"/>
  <c r="B59" i="5"/>
  <c r="A59" i="5"/>
  <c r="M58" i="5"/>
  <c r="L58" i="5"/>
  <c r="K58" i="5"/>
  <c r="J58" i="5"/>
  <c r="I58" i="5"/>
  <c r="H58" i="5"/>
  <c r="G58" i="5"/>
  <c r="F58" i="5"/>
  <c r="E58" i="5"/>
  <c r="D58" i="5"/>
  <c r="B58" i="5"/>
  <c r="A58" i="5"/>
  <c r="M57" i="5"/>
  <c r="L57" i="5"/>
  <c r="K57" i="5"/>
  <c r="J57" i="5"/>
  <c r="I57" i="5"/>
  <c r="H57" i="5"/>
  <c r="G57" i="5"/>
  <c r="F57" i="5"/>
  <c r="E57" i="5"/>
  <c r="D57" i="5"/>
  <c r="B57" i="5"/>
  <c r="A57" i="5"/>
  <c r="M56" i="5"/>
  <c r="L56" i="5"/>
  <c r="K56" i="5"/>
  <c r="J56" i="5"/>
  <c r="I56" i="5"/>
  <c r="H56" i="5"/>
  <c r="G56" i="5"/>
  <c r="F56" i="5"/>
  <c r="E56" i="5"/>
  <c r="D56" i="5"/>
  <c r="B56" i="5"/>
  <c r="A56" i="5"/>
  <c r="M55" i="5"/>
  <c r="L55" i="5"/>
  <c r="K55" i="5"/>
  <c r="J55" i="5"/>
  <c r="I55" i="5"/>
  <c r="H55" i="5"/>
  <c r="G55" i="5"/>
  <c r="F55" i="5"/>
  <c r="E55" i="5"/>
  <c r="D55" i="5"/>
  <c r="B55" i="5"/>
  <c r="A55" i="5"/>
  <c r="M54" i="5"/>
  <c r="L54" i="5"/>
  <c r="K54" i="5"/>
  <c r="J54" i="5"/>
  <c r="I54" i="5"/>
  <c r="H54" i="5"/>
  <c r="G54" i="5"/>
  <c r="F54" i="5"/>
  <c r="E54" i="5"/>
  <c r="D54" i="5"/>
  <c r="B54" i="5"/>
  <c r="A54" i="5"/>
  <c r="M53" i="5"/>
  <c r="L53" i="5"/>
  <c r="K53" i="5"/>
  <c r="J53" i="5"/>
  <c r="I53" i="5"/>
  <c r="H53" i="5"/>
  <c r="G53" i="5"/>
  <c r="F53" i="5"/>
  <c r="E53" i="5"/>
  <c r="D53" i="5"/>
  <c r="B53" i="5"/>
  <c r="A53" i="5"/>
  <c r="M52" i="5"/>
  <c r="L52" i="5"/>
  <c r="K52" i="5"/>
  <c r="J52" i="5"/>
  <c r="I52" i="5"/>
  <c r="H52" i="5"/>
  <c r="G52" i="5"/>
  <c r="F52" i="5"/>
  <c r="E52" i="5"/>
  <c r="D52" i="5"/>
  <c r="B52" i="5"/>
  <c r="A52" i="5"/>
  <c r="M51" i="5"/>
  <c r="L51" i="5"/>
  <c r="K51" i="5"/>
  <c r="J51" i="5"/>
  <c r="I51" i="5"/>
  <c r="H51" i="5"/>
  <c r="G51" i="5"/>
  <c r="F51" i="5"/>
  <c r="E51" i="5"/>
  <c r="D51" i="5"/>
  <c r="B51" i="5"/>
  <c r="A51" i="5"/>
  <c r="M50" i="5"/>
  <c r="L50" i="5"/>
  <c r="K50" i="5"/>
  <c r="J50" i="5"/>
  <c r="I50" i="5"/>
  <c r="H50" i="5"/>
  <c r="G50" i="5"/>
  <c r="F50" i="5"/>
  <c r="E50" i="5"/>
  <c r="D50" i="5"/>
  <c r="B50" i="5"/>
  <c r="A50" i="5"/>
  <c r="M49" i="5"/>
  <c r="L49" i="5"/>
  <c r="K49" i="5"/>
  <c r="J49" i="5"/>
  <c r="I49" i="5"/>
  <c r="H49" i="5"/>
  <c r="G49" i="5"/>
  <c r="F49" i="5"/>
  <c r="E49" i="5"/>
  <c r="D49" i="5"/>
  <c r="B49" i="5"/>
  <c r="A49" i="5"/>
  <c r="M48" i="5"/>
  <c r="L48" i="5"/>
  <c r="K48" i="5"/>
  <c r="J48" i="5"/>
  <c r="I48" i="5"/>
  <c r="H48" i="5"/>
  <c r="G48" i="5"/>
  <c r="F48" i="5"/>
  <c r="E48" i="5"/>
  <c r="D48" i="5"/>
  <c r="B48" i="5"/>
  <c r="A48" i="5"/>
  <c r="M47" i="5"/>
  <c r="L47" i="5"/>
  <c r="K47" i="5"/>
  <c r="J47" i="5"/>
  <c r="I47" i="5"/>
  <c r="H47" i="5"/>
  <c r="G47" i="5"/>
  <c r="F47" i="5"/>
  <c r="E47" i="5"/>
  <c r="D47" i="5"/>
  <c r="B47" i="5"/>
  <c r="A47" i="5"/>
  <c r="M46" i="5"/>
  <c r="L46" i="5"/>
  <c r="K46" i="5"/>
  <c r="J46" i="5"/>
  <c r="I46" i="5"/>
  <c r="H46" i="5"/>
  <c r="G46" i="5"/>
  <c r="F46" i="5"/>
  <c r="E46" i="5"/>
  <c r="D46" i="5"/>
  <c r="B46" i="5"/>
  <c r="A46" i="5"/>
  <c r="M45" i="5"/>
  <c r="L45" i="5"/>
  <c r="K45" i="5"/>
  <c r="J45" i="5"/>
  <c r="I45" i="5"/>
  <c r="H45" i="5"/>
  <c r="G45" i="5"/>
  <c r="F45" i="5"/>
  <c r="E45" i="5"/>
  <c r="D45" i="5"/>
  <c r="B45" i="5"/>
  <c r="A45" i="5"/>
  <c r="M44" i="5"/>
  <c r="L44" i="5"/>
  <c r="K44" i="5"/>
  <c r="J44" i="5"/>
  <c r="I44" i="5"/>
  <c r="H44" i="5"/>
  <c r="G44" i="5"/>
  <c r="F44" i="5"/>
  <c r="E44" i="5"/>
  <c r="D44" i="5"/>
  <c r="B44" i="5"/>
  <c r="A44" i="5"/>
  <c r="M43" i="5"/>
  <c r="L43" i="5"/>
  <c r="K43" i="5"/>
  <c r="K152" i="5" s="1"/>
  <c r="J43" i="5"/>
  <c r="I43" i="5"/>
  <c r="H43" i="5"/>
  <c r="G43" i="5"/>
  <c r="F43" i="5"/>
  <c r="E43" i="5"/>
  <c r="D43" i="5"/>
  <c r="B43" i="5"/>
  <c r="A43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B42" i="5"/>
  <c r="A42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B41" i="5"/>
  <c r="A41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B40" i="5"/>
  <c r="A40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B39" i="5"/>
  <c r="A39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B38" i="5"/>
  <c r="A38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B37" i="5"/>
  <c r="A37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B36" i="5"/>
  <c r="A36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B35" i="5"/>
  <c r="A35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B34" i="5"/>
  <c r="A34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B33" i="5"/>
  <c r="A33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B32" i="5"/>
  <c r="A32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B31" i="5"/>
  <c r="A31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B30" i="5"/>
  <c r="A30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B29" i="5"/>
  <c r="A29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B28" i="5"/>
  <c r="A28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B27" i="5"/>
  <c r="A27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B26" i="5"/>
  <c r="A26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B25" i="5"/>
  <c r="A25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B24" i="5"/>
  <c r="A24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B23" i="5"/>
  <c r="A23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B22" i="5"/>
  <c r="A22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B21" i="5"/>
  <c r="A21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B20" i="5"/>
  <c r="A20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B19" i="5"/>
  <c r="A19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B18" i="5"/>
  <c r="A18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B17" i="5"/>
  <c r="A17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B16" i="5"/>
  <c r="A16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B15" i="5"/>
  <c r="A15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B14" i="5"/>
  <c r="A14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B13" i="5"/>
  <c r="A13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B12" i="5"/>
  <c r="A12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B11" i="5"/>
  <c r="A11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B10" i="5"/>
  <c r="A10" i="5"/>
  <c r="P9" i="5"/>
  <c r="O9" i="5"/>
  <c r="N9" i="5"/>
  <c r="M9" i="5"/>
  <c r="L9" i="5"/>
  <c r="K9" i="5"/>
  <c r="J9" i="5"/>
  <c r="I9" i="5"/>
  <c r="H9" i="5"/>
  <c r="G9" i="5"/>
  <c r="F9" i="5"/>
  <c r="E9" i="5"/>
  <c r="D9" i="5"/>
  <c r="B9" i="5"/>
  <c r="A9" i="5"/>
  <c r="P8" i="5"/>
  <c r="O8" i="5"/>
  <c r="N8" i="5"/>
  <c r="M8" i="5"/>
  <c r="L8" i="5"/>
  <c r="K8" i="5"/>
  <c r="J8" i="5"/>
  <c r="I8" i="5"/>
  <c r="H8" i="5"/>
  <c r="G8" i="5"/>
  <c r="F8" i="5"/>
  <c r="E8" i="5"/>
  <c r="D8" i="5"/>
  <c r="B8" i="5"/>
  <c r="A8" i="5"/>
  <c r="P7" i="5"/>
  <c r="O7" i="5"/>
  <c r="N7" i="5"/>
  <c r="M7" i="5"/>
  <c r="L7" i="5"/>
  <c r="K7" i="5"/>
  <c r="J7" i="5"/>
  <c r="I7" i="5"/>
  <c r="H7" i="5"/>
  <c r="G7" i="5"/>
  <c r="F7" i="5"/>
  <c r="E7" i="5"/>
  <c r="D7" i="5"/>
  <c r="B7" i="5"/>
  <c r="A7" i="5"/>
  <c r="P6" i="5"/>
  <c r="O6" i="5"/>
  <c r="N6" i="5"/>
  <c r="M6" i="5"/>
  <c r="L6" i="5"/>
  <c r="K6" i="5"/>
  <c r="J6" i="5"/>
  <c r="I6" i="5"/>
  <c r="H6" i="5"/>
  <c r="G6" i="5"/>
  <c r="F6" i="5"/>
  <c r="E6" i="5"/>
  <c r="D6" i="5"/>
  <c r="B6" i="5"/>
  <c r="A6" i="5"/>
  <c r="P5" i="5"/>
  <c r="O5" i="5"/>
  <c r="N5" i="5"/>
  <c r="M5" i="5"/>
  <c r="L5" i="5"/>
  <c r="K5" i="5"/>
  <c r="J5" i="5"/>
  <c r="I5" i="5"/>
  <c r="H5" i="5"/>
  <c r="G5" i="5"/>
  <c r="F5" i="5"/>
  <c r="E5" i="5"/>
  <c r="D5" i="5"/>
  <c r="B5" i="5"/>
  <c r="A5" i="5"/>
  <c r="P4" i="5"/>
  <c r="O4" i="5"/>
  <c r="N4" i="5"/>
  <c r="M4" i="5"/>
  <c r="L4" i="5"/>
  <c r="K4" i="5"/>
  <c r="J4" i="5"/>
  <c r="I4" i="5"/>
  <c r="H4" i="5"/>
  <c r="G4" i="5"/>
  <c r="F4" i="5"/>
  <c r="E4" i="5"/>
  <c r="D4" i="5"/>
  <c r="B4" i="5"/>
  <c r="A4" i="5"/>
  <c r="P3" i="5"/>
  <c r="O3" i="5"/>
  <c r="N3" i="5"/>
  <c r="M3" i="5"/>
  <c r="L3" i="5"/>
  <c r="K3" i="5"/>
  <c r="J3" i="5"/>
  <c r="I3" i="5"/>
  <c r="H3" i="5"/>
  <c r="G3" i="5"/>
  <c r="F3" i="5"/>
  <c r="E3" i="5"/>
  <c r="D3" i="5"/>
  <c r="B3" i="5"/>
  <c r="A3" i="5"/>
  <c r="P2" i="5"/>
  <c r="O2" i="5"/>
  <c r="N2" i="5"/>
  <c r="M2" i="5"/>
  <c r="L2" i="5"/>
  <c r="K2" i="5"/>
  <c r="J2" i="5"/>
  <c r="I2" i="5"/>
  <c r="H2" i="5"/>
  <c r="G2" i="5"/>
  <c r="F2" i="5"/>
  <c r="E2" i="5"/>
  <c r="D2" i="5"/>
  <c r="B2" i="5"/>
  <c r="A2" i="5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B151" i="4"/>
  <c r="A151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B150" i="4"/>
  <c r="A150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B149" i="4"/>
  <c r="A149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B148" i="4"/>
  <c r="A148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B147" i="4"/>
  <c r="A147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B146" i="4"/>
  <c r="A146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B145" i="4"/>
  <c r="A145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B144" i="4"/>
  <c r="A144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B143" i="4"/>
  <c r="A143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B142" i="4"/>
  <c r="A142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B141" i="4"/>
  <c r="A141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B140" i="4"/>
  <c r="A140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B139" i="4"/>
  <c r="A139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B138" i="4"/>
  <c r="A138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B137" i="4"/>
  <c r="A137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B136" i="4"/>
  <c r="A136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B135" i="4"/>
  <c r="A135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B134" i="4"/>
  <c r="A134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B133" i="4"/>
  <c r="A133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B132" i="4"/>
  <c r="A132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B131" i="4"/>
  <c r="A131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B130" i="4"/>
  <c r="A130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B129" i="4"/>
  <c r="A129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B128" i="4"/>
  <c r="A128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B127" i="4"/>
  <c r="A127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B126" i="4"/>
  <c r="A126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B125" i="4"/>
  <c r="A125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B124" i="4"/>
  <c r="A124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B123" i="4"/>
  <c r="A123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B122" i="4"/>
  <c r="A122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B121" i="4"/>
  <c r="A121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B120" i="4"/>
  <c r="A120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B119" i="4"/>
  <c r="A119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B118" i="4"/>
  <c r="A118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B117" i="4"/>
  <c r="A117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B116" i="4"/>
  <c r="A116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B115" i="4"/>
  <c r="A115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B114" i="4"/>
  <c r="A114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B113" i="4"/>
  <c r="A113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B112" i="4"/>
  <c r="A112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B111" i="4"/>
  <c r="A111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B110" i="4"/>
  <c r="A110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B109" i="4"/>
  <c r="A109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B108" i="4"/>
  <c r="A108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B107" i="4"/>
  <c r="A107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B106" i="4"/>
  <c r="A106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B105" i="4"/>
  <c r="A105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B104" i="4"/>
  <c r="A104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B103" i="4"/>
  <c r="A103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B102" i="4"/>
  <c r="A102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B101" i="4"/>
  <c r="A101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B100" i="4"/>
  <c r="A100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B99" i="4"/>
  <c r="A99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B98" i="4"/>
  <c r="A98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B97" i="4"/>
  <c r="A97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B96" i="4"/>
  <c r="A96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B95" i="4"/>
  <c r="A95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B94" i="4"/>
  <c r="A94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B93" i="4"/>
  <c r="A93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B92" i="4"/>
  <c r="A92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B91" i="4"/>
  <c r="A91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B90" i="4"/>
  <c r="A90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B89" i="4"/>
  <c r="A89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B88" i="4"/>
  <c r="A88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B87" i="4"/>
  <c r="A87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B86" i="4"/>
  <c r="A86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B85" i="4"/>
  <c r="A85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B84" i="4"/>
  <c r="A84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B83" i="4"/>
  <c r="A83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B82" i="4"/>
  <c r="A82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B81" i="4"/>
  <c r="A81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B80" i="4"/>
  <c r="A80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B79" i="4"/>
  <c r="A79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B78" i="4"/>
  <c r="A78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B77" i="4"/>
  <c r="A77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B76" i="4"/>
  <c r="A76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B75" i="4"/>
  <c r="A75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B74" i="4"/>
  <c r="A74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B73" i="4"/>
  <c r="A73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B72" i="4"/>
  <c r="A72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B71" i="4"/>
  <c r="A71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B70" i="4"/>
  <c r="A70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B69" i="4"/>
  <c r="A69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B68" i="4"/>
  <c r="A68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B67" i="4"/>
  <c r="A67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B66" i="4"/>
  <c r="A66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B65" i="4"/>
  <c r="A65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B64" i="4"/>
  <c r="A64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B63" i="4"/>
  <c r="A63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B62" i="4"/>
  <c r="A62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B61" i="4"/>
  <c r="A61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B60" i="4"/>
  <c r="A60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B59" i="4"/>
  <c r="A59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B58" i="4"/>
  <c r="A58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B57" i="4"/>
  <c r="A57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B56" i="4"/>
  <c r="A56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B55" i="4"/>
  <c r="A55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B54" i="4"/>
  <c r="A54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B53" i="4"/>
  <c r="A53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B52" i="4"/>
  <c r="A52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B51" i="4"/>
  <c r="A51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B50" i="4"/>
  <c r="A50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B49" i="4"/>
  <c r="A49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B48" i="4"/>
  <c r="A48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B47" i="4"/>
  <c r="A47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B46" i="4"/>
  <c r="A46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B45" i="4"/>
  <c r="A45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B44" i="4"/>
  <c r="A44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B43" i="4"/>
  <c r="A43" i="4"/>
  <c r="M42" i="4"/>
  <c r="L42" i="4"/>
  <c r="K42" i="4"/>
  <c r="J42" i="4"/>
  <c r="I42" i="4"/>
  <c r="H42" i="4"/>
  <c r="G42" i="4"/>
  <c r="F42" i="4"/>
  <c r="E42" i="4"/>
  <c r="D42" i="4"/>
  <c r="B42" i="4"/>
  <c r="A42" i="4"/>
  <c r="M41" i="4"/>
  <c r="L41" i="4"/>
  <c r="K41" i="4"/>
  <c r="J41" i="4"/>
  <c r="I41" i="4"/>
  <c r="H41" i="4"/>
  <c r="G41" i="4"/>
  <c r="F41" i="4"/>
  <c r="E41" i="4"/>
  <c r="D41" i="4"/>
  <c r="B41" i="4"/>
  <c r="A41" i="4"/>
  <c r="M40" i="4"/>
  <c r="L40" i="4"/>
  <c r="K40" i="4"/>
  <c r="J40" i="4"/>
  <c r="I40" i="4"/>
  <c r="H40" i="4"/>
  <c r="G40" i="4"/>
  <c r="F40" i="4"/>
  <c r="E40" i="4"/>
  <c r="D40" i="4"/>
  <c r="B40" i="4"/>
  <c r="A40" i="4"/>
  <c r="M39" i="4"/>
  <c r="L39" i="4"/>
  <c r="K39" i="4"/>
  <c r="J39" i="4"/>
  <c r="I39" i="4"/>
  <c r="H39" i="4"/>
  <c r="G39" i="4"/>
  <c r="F39" i="4"/>
  <c r="E39" i="4"/>
  <c r="D39" i="4"/>
  <c r="B39" i="4"/>
  <c r="A39" i="4"/>
  <c r="M38" i="4"/>
  <c r="L38" i="4"/>
  <c r="K38" i="4"/>
  <c r="J38" i="4"/>
  <c r="I38" i="4"/>
  <c r="H38" i="4"/>
  <c r="G38" i="4"/>
  <c r="F38" i="4"/>
  <c r="E38" i="4"/>
  <c r="D38" i="4"/>
  <c r="B38" i="4"/>
  <c r="A38" i="4"/>
  <c r="M37" i="4"/>
  <c r="L37" i="4"/>
  <c r="K37" i="4"/>
  <c r="J37" i="4"/>
  <c r="I37" i="4"/>
  <c r="H37" i="4"/>
  <c r="G37" i="4"/>
  <c r="F37" i="4"/>
  <c r="E37" i="4"/>
  <c r="D37" i="4"/>
  <c r="B37" i="4"/>
  <c r="A37" i="4"/>
  <c r="M36" i="4"/>
  <c r="L36" i="4"/>
  <c r="K36" i="4"/>
  <c r="J36" i="4"/>
  <c r="I36" i="4"/>
  <c r="H36" i="4"/>
  <c r="G36" i="4"/>
  <c r="F36" i="4"/>
  <c r="E36" i="4"/>
  <c r="D36" i="4"/>
  <c r="B36" i="4"/>
  <c r="A36" i="4"/>
  <c r="M35" i="4"/>
  <c r="L35" i="4"/>
  <c r="K35" i="4"/>
  <c r="J35" i="4"/>
  <c r="I35" i="4"/>
  <c r="H35" i="4"/>
  <c r="G35" i="4"/>
  <c r="F35" i="4"/>
  <c r="E35" i="4"/>
  <c r="D35" i="4"/>
  <c r="B35" i="4"/>
  <c r="A35" i="4"/>
  <c r="M34" i="4"/>
  <c r="L34" i="4"/>
  <c r="K34" i="4"/>
  <c r="J34" i="4"/>
  <c r="I34" i="4"/>
  <c r="H34" i="4"/>
  <c r="G34" i="4"/>
  <c r="F34" i="4"/>
  <c r="E34" i="4"/>
  <c r="D34" i="4"/>
  <c r="B34" i="4"/>
  <c r="A34" i="4"/>
  <c r="M33" i="4"/>
  <c r="L33" i="4"/>
  <c r="K33" i="4"/>
  <c r="K152" i="4" s="1"/>
  <c r="J33" i="4"/>
  <c r="J152" i="4" s="1"/>
  <c r="I33" i="4"/>
  <c r="H33" i="4"/>
  <c r="G33" i="4"/>
  <c r="F33" i="4"/>
  <c r="E33" i="4"/>
  <c r="D33" i="4"/>
  <c r="B33" i="4"/>
  <c r="A33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B32" i="4"/>
  <c r="A32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B31" i="4"/>
  <c r="A31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B30" i="4"/>
  <c r="A30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B29" i="4"/>
  <c r="A29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B28" i="4"/>
  <c r="A28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B27" i="4"/>
  <c r="A27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B26" i="4"/>
  <c r="A26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B25" i="4"/>
  <c r="A25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B24" i="4"/>
  <c r="A24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B23" i="4"/>
  <c r="A23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B22" i="4"/>
  <c r="A22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B21" i="4"/>
  <c r="A21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B20" i="4"/>
  <c r="A20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B19" i="4"/>
  <c r="A19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B18" i="4"/>
  <c r="A18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B17" i="4"/>
  <c r="A17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B16" i="4"/>
  <c r="A16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B15" i="4"/>
  <c r="A15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B14" i="4"/>
  <c r="A14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B13" i="4"/>
  <c r="A13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B12" i="4"/>
  <c r="A12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B11" i="4"/>
  <c r="A11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B10" i="4"/>
  <c r="A10" i="4"/>
  <c r="P9" i="4"/>
  <c r="O9" i="4"/>
  <c r="N9" i="4"/>
  <c r="M9" i="4"/>
  <c r="L9" i="4"/>
  <c r="K9" i="4"/>
  <c r="J9" i="4"/>
  <c r="I9" i="4"/>
  <c r="H9" i="4"/>
  <c r="G9" i="4"/>
  <c r="F9" i="4"/>
  <c r="E9" i="4"/>
  <c r="D9" i="4"/>
  <c r="B9" i="4"/>
  <c r="A9" i="4"/>
  <c r="P8" i="4"/>
  <c r="O8" i="4"/>
  <c r="N8" i="4"/>
  <c r="M8" i="4"/>
  <c r="L8" i="4"/>
  <c r="K8" i="4"/>
  <c r="J8" i="4"/>
  <c r="I8" i="4"/>
  <c r="H8" i="4"/>
  <c r="G8" i="4"/>
  <c r="F8" i="4"/>
  <c r="E8" i="4"/>
  <c r="D8" i="4"/>
  <c r="B8" i="4"/>
  <c r="A8" i="4"/>
  <c r="P7" i="4"/>
  <c r="O7" i="4"/>
  <c r="N7" i="4"/>
  <c r="M7" i="4"/>
  <c r="L7" i="4"/>
  <c r="K7" i="4"/>
  <c r="J7" i="4"/>
  <c r="I7" i="4"/>
  <c r="H7" i="4"/>
  <c r="G7" i="4"/>
  <c r="F7" i="4"/>
  <c r="E7" i="4"/>
  <c r="D7" i="4"/>
  <c r="B7" i="4"/>
  <c r="A7" i="4"/>
  <c r="P6" i="4"/>
  <c r="O6" i="4"/>
  <c r="N6" i="4"/>
  <c r="M6" i="4"/>
  <c r="L6" i="4"/>
  <c r="K6" i="4"/>
  <c r="J6" i="4"/>
  <c r="I6" i="4"/>
  <c r="H6" i="4"/>
  <c r="G6" i="4"/>
  <c r="F6" i="4"/>
  <c r="E6" i="4"/>
  <c r="D6" i="4"/>
  <c r="B6" i="4"/>
  <c r="A6" i="4"/>
  <c r="P5" i="4"/>
  <c r="O5" i="4"/>
  <c r="N5" i="4"/>
  <c r="M5" i="4"/>
  <c r="L5" i="4"/>
  <c r="K5" i="4"/>
  <c r="J5" i="4"/>
  <c r="I5" i="4"/>
  <c r="H5" i="4"/>
  <c r="G5" i="4"/>
  <c r="F5" i="4"/>
  <c r="E5" i="4"/>
  <c r="D5" i="4"/>
  <c r="B5" i="4"/>
  <c r="A5" i="4"/>
  <c r="P4" i="4"/>
  <c r="O4" i="4"/>
  <c r="N4" i="4"/>
  <c r="M4" i="4"/>
  <c r="L4" i="4"/>
  <c r="K4" i="4"/>
  <c r="J4" i="4"/>
  <c r="I4" i="4"/>
  <c r="H4" i="4"/>
  <c r="G4" i="4"/>
  <c r="F4" i="4"/>
  <c r="E4" i="4"/>
  <c r="D4" i="4"/>
  <c r="B4" i="4"/>
  <c r="A4" i="4"/>
  <c r="P3" i="4"/>
  <c r="O3" i="4"/>
  <c r="N3" i="4"/>
  <c r="M3" i="4"/>
  <c r="L3" i="4"/>
  <c r="K3" i="4"/>
  <c r="J3" i="4"/>
  <c r="I3" i="4"/>
  <c r="H3" i="4"/>
  <c r="G3" i="4"/>
  <c r="F3" i="4"/>
  <c r="E3" i="4"/>
  <c r="D3" i="4"/>
  <c r="B3" i="4"/>
  <c r="A3" i="4"/>
  <c r="P2" i="4"/>
  <c r="O2" i="4"/>
  <c r="N2" i="4"/>
  <c r="M2" i="4"/>
  <c r="L2" i="4"/>
  <c r="K2" i="4"/>
  <c r="J2" i="4"/>
  <c r="I2" i="4"/>
  <c r="H2" i="4"/>
  <c r="G2" i="4"/>
  <c r="F2" i="4"/>
  <c r="E2" i="4"/>
  <c r="D2" i="4"/>
  <c r="B2" i="4"/>
  <c r="A2" i="4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B151" i="3"/>
  <c r="A151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B150" i="3"/>
  <c r="A150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B149" i="3"/>
  <c r="A149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B148" i="3"/>
  <c r="A148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B147" i="3"/>
  <c r="A147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B146" i="3"/>
  <c r="A146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B145" i="3"/>
  <c r="A145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B144" i="3"/>
  <c r="A144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B143" i="3"/>
  <c r="A143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B142" i="3"/>
  <c r="A142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B141" i="3"/>
  <c r="A141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B140" i="3"/>
  <c r="A140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B139" i="3"/>
  <c r="A139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B138" i="3"/>
  <c r="A138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B137" i="3"/>
  <c r="A137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B136" i="3"/>
  <c r="A136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B135" i="3"/>
  <c r="A135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B134" i="3"/>
  <c r="A134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B133" i="3"/>
  <c r="A133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B132" i="3"/>
  <c r="A132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B131" i="3"/>
  <c r="A131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B130" i="3"/>
  <c r="A130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B129" i="3"/>
  <c r="A129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B128" i="3"/>
  <c r="A128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B127" i="3"/>
  <c r="A127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B126" i="3"/>
  <c r="A126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B125" i="3"/>
  <c r="A125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B124" i="3"/>
  <c r="A124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B123" i="3"/>
  <c r="A123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B122" i="3"/>
  <c r="A122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B121" i="3"/>
  <c r="A121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B120" i="3"/>
  <c r="A120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B119" i="3"/>
  <c r="A119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B118" i="3"/>
  <c r="A118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B117" i="3"/>
  <c r="A117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B116" i="3"/>
  <c r="A116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B115" i="3"/>
  <c r="A115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B114" i="3"/>
  <c r="A114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B113" i="3"/>
  <c r="A113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B112" i="3"/>
  <c r="A112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B111" i="3"/>
  <c r="A111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B110" i="3"/>
  <c r="A110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B109" i="3"/>
  <c r="A109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B108" i="3"/>
  <c r="A108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B107" i="3"/>
  <c r="A107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B106" i="3"/>
  <c r="A106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B105" i="3"/>
  <c r="A105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B104" i="3"/>
  <c r="A104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B103" i="3"/>
  <c r="A103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B102" i="3"/>
  <c r="A102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B101" i="3"/>
  <c r="A101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B100" i="3"/>
  <c r="A100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B99" i="3"/>
  <c r="A99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B98" i="3"/>
  <c r="A98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B97" i="3"/>
  <c r="A97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B96" i="3"/>
  <c r="A96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B95" i="3"/>
  <c r="A95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B94" i="3"/>
  <c r="A94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B93" i="3"/>
  <c r="A93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B92" i="3"/>
  <c r="A92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B91" i="3"/>
  <c r="A91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B90" i="3"/>
  <c r="A90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B89" i="3"/>
  <c r="A89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B88" i="3"/>
  <c r="A88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B87" i="3"/>
  <c r="A87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B86" i="3"/>
  <c r="A86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B85" i="3"/>
  <c r="A85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B84" i="3"/>
  <c r="A84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B83" i="3"/>
  <c r="A83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B82" i="3"/>
  <c r="A82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B81" i="3"/>
  <c r="A81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B80" i="3"/>
  <c r="A80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B79" i="3"/>
  <c r="A79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B78" i="3"/>
  <c r="A78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B77" i="3"/>
  <c r="A77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B76" i="3"/>
  <c r="A76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B75" i="3"/>
  <c r="A75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B74" i="3"/>
  <c r="A74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B73" i="3"/>
  <c r="A73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B72" i="3"/>
  <c r="A72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B71" i="3"/>
  <c r="A71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B70" i="3"/>
  <c r="A70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B69" i="3"/>
  <c r="A69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B68" i="3"/>
  <c r="A68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B67" i="3"/>
  <c r="A67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B66" i="3"/>
  <c r="A66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B65" i="3"/>
  <c r="A65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B64" i="3"/>
  <c r="A64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B63" i="3"/>
  <c r="A63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B62" i="3"/>
  <c r="A62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B61" i="3"/>
  <c r="A61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B60" i="3"/>
  <c r="A60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B59" i="3"/>
  <c r="A59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B58" i="3"/>
  <c r="A58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B57" i="3"/>
  <c r="A57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B56" i="3"/>
  <c r="A56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B55" i="3"/>
  <c r="A55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B54" i="3"/>
  <c r="A54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B53" i="3"/>
  <c r="A53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B52" i="3"/>
  <c r="A52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B51" i="3"/>
  <c r="A51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B50" i="3"/>
  <c r="A50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B49" i="3"/>
  <c r="A49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B48" i="3"/>
  <c r="A48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B47" i="3"/>
  <c r="A47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B46" i="3"/>
  <c r="A46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B45" i="3"/>
  <c r="A45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B44" i="3"/>
  <c r="A44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B43" i="3"/>
  <c r="A43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B42" i="3"/>
  <c r="A42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B41" i="3"/>
  <c r="A41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B40" i="3"/>
  <c r="A40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B39" i="3"/>
  <c r="A39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B38" i="3"/>
  <c r="A38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B37" i="3"/>
  <c r="A37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B36" i="3"/>
  <c r="A36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B35" i="3"/>
  <c r="A35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B34" i="3"/>
  <c r="A34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B33" i="3"/>
  <c r="A33" i="3"/>
  <c r="M32" i="3"/>
  <c r="L32" i="3"/>
  <c r="K32" i="3"/>
  <c r="J32" i="3"/>
  <c r="I32" i="3"/>
  <c r="H32" i="3"/>
  <c r="G32" i="3"/>
  <c r="F32" i="3"/>
  <c r="E32" i="3"/>
  <c r="D32" i="3"/>
  <c r="B32" i="3"/>
  <c r="A32" i="3"/>
  <c r="M31" i="3"/>
  <c r="L31" i="3"/>
  <c r="K31" i="3"/>
  <c r="J31" i="3"/>
  <c r="I31" i="3"/>
  <c r="H31" i="3"/>
  <c r="G31" i="3"/>
  <c r="F31" i="3"/>
  <c r="E31" i="3"/>
  <c r="D31" i="3"/>
  <c r="B31" i="3"/>
  <c r="A31" i="3"/>
  <c r="M30" i="3"/>
  <c r="L30" i="3"/>
  <c r="K30" i="3"/>
  <c r="J30" i="3"/>
  <c r="I30" i="3"/>
  <c r="H30" i="3"/>
  <c r="G30" i="3"/>
  <c r="F30" i="3"/>
  <c r="E30" i="3"/>
  <c r="D30" i="3"/>
  <c r="B30" i="3"/>
  <c r="A30" i="3"/>
  <c r="M29" i="3"/>
  <c r="L29" i="3"/>
  <c r="K29" i="3"/>
  <c r="J29" i="3"/>
  <c r="I29" i="3"/>
  <c r="H29" i="3"/>
  <c r="G29" i="3"/>
  <c r="F29" i="3"/>
  <c r="E29" i="3"/>
  <c r="D29" i="3"/>
  <c r="B29" i="3"/>
  <c r="A29" i="3"/>
  <c r="M28" i="3"/>
  <c r="L28" i="3"/>
  <c r="K28" i="3"/>
  <c r="J28" i="3"/>
  <c r="I28" i="3"/>
  <c r="H28" i="3"/>
  <c r="G28" i="3"/>
  <c r="F28" i="3"/>
  <c r="E28" i="3"/>
  <c r="D28" i="3"/>
  <c r="B28" i="3"/>
  <c r="A28" i="3"/>
  <c r="M27" i="3"/>
  <c r="L27" i="3"/>
  <c r="K27" i="3"/>
  <c r="J27" i="3"/>
  <c r="I27" i="3"/>
  <c r="H27" i="3"/>
  <c r="G27" i="3"/>
  <c r="F27" i="3"/>
  <c r="E27" i="3"/>
  <c r="D27" i="3"/>
  <c r="B27" i="3"/>
  <c r="A27" i="3"/>
  <c r="M26" i="3"/>
  <c r="L26" i="3"/>
  <c r="K26" i="3"/>
  <c r="J26" i="3"/>
  <c r="I26" i="3"/>
  <c r="H26" i="3"/>
  <c r="G26" i="3"/>
  <c r="F26" i="3"/>
  <c r="E26" i="3"/>
  <c r="D26" i="3"/>
  <c r="B26" i="3"/>
  <c r="A26" i="3"/>
  <c r="M25" i="3"/>
  <c r="L25" i="3"/>
  <c r="K25" i="3"/>
  <c r="J25" i="3"/>
  <c r="I25" i="3"/>
  <c r="H25" i="3"/>
  <c r="G25" i="3"/>
  <c r="F25" i="3"/>
  <c r="E25" i="3"/>
  <c r="D25" i="3"/>
  <c r="B25" i="3"/>
  <c r="A25" i="3"/>
  <c r="M24" i="3"/>
  <c r="L24" i="3"/>
  <c r="K24" i="3"/>
  <c r="J24" i="3"/>
  <c r="I24" i="3"/>
  <c r="H24" i="3"/>
  <c r="G24" i="3"/>
  <c r="F24" i="3"/>
  <c r="E24" i="3"/>
  <c r="D24" i="3"/>
  <c r="B24" i="3"/>
  <c r="A24" i="3"/>
  <c r="M23" i="3"/>
  <c r="L23" i="3"/>
  <c r="K23" i="3"/>
  <c r="J23" i="3"/>
  <c r="I23" i="3"/>
  <c r="H23" i="3"/>
  <c r="G23" i="3"/>
  <c r="F23" i="3"/>
  <c r="E23" i="3"/>
  <c r="D23" i="3"/>
  <c r="B23" i="3"/>
  <c r="A23" i="3"/>
  <c r="M22" i="3"/>
  <c r="L22" i="3"/>
  <c r="K22" i="3"/>
  <c r="J22" i="3"/>
  <c r="I22" i="3"/>
  <c r="H22" i="3"/>
  <c r="G22" i="3"/>
  <c r="F22" i="3"/>
  <c r="E22" i="3"/>
  <c r="D22" i="3"/>
  <c r="B22" i="3"/>
  <c r="A22" i="3"/>
  <c r="M21" i="3"/>
  <c r="L21" i="3"/>
  <c r="K21" i="3"/>
  <c r="J21" i="3"/>
  <c r="I21" i="3"/>
  <c r="H21" i="3"/>
  <c r="G21" i="3"/>
  <c r="F21" i="3"/>
  <c r="E21" i="3"/>
  <c r="D21" i="3"/>
  <c r="B21" i="3"/>
  <c r="A21" i="3"/>
  <c r="M20" i="3"/>
  <c r="L20" i="3"/>
  <c r="K20" i="3"/>
  <c r="J20" i="3"/>
  <c r="I20" i="3"/>
  <c r="H20" i="3"/>
  <c r="G20" i="3"/>
  <c r="F20" i="3"/>
  <c r="E20" i="3"/>
  <c r="D20" i="3"/>
  <c r="B20" i="3"/>
  <c r="A20" i="3"/>
  <c r="M19" i="3"/>
  <c r="L19" i="3"/>
  <c r="K19" i="3"/>
  <c r="J19" i="3"/>
  <c r="I19" i="3"/>
  <c r="H19" i="3"/>
  <c r="G19" i="3"/>
  <c r="F19" i="3"/>
  <c r="E19" i="3"/>
  <c r="D19" i="3"/>
  <c r="B19" i="3"/>
  <c r="A19" i="3"/>
  <c r="M18" i="3"/>
  <c r="L18" i="3"/>
  <c r="K18" i="3"/>
  <c r="J18" i="3"/>
  <c r="I18" i="3"/>
  <c r="H18" i="3"/>
  <c r="G18" i="3"/>
  <c r="F18" i="3"/>
  <c r="E18" i="3"/>
  <c r="D18" i="3"/>
  <c r="B18" i="3"/>
  <c r="A18" i="3"/>
  <c r="M17" i="3"/>
  <c r="L17" i="3"/>
  <c r="K17" i="3"/>
  <c r="J17" i="3"/>
  <c r="I17" i="3"/>
  <c r="H17" i="3"/>
  <c r="G17" i="3"/>
  <c r="F17" i="3"/>
  <c r="E17" i="3"/>
  <c r="D17" i="3"/>
  <c r="B17" i="3"/>
  <c r="A17" i="3"/>
  <c r="M16" i="3"/>
  <c r="L16" i="3"/>
  <c r="K16" i="3"/>
  <c r="J16" i="3"/>
  <c r="I16" i="3"/>
  <c r="H16" i="3"/>
  <c r="G16" i="3"/>
  <c r="F16" i="3"/>
  <c r="E16" i="3"/>
  <c r="D16" i="3"/>
  <c r="B16" i="3"/>
  <c r="A16" i="3"/>
  <c r="M15" i="3"/>
  <c r="L15" i="3"/>
  <c r="K15" i="3"/>
  <c r="J15" i="3"/>
  <c r="I15" i="3"/>
  <c r="H15" i="3"/>
  <c r="G15" i="3"/>
  <c r="F15" i="3"/>
  <c r="E15" i="3"/>
  <c r="D15" i="3"/>
  <c r="B15" i="3"/>
  <c r="A15" i="3"/>
  <c r="O14" i="3"/>
  <c r="N14" i="3"/>
  <c r="M14" i="3"/>
  <c r="L14" i="3"/>
  <c r="K14" i="3"/>
  <c r="J14" i="3"/>
  <c r="I14" i="3"/>
  <c r="H14" i="3"/>
  <c r="G14" i="3"/>
  <c r="F14" i="3"/>
  <c r="E14" i="3"/>
  <c r="D14" i="3"/>
  <c r="B14" i="3"/>
  <c r="A14" i="3"/>
  <c r="M13" i="3"/>
  <c r="L13" i="3"/>
  <c r="K13" i="3"/>
  <c r="J13" i="3"/>
  <c r="I13" i="3"/>
  <c r="H13" i="3"/>
  <c r="G13" i="3"/>
  <c r="F13" i="3"/>
  <c r="E13" i="3"/>
  <c r="D13" i="3"/>
  <c r="B13" i="3"/>
  <c r="A13" i="3"/>
  <c r="M12" i="3"/>
  <c r="L12" i="3"/>
  <c r="K12" i="3"/>
  <c r="J12" i="3"/>
  <c r="I12" i="3"/>
  <c r="H12" i="3"/>
  <c r="G12" i="3"/>
  <c r="F12" i="3"/>
  <c r="E12" i="3"/>
  <c r="D12" i="3"/>
  <c r="B12" i="3"/>
  <c r="A12" i="3"/>
  <c r="M11" i="3"/>
  <c r="L11" i="3"/>
  <c r="K11" i="3"/>
  <c r="J11" i="3"/>
  <c r="I11" i="3"/>
  <c r="H11" i="3"/>
  <c r="G11" i="3"/>
  <c r="F11" i="3"/>
  <c r="E11" i="3"/>
  <c r="D11" i="3"/>
  <c r="B11" i="3"/>
  <c r="A11" i="3"/>
  <c r="M10" i="3"/>
  <c r="L10" i="3"/>
  <c r="K10" i="3"/>
  <c r="J10" i="3"/>
  <c r="I10" i="3"/>
  <c r="H10" i="3"/>
  <c r="G10" i="3"/>
  <c r="F10" i="3"/>
  <c r="E10" i="3"/>
  <c r="D10" i="3"/>
  <c r="B10" i="3"/>
  <c r="A10" i="3"/>
  <c r="M9" i="3"/>
  <c r="L9" i="3"/>
  <c r="K9" i="3"/>
  <c r="J9" i="3"/>
  <c r="I9" i="3"/>
  <c r="H9" i="3"/>
  <c r="G9" i="3"/>
  <c r="F9" i="3"/>
  <c r="E9" i="3"/>
  <c r="D9" i="3"/>
  <c r="B9" i="3"/>
  <c r="A9" i="3"/>
  <c r="M8" i="3"/>
  <c r="L8" i="3"/>
  <c r="K8" i="3"/>
  <c r="J8" i="3"/>
  <c r="I8" i="3"/>
  <c r="H8" i="3"/>
  <c r="G8" i="3"/>
  <c r="F8" i="3"/>
  <c r="E8" i="3"/>
  <c r="D8" i="3"/>
  <c r="B8" i="3"/>
  <c r="A8" i="3"/>
  <c r="M7" i="3"/>
  <c r="L7" i="3"/>
  <c r="K7" i="3"/>
  <c r="J7" i="3"/>
  <c r="I7" i="3"/>
  <c r="H7" i="3"/>
  <c r="G7" i="3"/>
  <c r="F7" i="3"/>
  <c r="E7" i="3"/>
  <c r="D7" i="3"/>
  <c r="B7" i="3"/>
  <c r="A7" i="3"/>
  <c r="M6" i="3"/>
  <c r="L6" i="3"/>
  <c r="K6" i="3"/>
  <c r="J6" i="3"/>
  <c r="I6" i="3"/>
  <c r="H6" i="3"/>
  <c r="G6" i="3"/>
  <c r="F6" i="3"/>
  <c r="E6" i="3"/>
  <c r="D6" i="3"/>
  <c r="B6" i="3"/>
  <c r="A6" i="3"/>
  <c r="M5" i="3"/>
  <c r="L5" i="3"/>
  <c r="K5" i="3"/>
  <c r="J5" i="3"/>
  <c r="I5" i="3"/>
  <c r="H5" i="3"/>
  <c r="G5" i="3"/>
  <c r="F5" i="3"/>
  <c r="E5" i="3"/>
  <c r="D5" i="3"/>
  <c r="B5" i="3"/>
  <c r="A5" i="3"/>
  <c r="M4" i="3"/>
  <c r="L4" i="3"/>
  <c r="K4" i="3"/>
  <c r="J4" i="3"/>
  <c r="I4" i="3"/>
  <c r="H4" i="3"/>
  <c r="G4" i="3"/>
  <c r="F4" i="3"/>
  <c r="E4" i="3"/>
  <c r="D4" i="3"/>
  <c r="B4" i="3"/>
  <c r="A4" i="3"/>
  <c r="M3" i="3"/>
  <c r="L3" i="3"/>
  <c r="K3" i="3"/>
  <c r="J3" i="3"/>
  <c r="I3" i="3"/>
  <c r="H3" i="3"/>
  <c r="G3" i="3"/>
  <c r="F3" i="3"/>
  <c r="E3" i="3"/>
  <c r="D3" i="3"/>
  <c r="B3" i="3"/>
  <c r="A3" i="3"/>
  <c r="M2" i="3"/>
  <c r="M152" i="3" s="1"/>
  <c r="L2" i="3"/>
  <c r="K2" i="3"/>
  <c r="J2" i="3"/>
  <c r="I2" i="3"/>
  <c r="I152" i="3" s="1"/>
  <c r="H2" i="3"/>
  <c r="G2" i="3"/>
  <c r="F2" i="3"/>
  <c r="E2" i="3"/>
  <c r="E152" i="3" s="1"/>
  <c r="D2" i="3"/>
  <c r="B2" i="3"/>
  <c r="A2" i="3"/>
  <c r="N152" i="2"/>
  <c r="N151" i="9" s="1"/>
  <c r="N151" i="2"/>
  <c r="N150" i="2"/>
  <c r="N149" i="9" s="1"/>
  <c r="N149" i="2"/>
  <c r="O149" i="2" s="1"/>
  <c r="N148" i="2"/>
  <c r="N147" i="2"/>
  <c r="N146" i="9" s="1"/>
  <c r="N146" i="2"/>
  <c r="N145" i="9" s="1"/>
  <c r="N145" i="2"/>
  <c r="N144" i="2"/>
  <c r="N143" i="9" s="1"/>
  <c r="N143" i="2"/>
  <c r="N142" i="2"/>
  <c r="N141" i="9" s="1"/>
  <c r="N141" i="2"/>
  <c r="N140" i="9" s="1"/>
  <c r="N140" i="2"/>
  <c r="O140" i="2" s="1"/>
  <c r="N139" i="2"/>
  <c r="N138" i="9" s="1"/>
  <c r="N138" i="2"/>
  <c r="N137" i="9" s="1"/>
  <c r="N137" i="2"/>
  <c r="O137" i="2" s="1"/>
  <c r="N136" i="2"/>
  <c r="O136" i="2" s="1"/>
  <c r="N135" i="2"/>
  <c r="N134" i="2"/>
  <c r="N133" i="9" s="1"/>
  <c r="N133" i="2"/>
  <c r="N132" i="9" s="1"/>
  <c r="N132" i="2"/>
  <c r="N131" i="2"/>
  <c r="N130" i="9" s="1"/>
  <c r="N130" i="2"/>
  <c r="N129" i="9" s="1"/>
  <c r="N129" i="2"/>
  <c r="N128" i="2"/>
  <c r="O128" i="2" s="1"/>
  <c r="N127" i="2"/>
  <c r="O127" i="2" s="1"/>
  <c r="P127" i="2" s="1"/>
  <c r="P126" i="9" s="1"/>
  <c r="N126" i="2"/>
  <c r="O126" i="2" s="1"/>
  <c r="N125" i="2"/>
  <c r="N124" i="9" s="1"/>
  <c r="N124" i="2"/>
  <c r="O124" i="2" s="1"/>
  <c r="N123" i="2"/>
  <c r="N122" i="9" s="1"/>
  <c r="N122" i="2"/>
  <c r="N121" i="9" s="1"/>
  <c r="N121" i="2"/>
  <c r="N120" i="9" s="1"/>
  <c r="N120" i="2"/>
  <c r="N119" i="9" s="1"/>
  <c r="N119" i="2"/>
  <c r="N118" i="2"/>
  <c r="N117" i="9" s="1"/>
  <c r="N117" i="2"/>
  <c r="O117" i="2" s="1"/>
  <c r="N116" i="2"/>
  <c r="N115" i="2"/>
  <c r="N114" i="9" s="1"/>
  <c r="N114" i="2"/>
  <c r="N113" i="9" s="1"/>
  <c r="N113" i="2"/>
  <c r="N112" i="2"/>
  <c r="N111" i="9" s="1"/>
  <c r="N111" i="2"/>
  <c r="N110" i="2"/>
  <c r="N109" i="9" s="1"/>
  <c r="N109" i="2"/>
  <c r="O109" i="2" s="1"/>
  <c r="O108" i="9" s="1"/>
  <c r="N108" i="2"/>
  <c r="O108" i="2" s="1"/>
  <c r="N107" i="2"/>
  <c r="N106" i="9" s="1"/>
  <c r="N106" i="2"/>
  <c r="N105" i="9" s="1"/>
  <c r="N105" i="2"/>
  <c r="O105" i="2" s="1"/>
  <c r="N104" i="2"/>
  <c r="N103" i="9" s="1"/>
  <c r="N103" i="2"/>
  <c r="N102" i="2"/>
  <c r="N101" i="8" s="1"/>
  <c r="N101" i="2"/>
  <c r="O101" i="2" s="1"/>
  <c r="O100" i="8" s="1"/>
  <c r="N100" i="2"/>
  <c r="N99" i="2"/>
  <c r="N98" i="8" s="1"/>
  <c r="N98" i="2"/>
  <c r="O98" i="2" s="1"/>
  <c r="O97" i="8" s="1"/>
  <c r="N97" i="2"/>
  <c r="N96" i="2"/>
  <c r="N95" i="8" s="1"/>
  <c r="N95" i="2"/>
  <c r="O95" i="2" s="1"/>
  <c r="P95" i="2" s="1"/>
  <c r="P94" i="8" s="1"/>
  <c r="N94" i="2"/>
  <c r="N93" i="8" s="1"/>
  <c r="N93" i="2"/>
  <c r="O93" i="2" s="1"/>
  <c r="O92" i="8" s="1"/>
  <c r="N92" i="2"/>
  <c r="N91" i="8" s="1"/>
  <c r="N91" i="2"/>
  <c r="N90" i="8" s="1"/>
  <c r="N90" i="2"/>
  <c r="O90" i="2" s="1"/>
  <c r="O89" i="7" s="1"/>
  <c r="N89" i="2"/>
  <c r="N88" i="7" s="1"/>
  <c r="N88" i="2"/>
  <c r="O88" i="2" s="1"/>
  <c r="N87" i="2"/>
  <c r="N86" i="2"/>
  <c r="N85" i="7" s="1"/>
  <c r="N85" i="2"/>
  <c r="N84" i="7" s="1"/>
  <c r="N84" i="2"/>
  <c r="N83" i="2"/>
  <c r="N82" i="7" s="1"/>
  <c r="N82" i="2"/>
  <c r="O82" i="2" s="1"/>
  <c r="O81" i="7" s="1"/>
  <c r="N81" i="2"/>
  <c r="O80" i="2"/>
  <c r="O79" i="7" s="1"/>
  <c r="N80" i="2"/>
  <c r="N79" i="7" s="1"/>
  <c r="N79" i="2"/>
  <c r="N78" i="2"/>
  <c r="O78" i="2" s="1"/>
  <c r="N77" i="2"/>
  <c r="N76" i="6" s="1"/>
  <c r="N76" i="2"/>
  <c r="N75" i="6" s="1"/>
  <c r="N75" i="2"/>
  <c r="N74" i="6" s="1"/>
  <c r="N74" i="2"/>
  <c r="O74" i="2" s="1"/>
  <c r="O73" i="6" s="1"/>
  <c r="N73" i="2"/>
  <c r="N72" i="6" s="1"/>
  <c r="N72" i="2"/>
  <c r="O72" i="2" s="1"/>
  <c r="N71" i="2"/>
  <c r="N70" i="2"/>
  <c r="N69" i="6" s="1"/>
  <c r="O69" i="2"/>
  <c r="P69" i="2" s="1"/>
  <c r="P68" i="5" s="1"/>
  <c r="N69" i="2"/>
  <c r="N68" i="5" s="1"/>
  <c r="N68" i="2"/>
  <c r="N67" i="2"/>
  <c r="N66" i="5" s="1"/>
  <c r="N66" i="2"/>
  <c r="N65" i="5" s="1"/>
  <c r="N65" i="2"/>
  <c r="N64" i="2"/>
  <c r="O64" i="2" s="1"/>
  <c r="N63" i="2"/>
  <c r="O63" i="2" s="1"/>
  <c r="P63" i="2" s="1"/>
  <c r="P62" i="5" s="1"/>
  <c r="N62" i="2"/>
  <c r="O62" i="2" s="1"/>
  <c r="N61" i="2"/>
  <c r="N60" i="5" s="1"/>
  <c r="N60" i="2"/>
  <c r="N59" i="5" s="1"/>
  <c r="N59" i="2"/>
  <c r="N58" i="5" s="1"/>
  <c r="N58" i="2"/>
  <c r="N57" i="5" s="1"/>
  <c r="N57" i="2"/>
  <c r="N56" i="5" s="1"/>
  <c r="N56" i="2"/>
  <c r="O56" i="2" s="1"/>
  <c r="N55" i="2"/>
  <c r="N54" i="2"/>
  <c r="N53" i="5" s="1"/>
  <c r="N53" i="2"/>
  <c r="N52" i="5" s="1"/>
  <c r="N52" i="2"/>
  <c r="N51" i="2"/>
  <c r="N50" i="5" s="1"/>
  <c r="N50" i="2"/>
  <c r="N49" i="5" s="1"/>
  <c r="N49" i="2"/>
  <c r="N48" i="2"/>
  <c r="N47" i="5" s="1"/>
  <c r="N47" i="2"/>
  <c r="O47" i="2" s="1"/>
  <c r="P47" i="2" s="1"/>
  <c r="P46" i="5" s="1"/>
  <c r="N46" i="2"/>
  <c r="N45" i="5" s="1"/>
  <c r="N45" i="2"/>
  <c r="N44" i="5" s="1"/>
  <c r="N44" i="2"/>
  <c r="N43" i="5" s="1"/>
  <c r="N43" i="2"/>
  <c r="N42" i="4" s="1"/>
  <c r="N42" i="2"/>
  <c r="O42" i="2" s="1"/>
  <c r="O41" i="4" s="1"/>
  <c r="N41" i="2"/>
  <c r="N40" i="4" s="1"/>
  <c r="N40" i="2"/>
  <c r="N39" i="4" s="1"/>
  <c r="N39" i="2"/>
  <c r="N38" i="2"/>
  <c r="O38" i="2" s="1"/>
  <c r="N37" i="2"/>
  <c r="O37" i="2" s="1"/>
  <c r="N36" i="2"/>
  <c r="N35" i="2"/>
  <c r="N34" i="4" s="1"/>
  <c r="N34" i="2"/>
  <c r="N33" i="4" s="1"/>
  <c r="N33" i="2"/>
  <c r="O32" i="2"/>
  <c r="P32" i="2" s="1"/>
  <c r="P31" i="3" s="1"/>
  <c r="N32" i="2"/>
  <c r="N31" i="3" s="1"/>
  <c r="N31" i="2"/>
  <c r="O31" i="2" s="1"/>
  <c r="N30" i="2"/>
  <c r="N29" i="3" s="1"/>
  <c r="O29" i="2"/>
  <c r="O28" i="3" s="1"/>
  <c r="N29" i="2"/>
  <c r="N28" i="3" s="1"/>
  <c r="N28" i="2"/>
  <c r="N27" i="3" s="1"/>
  <c r="N27" i="2"/>
  <c r="N26" i="3" s="1"/>
  <c r="N26" i="2"/>
  <c r="O26" i="2" s="1"/>
  <c r="P26" i="2" s="1"/>
  <c r="P25" i="3" s="1"/>
  <c r="N25" i="2"/>
  <c r="O25" i="2" s="1"/>
  <c r="N24" i="2"/>
  <c r="O24" i="2" s="1"/>
  <c r="N23" i="2"/>
  <c r="N22" i="2"/>
  <c r="N21" i="3" s="1"/>
  <c r="N21" i="2"/>
  <c r="O21" i="2" s="1"/>
  <c r="O20" i="3" s="1"/>
  <c r="N20" i="2"/>
  <c r="O19" i="2"/>
  <c r="O18" i="3" s="1"/>
  <c r="N19" i="2"/>
  <c r="N18" i="3" s="1"/>
  <c r="N18" i="2"/>
  <c r="O18" i="2" s="1"/>
  <c r="O17" i="3" s="1"/>
  <c r="N17" i="2"/>
  <c r="O16" i="2"/>
  <c r="O15" i="3" s="1"/>
  <c r="N16" i="2"/>
  <c r="N15" i="3" s="1"/>
  <c r="N15" i="2"/>
  <c r="O15" i="2" s="1"/>
  <c r="P15" i="2" s="1"/>
  <c r="P14" i="3" s="1"/>
  <c r="N14" i="2"/>
  <c r="O14" i="2" s="1"/>
  <c r="P13" i="2"/>
  <c r="P12" i="3" s="1"/>
  <c r="O13" i="2"/>
  <c r="O12" i="3" s="1"/>
  <c r="N13" i="2"/>
  <c r="N12" i="3" s="1"/>
  <c r="N12" i="2"/>
  <c r="N11" i="3" s="1"/>
  <c r="N11" i="2"/>
  <c r="N10" i="3" s="1"/>
  <c r="N10" i="2"/>
  <c r="O10" i="2" s="1"/>
  <c r="O9" i="3" s="1"/>
  <c r="N9" i="2"/>
  <c r="N8" i="3" s="1"/>
  <c r="N8" i="2"/>
  <c r="N7" i="3" s="1"/>
  <c r="N7" i="2"/>
  <c r="N6" i="2"/>
  <c r="N5" i="3" s="1"/>
  <c r="O5" i="2"/>
  <c r="O4" i="3" s="1"/>
  <c r="N5" i="2"/>
  <c r="N4" i="3" s="1"/>
  <c r="N4" i="2"/>
  <c r="P64" i="2" l="1"/>
  <c r="P63" i="5" s="1"/>
  <c r="O63" i="5"/>
  <c r="F152" i="7"/>
  <c r="N87" i="7"/>
  <c r="N97" i="8"/>
  <c r="N108" i="9"/>
  <c r="O31" i="3"/>
  <c r="N63" i="5"/>
  <c r="H152" i="6"/>
  <c r="P19" i="2"/>
  <c r="P18" i="3" s="1"/>
  <c r="O35" i="2"/>
  <c r="O53" i="2"/>
  <c r="O52" i="5" s="1"/>
  <c r="P80" i="2"/>
  <c r="P79" i="7" s="1"/>
  <c r="O99" i="2"/>
  <c r="O125" i="2"/>
  <c r="O124" i="9" s="1"/>
  <c r="F152" i="3"/>
  <c r="O25" i="3"/>
  <c r="D152" i="4"/>
  <c r="L152" i="4"/>
  <c r="L152" i="5"/>
  <c r="K152" i="7"/>
  <c r="G152" i="7"/>
  <c r="N89" i="7"/>
  <c r="K152" i="8"/>
  <c r="B14" i="12"/>
  <c r="B15" i="12" s="1"/>
  <c r="B14" i="76"/>
  <c r="B15" i="76" s="1"/>
  <c r="B14" i="91"/>
  <c r="B15" i="91" s="1"/>
  <c r="B14" i="115"/>
  <c r="B15" i="115" s="1"/>
  <c r="B14" i="123"/>
  <c r="B15" i="123" s="1"/>
  <c r="B14" i="127"/>
  <c r="B15" i="127" s="1"/>
  <c r="B14" i="143"/>
  <c r="B15" i="143" s="1"/>
  <c r="B14" i="148"/>
  <c r="B15" i="148" s="1"/>
  <c r="B14" i="156"/>
  <c r="B15" i="156" s="1"/>
  <c r="K152" i="3"/>
  <c r="J152" i="3"/>
  <c r="E152" i="4"/>
  <c r="I152" i="4"/>
  <c r="M152" i="4"/>
  <c r="I152" i="5"/>
  <c r="M152" i="5"/>
  <c r="O68" i="5"/>
  <c r="L152" i="8"/>
  <c r="I152" i="9"/>
  <c r="M152" i="9"/>
  <c r="B14" i="66"/>
  <c r="B15" i="66" s="1"/>
  <c r="B14" i="118"/>
  <c r="B15" i="118" s="1"/>
  <c r="B14" i="134"/>
  <c r="B15" i="134" s="1"/>
  <c r="B14" i="147"/>
  <c r="B15" i="147" s="1"/>
  <c r="B14" i="151"/>
  <c r="B15" i="151" s="1"/>
  <c r="N25" i="3"/>
  <c r="D152" i="3"/>
  <c r="L152" i="3"/>
  <c r="N24" i="3"/>
  <c r="J152" i="5"/>
  <c r="I152" i="7"/>
  <c r="M152" i="7"/>
  <c r="N152" i="7" s="1"/>
  <c r="E152" i="7"/>
  <c r="I152" i="8"/>
  <c r="M152" i="8"/>
  <c r="J152" i="9"/>
  <c r="N148" i="9"/>
  <c r="B14" i="22"/>
  <c r="B15" i="22" s="1"/>
  <c r="B14" i="26"/>
  <c r="B15" i="26" s="1"/>
  <c r="B14" i="29"/>
  <c r="B15" i="29" s="1"/>
  <c r="B14" i="34"/>
  <c r="B15" i="34" s="1"/>
  <c r="B14" i="42"/>
  <c r="B15" i="42" s="1"/>
  <c r="B14" i="46"/>
  <c r="B15" i="46" s="1"/>
  <c r="B14" i="65"/>
  <c r="B15" i="65" s="1"/>
  <c r="D152" i="5"/>
  <c r="E152" i="5"/>
  <c r="H152" i="8"/>
  <c r="E152" i="8"/>
  <c r="B14" i="68"/>
  <c r="B15" i="68" s="1"/>
  <c r="G152" i="5"/>
  <c r="O48" i="2"/>
  <c r="B14" i="67"/>
  <c r="B15" i="67" s="1"/>
  <c r="B14" i="64"/>
  <c r="B15" i="64" s="1"/>
  <c r="B14" i="15"/>
  <c r="B15" i="15" s="1"/>
  <c r="G152" i="3"/>
  <c r="G152" i="4"/>
  <c r="F152" i="4"/>
  <c r="B14" i="25"/>
  <c r="B15" i="25" s="1"/>
  <c r="H152" i="3"/>
  <c r="H152" i="4"/>
  <c r="B14" i="159"/>
  <c r="B15" i="159" s="1"/>
  <c r="B14" i="158"/>
  <c r="B15" i="158" s="1"/>
  <c r="B14" i="155"/>
  <c r="B15" i="155" s="1"/>
  <c r="B14" i="154"/>
  <c r="B15" i="154" s="1"/>
  <c r="B14" i="149"/>
  <c r="B15" i="149" s="1"/>
  <c r="N139" i="9"/>
  <c r="O134" i="2"/>
  <c r="N123" i="9"/>
  <c r="O115" i="2"/>
  <c r="B14" i="121"/>
  <c r="B15" i="121" s="1"/>
  <c r="B14" i="120"/>
  <c r="B15" i="120" s="1"/>
  <c r="B14" i="119"/>
  <c r="B15" i="119" s="1"/>
  <c r="B14" i="117"/>
  <c r="B15" i="117" s="1"/>
  <c r="N152" i="6"/>
  <c r="B14" i="113"/>
  <c r="B15" i="113" s="1"/>
  <c r="F152" i="9"/>
  <c r="N20" i="3"/>
  <c r="N17" i="3"/>
  <c r="O6" i="2"/>
  <c r="N92" i="8"/>
  <c r="O67" i="2"/>
  <c r="N61" i="5"/>
  <c r="O61" i="2"/>
  <c r="O60" i="5" s="1"/>
  <c r="H152" i="5"/>
  <c r="O54" i="2"/>
  <c r="O53" i="5" s="1"/>
  <c r="O51" i="2"/>
  <c r="B14" i="152"/>
  <c r="B15" i="152" s="1"/>
  <c r="O150" i="2"/>
  <c r="P149" i="2"/>
  <c r="P148" i="9" s="1"/>
  <c r="O148" i="9"/>
  <c r="O147" i="2"/>
  <c r="O144" i="2"/>
  <c r="O141" i="2"/>
  <c r="N136" i="9"/>
  <c r="B14" i="139"/>
  <c r="B15" i="139" s="1"/>
  <c r="O131" i="2"/>
  <c r="O130" i="9" s="1"/>
  <c r="B14" i="138"/>
  <c r="B15" i="138" s="1"/>
  <c r="E152" i="9"/>
  <c r="O133" i="2"/>
  <c r="P133" i="2" s="1"/>
  <c r="P132" i="9" s="1"/>
  <c r="P131" i="2"/>
  <c r="P130" i="9" s="1"/>
  <c r="B14" i="136"/>
  <c r="B15" i="136" s="1"/>
  <c r="P128" i="2"/>
  <c r="P127" i="9" s="1"/>
  <c r="O127" i="9"/>
  <c r="N127" i="9"/>
  <c r="N126" i="9"/>
  <c r="O126" i="9"/>
  <c r="B14" i="132"/>
  <c r="B15" i="132" s="1"/>
  <c r="B14" i="131"/>
  <c r="B15" i="131" s="1"/>
  <c r="O118" i="2"/>
  <c r="P117" i="2"/>
  <c r="P116" i="9" s="1"/>
  <c r="O116" i="9"/>
  <c r="N116" i="9"/>
  <c r="O112" i="2"/>
  <c r="N107" i="9"/>
  <c r="N104" i="9"/>
  <c r="D152" i="9"/>
  <c r="H152" i="9"/>
  <c r="L152" i="9"/>
  <c r="G152" i="9"/>
  <c r="K152" i="9"/>
  <c r="G152" i="8"/>
  <c r="O102" i="2"/>
  <c r="B14" i="104"/>
  <c r="B15" i="104" s="1"/>
  <c r="N100" i="8"/>
  <c r="O96" i="2"/>
  <c r="N94" i="8"/>
  <c r="O94" i="8"/>
  <c r="D152" i="8"/>
  <c r="O86" i="2"/>
  <c r="O85" i="2"/>
  <c r="O83" i="2"/>
  <c r="N81" i="7"/>
  <c r="B14" i="88"/>
  <c r="B15" i="88" s="1"/>
  <c r="B14" i="79"/>
  <c r="B15" i="79" s="1"/>
  <c r="B14" i="83"/>
  <c r="B15" i="83" s="1"/>
  <c r="O77" i="2"/>
  <c r="N73" i="6"/>
  <c r="N71" i="6"/>
  <c r="O70" i="2"/>
  <c r="B14" i="72"/>
  <c r="B15" i="72" s="1"/>
  <c r="F152" i="5"/>
  <c r="B14" i="61"/>
  <c r="B15" i="61" s="1"/>
  <c r="B14" i="62"/>
  <c r="B15" i="62" s="1"/>
  <c r="B14" i="63"/>
  <c r="B15" i="63" s="1"/>
  <c r="N46" i="5"/>
  <c r="O46" i="5"/>
  <c r="O45" i="2"/>
  <c r="O44" i="5" s="1"/>
  <c r="B14" i="14"/>
  <c r="B15" i="14" s="1"/>
  <c r="B14" i="19"/>
  <c r="B15" i="19" s="1"/>
  <c r="B14" i="23"/>
  <c r="B15" i="23" s="1"/>
  <c r="B14" i="31"/>
  <c r="B15" i="31" s="1"/>
  <c r="B14" i="35"/>
  <c r="B15" i="35" s="1"/>
  <c r="B14" i="39"/>
  <c r="B15" i="39" s="1"/>
  <c r="B14" i="69"/>
  <c r="B15" i="69" s="1"/>
  <c r="B14" i="73"/>
  <c r="B15" i="73" s="1"/>
  <c r="B14" i="80"/>
  <c r="B15" i="80" s="1"/>
  <c r="B14" i="81"/>
  <c r="B15" i="81" s="1"/>
  <c r="B14" i="84"/>
  <c r="B15" i="84" s="1"/>
  <c r="B14" i="89"/>
  <c r="B15" i="89" s="1"/>
  <c r="B14" i="92"/>
  <c r="B15" i="92" s="1"/>
  <c r="B14" i="95"/>
  <c r="B15" i="95" s="1"/>
  <c r="B14" i="97"/>
  <c r="B15" i="97" s="1"/>
  <c r="B14" i="101"/>
  <c r="B15" i="101" s="1"/>
  <c r="B14" i="105"/>
  <c r="B15" i="105" s="1"/>
  <c r="B14" i="106"/>
  <c r="B15" i="106" s="1"/>
  <c r="B14" i="109"/>
  <c r="B15" i="109" s="1"/>
  <c r="B14" i="110"/>
  <c r="B15" i="110" s="1"/>
  <c r="B14" i="122"/>
  <c r="B15" i="122" s="1"/>
  <c r="B14" i="124"/>
  <c r="B15" i="124" s="1"/>
  <c r="B14" i="128"/>
  <c r="B15" i="128" s="1"/>
  <c r="B14" i="133"/>
  <c r="B15" i="133" s="1"/>
  <c r="B14" i="140"/>
  <c r="B15" i="140" s="1"/>
  <c r="B14" i="144"/>
  <c r="B15" i="144" s="1"/>
  <c r="B14" i="145"/>
  <c r="B15" i="145" s="1"/>
  <c r="B14" i="11"/>
  <c r="B15" i="11" s="1"/>
  <c r="B14" i="21"/>
  <c r="B15" i="21" s="1"/>
  <c r="B14" i="28"/>
  <c r="B15" i="28" s="1"/>
  <c r="B14" i="30"/>
  <c r="B15" i="30" s="1"/>
  <c r="B14" i="33"/>
  <c r="B15" i="33" s="1"/>
  <c r="B14" i="37"/>
  <c r="B15" i="37" s="1"/>
  <c r="B14" i="71"/>
  <c r="B15" i="71" s="1"/>
  <c r="B14" i="75"/>
  <c r="B15" i="75" s="1"/>
  <c r="B14" i="78"/>
  <c r="B15" i="78" s="1"/>
  <c r="B14" i="87"/>
  <c r="B15" i="87" s="1"/>
  <c r="B14" i="100"/>
  <c r="B15" i="100" s="1"/>
  <c r="B14" i="103"/>
  <c r="B15" i="103" s="1"/>
  <c r="B14" i="112"/>
  <c r="B15" i="112" s="1"/>
  <c r="B14" i="126"/>
  <c r="B15" i="126" s="1"/>
  <c r="B14" i="142"/>
  <c r="B15" i="142" s="1"/>
  <c r="B14" i="20"/>
  <c r="B15" i="20" s="1"/>
  <c r="B14" i="24"/>
  <c r="B15" i="24" s="1"/>
  <c r="B14" i="27"/>
  <c r="B15" i="27" s="1"/>
  <c r="B14" i="32"/>
  <c r="B15" i="32" s="1"/>
  <c r="B14" i="36"/>
  <c r="B15" i="36" s="1"/>
  <c r="B14" i="60"/>
  <c r="B15" i="60" s="1"/>
  <c r="B14" i="70"/>
  <c r="B15" i="70" s="1"/>
  <c r="B14" i="74"/>
  <c r="B15" i="74" s="1"/>
  <c r="B14" i="77"/>
  <c r="B15" i="77" s="1"/>
  <c r="B14" i="82"/>
  <c r="B15" i="82" s="1"/>
  <c r="B14" i="90"/>
  <c r="B15" i="90" s="1"/>
  <c r="B14" i="93"/>
  <c r="B15" i="93" s="1"/>
  <c r="B14" i="98"/>
  <c r="B15" i="98" s="1"/>
  <c r="B14" i="102"/>
  <c r="B15" i="102" s="1"/>
  <c r="B14" i="107"/>
  <c r="B15" i="107" s="1"/>
  <c r="B14" i="111"/>
  <c r="B15" i="111" s="1"/>
  <c r="B14" i="114"/>
  <c r="B15" i="114" s="1"/>
  <c r="B14" i="125"/>
  <c r="B15" i="125" s="1"/>
  <c r="B14" i="129"/>
  <c r="B15" i="129" s="1"/>
  <c r="B14" i="130"/>
  <c r="B15" i="130" s="1"/>
  <c r="B14" i="135"/>
  <c r="B15" i="135" s="1"/>
  <c r="B14" i="137"/>
  <c r="B15" i="137" s="1"/>
  <c r="B14" i="141"/>
  <c r="B15" i="141" s="1"/>
  <c r="B14" i="150"/>
  <c r="N41" i="4"/>
  <c r="O37" i="4"/>
  <c r="P38" i="2"/>
  <c r="P37" i="4" s="1"/>
  <c r="N37" i="4"/>
  <c r="B14" i="45"/>
  <c r="B15" i="45" s="1"/>
  <c r="B14" i="47"/>
  <c r="B15" i="47" s="1"/>
  <c r="B14" i="44"/>
  <c r="B15" i="44" s="1"/>
  <c r="P37" i="2"/>
  <c r="P36" i="4" s="1"/>
  <c r="O36" i="4"/>
  <c r="N36" i="4"/>
  <c r="B14" i="43"/>
  <c r="B15" i="43" s="1"/>
  <c r="B14" i="41"/>
  <c r="B15" i="41" s="1"/>
  <c r="B14" i="40"/>
  <c r="B15" i="40" s="1"/>
  <c r="B14" i="13"/>
  <c r="B15" i="13" s="1"/>
  <c r="B14" i="38"/>
  <c r="B15" i="38" s="1"/>
  <c r="O22" i="2"/>
  <c r="P16" i="2"/>
  <c r="P15" i="3" s="1"/>
  <c r="B14" i="18"/>
  <c r="B15" i="18" s="1"/>
  <c r="N9" i="3"/>
  <c r="B14" i="17"/>
  <c r="B15" i="17" s="1"/>
  <c r="B14" i="16"/>
  <c r="B15" i="16" s="1"/>
  <c r="B14" i="48"/>
  <c r="B15" i="48" s="1"/>
  <c r="B14" i="53"/>
  <c r="B15" i="53" s="1"/>
  <c r="B14" i="108"/>
  <c r="B15" i="108" s="1"/>
  <c r="B14" i="10"/>
  <c r="B15" i="10" s="1"/>
  <c r="B14" i="99"/>
  <c r="B15" i="99" s="1"/>
  <c r="B14" i="86"/>
  <c r="B15" i="86" s="1"/>
  <c r="B14" i="85"/>
  <c r="B15" i="85" s="1"/>
  <c r="B14" i="59"/>
  <c r="B15" i="59" s="1"/>
  <c r="B14" i="58"/>
  <c r="B15" i="58" s="1"/>
  <c r="B14" i="57"/>
  <c r="B15" i="57" s="1"/>
  <c r="B14" i="56"/>
  <c r="B15" i="56" s="1"/>
  <c r="B14" i="55"/>
  <c r="B15" i="55" s="1"/>
  <c r="B14" i="54"/>
  <c r="B15" i="54" s="1"/>
  <c r="B14" i="52"/>
  <c r="B15" i="52" s="1"/>
  <c r="B14" i="51"/>
  <c r="B15" i="51" s="1"/>
  <c r="B14" i="50"/>
  <c r="B15" i="50" s="1"/>
  <c r="B14" i="49"/>
  <c r="B15" i="49" s="1"/>
  <c r="O2" i="3"/>
  <c r="P3" i="2"/>
  <c r="P2" i="3" s="1"/>
  <c r="N32" i="3"/>
  <c r="O33" i="2"/>
  <c r="P72" i="2"/>
  <c r="P71" i="6" s="1"/>
  <c r="O71" i="6"/>
  <c r="N96" i="8"/>
  <c r="O97" i="2"/>
  <c r="P136" i="2"/>
  <c r="P135" i="9" s="1"/>
  <c r="O135" i="9"/>
  <c r="N3" i="3"/>
  <c r="O4" i="2"/>
  <c r="O13" i="3"/>
  <c r="P14" i="2"/>
  <c r="P13" i="3" s="1"/>
  <c r="O23" i="2"/>
  <c r="N22" i="3"/>
  <c r="O68" i="2"/>
  <c r="N67" i="5"/>
  <c r="O77" i="6"/>
  <c r="P78" i="2"/>
  <c r="P77" i="6" s="1"/>
  <c r="N86" i="7"/>
  <c r="O87" i="2"/>
  <c r="O107" i="9"/>
  <c r="P108" i="2"/>
  <c r="P107" i="9" s="1"/>
  <c r="N131" i="9"/>
  <c r="O132" i="2"/>
  <c r="P137" i="2"/>
  <c r="P136" i="9" s="1"/>
  <c r="O136" i="9"/>
  <c r="O151" i="2"/>
  <c r="N150" i="9"/>
  <c r="O87" i="7"/>
  <c r="P88" i="2"/>
  <c r="P87" i="7" s="1"/>
  <c r="P93" i="2"/>
  <c r="P92" i="8" s="1"/>
  <c r="N112" i="9"/>
  <c r="O113" i="2"/>
  <c r="P10" i="2"/>
  <c r="P9" i="3" s="1"/>
  <c r="N19" i="3"/>
  <c r="O20" i="2"/>
  <c r="P25" i="2"/>
  <c r="P24" i="3" s="1"/>
  <c r="O24" i="3"/>
  <c r="N38" i="4"/>
  <c r="O39" i="2"/>
  <c r="P74" i="2"/>
  <c r="P73" i="6" s="1"/>
  <c r="O84" i="2"/>
  <c r="N83" i="7"/>
  <c r="O103" i="2"/>
  <c r="N102" i="9"/>
  <c r="B14" i="1"/>
  <c r="O123" i="9"/>
  <c r="P124" i="2"/>
  <c r="P123" i="9" s="1"/>
  <c r="N147" i="9"/>
  <c r="O148" i="2"/>
  <c r="O65" i="2"/>
  <c r="N64" i="5"/>
  <c r="N128" i="9"/>
  <c r="O129" i="2"/>
  <c r="P90" i="2"/>
  <c r="P89" i="7" s="1"/>
  <c r="N99" i="8"/>
  <c r="O100" i="2"/>
  <c r="O119" i="2"/>
  <c r="N118" i="9"/>
  <c r="O139" i="9"/>
  <c r="P140" i="2"/>
  <c r="P139" i="9" s="1"/>
  <c r="P24" i="2"/>
  <c r="P23" i="3" s="1"/>
  <c r="O23" i="3"/>
  <c r="P29" i="2"/>
  <c r="P28" i="3" s="1"/>
  <c r="N48" i="5"/>
  <c r="O49" i="2"/>
  <c r="P109" i="2"/>
  <c r="P108" i="9" s="1"/>
  <c r="B8" i="1"/>
  <c r="N35" i="4"/>
  <c r="O36" i="2"/>
  <c r="B9" i="1"/>
  <c r="O55" i="2"/>
  <c r="N54" i="5"/>
  <c r="P105" i="2"/>
  <c r="P104" i="9" s="1"/>
  <c r="O104" i="9"/>
  <c r="N16" i="3"/>
  <c r="O17" i="2"/>
  <c r="O55" i="5"/>
  <c r="P56" i="2"/>
  <c r="P55" i="5" s="1"/>
  <c r="P61" i="2"/>
  <c r="P60" i="5" s="1"/>
  <c r="O81" i="2"/>
  <c r="N80" i="7"/>
  <c r="P125" i="2"/>
  <c r="P124" i="9" s="1"/>
  <c r="O145" i="2"/>
  <c r="N144" i="9"/>
  <c r="O7" i="2"/>
  <c r="N6" i="3"/>
  <c r="P42" i="2"/>
  <c r="P41" i="4" s="1"/>
  <c r="O52" i="2"/>
  <c r="N51" i="5"/>
  <c r="O61" i="5"/>
  <c r="P62" i="2"/>
  <c r="P61" i="5" s="1"/>
  <c r="N70" i="6"/>
  <c r="O71" i="2"/>
  <c r="B11" i="1"/>
  <c r="N115" i="9"/>
  <c r="O116" i="2"/>
  <c r="O125" i="9"/>
  <c r="P126" i="2"/>
  <c r="P125" i="9" s="1"/>
  <c r="O135" i="2"/>
  <c r="N134" i="9"/>
  <c r="B13" i="1"/>
  <c r="N23" i="3"/>
  <c r="N135" i="9"/>
  <c r="B10" i="1"/>
  <c r="O8" i="2"/>
  <c r="O11" i="2"/>
  <c r="O27" i="2"/>
  <c r="O40" i="2"/>
  <c r="O43" i="2"/>
  <c r="O59" i="2"/>
  <c r="O91" i="2"/>
  <c r="O94" i="2"/>
  <c r="O104" i="2"/>
  <c r="O110" i="2"/>
  <c r="O123" i="2"/>
  <c r="O139" i="2"/>
  <c r="O142" i="2"/>
  <c r="O152" i="2"/>
  <c r="N13" i="3"/>
  <c r="N125" i="9"/>
  <c r="N2" i="3"/>
  <c r="B3" i="1"/>
  <c r="O9" i="2"/>
  <c r="O12" i="2"/>
  <c r="O28" i="2"/>
  <c r="O41" i="2"/>
  <c r="O44" i="2"/>
  <c r="O57" i="2"/>
  <c r="O60" i="2"/>
  <c r="O73" i="2"/>
  <c r="O76" i="2"/>
  <c r="O89" i="2"/>
  <c r="O92" i="2"/>
  <c r="O121" i="2"/>
  <c r="N55" i="5"/>
  <c r="O62" i="5"/>
  <c r="N77" i="6"/>
  <c r="O30" i="2"/>
  <c r="O46" i="2"/>
  <c r="O75" i="2"/>
  <c r="O107" i="2"/>
  <c r="O120" i="2"/>
  <c r="O132" i="9"/>
  <c r="P5" i="2"/>
  <c r="P4" i="3" s="1"/>
  <c r="P18" i="2"/>
  <c r="P17" i="3" s="1"/>
  <c r="P21" i="2"/>
  <c r="P20" i="3" s="1"/>
  <c r="O30" i="3"/>
  <c r="P31" i="2"/>
  <c r="P30" i="3" s="1"/>
  <c r="P53" i="2"/>
  <c r="P52" i="5" s="1"/>
  <c r="N78" i="7"/>
  <c r="O79" i="2"/>
  <c r="B12" i="1"/>
  <c r="P82" i="2"/>
  <c r="P81" i="7" s="1"/>
  <c r="P98" i="2"/>
  <c r="P97" i="8" s="1"/>
  <c r="P101" i="2"/>
  <c r="P100" i="8" s="1"/>
  <c r="O111" i="2"/>
  <c r="N110" i="9"/>
  <c r="N142" i="9"/>
  <c r="O143" i="2"/>
  <c r="N30" i="3"/>
  <c r="N62" i="5"/>
  <c r="O34" i="2"/>
  <c r="O50" i="2"/>
  <c r="O58" i="2"/>
  <c r="O66" i="2"/>
  <c r="O106" i="2"/>
  <c r="O114" i="2"/>
  <c r="O122" i="2"/>
  <c r="O130" i="2"/>
  <c r="O138" i="2"/>
  <c r="O146" i="2"/>
  <c r="O34" i="4" l="1"/>
  <c r="P35" i="2"/>
  <c r="P34" i="4" s="1"/>
  <c r="P99" i="2"/>
  <c r="P98" i="8" s="1"/>
  <c r="O98" i="8"/>
  <c r="N152" i="3"/>
  <c r="O47" i="5"/>
  <c r="P48" i="2"/>
  <c r="P47" i="5" s="1"/>
  <c r="P45" i="2"/>
  <c r="P44" i="5" s="1"/>
  <c r="N152" i="4"/>
  <c r="O133" i="9"/>
  <c r="P134" i="2"/>
  <c r="P133" i="9" s="1"/>
  <c r="O114" i="9"/>
  <c r="P115" i="2"/>
  <c r="P114" i="9" s="1"/>
  <c r="N152" i="8"/>
  <c r="N152" i="9"/>
  <c r="N152" i="5"/>
  <c r="P6" i="2"/>
  <c r="P5" i="3" s="1"/>
  <c r="O5" i="3"/>
  <c r="O66" i="5"/>
  <c r="P67" i="2"/>
  <c r="P66" i="5" s="1"/>
  <c r="P54" i="2"/>
  <c r="P53" i="5" s="1"/>
  <c r="O50" i="5"/>
  <c r="P51" i="2"/>
  <c r="P50" i="5" s="1"/>
  <c r="O149" i="9"/>
  <c r="P150" i="2"/>
  <c r="P149" i="9" s="1"/>
  <c r="O146" i="9"/>
  <c r="P147" i="2"/>
  <c r="P146" i="9" s="1"/>
  <c r="O143" i="9"/>
  <c r="P144" i="2"/>
  <c r="P143" i="9" s="1"/>
  <c r="O140" i="9"/>
  <c r="P141" i="2"/>
  <c r="P140" i="9" s="1"/>
  <c r="O117" i="9"/>
  <c r="P118" i="2"/>
  <c r="P117" i="9" s="1"/>
  <c r="O111" i="9"/>
  <c r="P112" i="2"/>
  <c r="P111" i="9" s="1"/>
  <c r="O101" i="8"/>
  <c r="P102" i="2"/>
  <c r="P101" i="8" s="1"/>
  <c r="O95" i="8"/>
  <c r="P96" i="2"/>
  <c r="P95" i="8" s="1"/>
  <c r="O85" i="7"/>
  <c r="P86" i="2"/>
  <c r="P85" i="7" s="1"/>
  <c r="P85" i="2"/>
  <c r="P84" i="7" s="1"/>
  <c r="O84" i="7"/>
  <c r="O82" i="7"/>
  <c r="P83" i="2"/>
  <c r="P82" i="7" s="1"/>
  <c r="O76" i="6"/>
  <c r="P77" i="2"/>
  <c r="P76" i="6" s="1"/>
  <c r="O69" i="6"/>
  <c r="P70" i="2"/>
  <c r="P69" i="6" s="1"/>
  <c r="O21" i="3"/>
  <c r="P22" i="2"/>
  <c r="P21" i="3" s="1"/>
  <c r="P129" i="2"/>
  <c r="P128" i="9" s="1"/>
  <c r="O128" i="9"/>
  <c r="O137" i="9"/>
  <c r="P138" i="2"/>
  <c r="P137" i="9" s="1"/>
  <c r="P110" i="2"/>
  <c r="P109" i="9" s="1"/>
  <c r="O109" i="9"/>
  <c r="O10" i="3"/>
  <c r="P11" i="2"/>
  <c r="P10" i="3" s="1"/>
  <c r="P23" i="2"/>
  <c r="P22" i="3" s="1"/>
  <c r="O22" i="3"/>
  <c r="O129" i="9"/>
  <c r="P130" i="2"/>
  <c r="P129" i="9" s="1"/>
  <c r="P146" i="2"/>
  <c r="P145" i="9" s="1"/>
  <c r="O145" i="9"/>
  <c r="P50" i="2"/>
  <c r="P49" i="5" s="1"/>
  <c r="O49" i="5"/>
  <c r="O45" i="5"/>
  <c r="P46" i="2"/>
  <c r="P45" i="5" s="1"/>
  <c r="P76" i="2"/>
  <c r="P75" i="6" s="1"/>
  <c r="O75" i="6"/>
  <c r="P9" i="2"/>
  <c r="P8" i="3" s="1"/>
  <c r="O8" i="3"/>
  <c r="O122" i="9"/>
  <c r="P123" i="2"/>
  <c r="P122" i="9" s="1"/>
  <c r="O26" i="3"/>
  <c r="P27" i="2"/>
  <c r="P26" i="3" s="1"/>
  <c r="P135" i="2"/>
  <c r="P134" i="9" s="1"/>
  <c r="O134" i="9"/>
  <c r="O144" i="9"/>
  <c r="P145" i="2"/>
  <c r="P144" i="9" s="1"/>
  <c r="O96" i="8"/>
  <c r="P97" i="2"/>
  <c r="P96" i="8" s="1"/>
  <c r="O33" i="4"/>
  <c r="P34" i="2"/>
  <c r="P33" i="4" s="1"/>
  <c r="O29" i="3"/>
  <c r="P30" i="2"/>
  <c r="P29" i="3" s="1"/>
  <c r="P73" i="2"/>
  <c r="P72" i="6" s="1"/>
  <c r="O72" i="6"/>
  <c r="O59" i="5"/>
  <c r="P60" i="2"/>
  <c r="P59" i="5" s="1"/>
  <c r="P104" i="2"/>
  <c r="P103" i="9" s="1"/>
  <c r="O103" i="9"/>
  <c r="O7" i="3"/>
  <c r="P8" i="2"/>
  <c r="P7" i="3" s="1"/>
  <c r="P103" i="2"/>
  <c r="P102" i="9" s="1"/>
  <c r="O102" i="9"/>
  <c r="O19" i="3"/>
  <c r="P20" i="2"/>
  <c r="P19" i="3" s="1"/>
  <c r="O86" i="7"/>
  <c r="P87" i="2"/>
  <c r="P86" i="7" s="1"/>
  <c r="O121" i="9"/>
  <c r="P122" i="2"/>
  <c r="P121" i="9" s="1"/>
  <c r="P57" i="2"/>
  <c r="P56" i="5" s="1"/>
  <c r="O56" i="5"/>
  <c r="O93" i="8"/>
  <c r="P94" i="2"/>
  <c r="P93" i="8" s="1"/>
  <c r="O115" i="9"/>
  <c r="P116" i="2"/>
  <c r="P115" i="9" s="1"/>
  <c r="O51" i="5"/>
  <c r="P52" i="2"/>
  <c r="P51" i="5" s="1"/>
  <c r="O80" i="7"/>
  <c r="P81" i="2"/>
  <c r="P80" i="7" s="1"/>
  <c r="P65" i="2"/>
  <c r="P64" i="5" s="1"/>
  <c r="O64" i="5"/>
  <c r="P151" i="2"/>
  <c r="P150" i="9" s="1"/>
  <c r="O150" i="9"/>
  <c r="P114" i="2"/>
  <c r="P113" i="9" s="1"/>
  <c r="O113" i="9"/>
  <c r="O142" i="9"/>
  <c r="P143" i="2"/>
  <c r="P142" i="9" s="1"/>
  <c r="O78" i="7"/>
  <c r="P79" i="2"/>
  <c r="P78" i="7" s="1"/>
  <c r="O43" i="5"/>
  <c r="P44" i="2"/>
  <c r="P43" i="5" s="1"/>
  <c r="O90" i="8"/>
  <c r="P91" i="2"/>
  <c r="P90" i="8" s="1"/>
  <c r="P55" i="2"/>
  <c r="P54" i="5" s="1"/>
  <c r="O54" i="5"/>
  <c r="O48" i="5"/>
  <c r="P49" i="2"/>
  <c r="P48" i="5" s="1"/>
  <c r="P119" i="2"/>
  <c r="P118" i="9" s="1"/>
  <c r="O118" i="9"/>
  <c r="O147" i="9"/>
  <c r="P148" i="2"/>
  <c r="P147" i="9" s="1"/>
  <c r="P84" i="2"/>
  <c r="P83" i="7" s="1"/>
  <c r="O83" i="7"/>
  <c r="O3" i="3"/>
  <c r="P4" i="2"/>
  <c r="O32" i="3"/>
  <c r="P33" i="2"/>
  <c r="P32" i="3" s="1"/>
  <c r="O105" i="9"/>
  <c r="P106" i="2"/>
  <c r="P105" i="9" s="1"/>
  <c r="P120" i="2"/>
  <c r="P119" i="9" s="1"/>
  <c r="O119" i="9"/>
  <c r="O120" i="9"/>
  <c r="P121" i="2"/>
  <c r="P120" i="9" s="1"/>
  <c r="O40" i="4"/>
  <c r="P41" i="2"/>
  <c r="P40" i="4" s="1"/>
  <c r="P152" i="2"/>
  <c r="P151" i="9" s="1"/>
  <c r="O151" i="9"/>
  <c r="O58" i="5"/>
  <c r="P59" i="2"/>
  <c r="P58" i="5" s="1"/>
  <c r="O99" i="8"/>
  <c r="P100" i="2"/>
  <c r="P99" i="8" s="1"/>
  <c r="O112" i="9"/>
  <c r="P113" i="2"/>
  <c r="P112" i="9" s="1"/>
  <c r="P66" i="2"/>
  <c r="P65" i="5" s="1"/>
  <c r="O65" i="5"/>
  <c r="O106" i="9"/>
  <c r="P107" i="2"/>
  <c r="P106" i="9" s="1"/>
  <c r="P92" i="2"/>
  <c r="P91" i="8" s="1"/>
  <c r="O91" i="8"/>
  <c r="O27" i="3"/>
  <c r="P28" i="2"/>
  <c r="P27" i="3" s="1"/>
  <c r="O141" i="9"/>
  <c r="P142" i="2"/>
  <c r="P141" i="9" s="1"/>
  <c r="O42" i="4"/>
  <c r="P43" i="2"/>
  <c r="P42" i="4" s="1"/>
  <c r="O70" i="6"/>
  <c r="P71" i="2"/>
  <c r="P70" i="6" s="1"/>
  <c r="P7" i="2"/>
  <c r="P6" i="3" s="1"/>
  <c r="O6" i="3"/>
  <c r="P36" i="2"/>
  <c r="P35" i="4" s="1"/>
  <c r="O35" i="4"/>
  <c r="P39" i="2"/>
  <c r="P38" i="4" s="1"/>
  <c r="O38" i="4"/>
  <c r="O131" i="9"/>
  <c r="P132" i="2"/>
  <c r="P131" i="9" s="1"/>
  <c r="O57" i="5"/>
  <c r="P58" i="2"/>
  <c r="P57" i="5" s="1"/>
  <c r="O110" i="9"/>
  <c r="P111" i="2"/>
  <c r="P110" i="9" s="1"/>
  <c r="P75" i="2"/>
  <c r="P74" i="6" s="1"/>
  <c r="O74" i="6"/>
  <c r="O88" i="7"/>
  <c r="P89" i="2"/>
  <c r="P88" i="7" s="1"/>
  <c r="O11" i="3"/>
  <c r="P12" i="2"/>
  <c r="P11" i="3" s="1"/>
  <c r="O138" i="9"/>
  <c r="P139" i="2"/>
  <c r="P138" i="9" s="1"/>
  <c r="O39" i="4"/>
  <c r="P40" i="2"/>
  <c r="P39" i="4" s="1"/>
  <c r="P17" i="2"/>
  <c r="P16" i="3" s="1"/>
  <c r="O16" i="3"/>
  <c r="O67" i="5"/>
  <c r="P68" i="2"/>
  <c r="P67" i="5" s="1"/>
  <c r="P3" i="3" l="1"/>
  <c r="B4" i="1"/>
  <c r="B5" i="1"/>
  <c r="B15" i="150"/>
</calcChain>
</file>

<file path=xl/sharedStrings.xml><?xml version="1.0" encoding="utf-8"?>
<sst xmlns="http://schemas.openxmlformats.org/spreadsheetml/2006/main" count="4057" uniqueCount="330">
  <si>
    <t>Total Collection:</t>
  </si>
  <si>
    <t>Total Pending Members:</t>
  </si>
  <si>
    <t>Total Completed Members:</t>
  </si>
  <si>
    <t>Area-wise Collection</t>
  </si>
  <si>
    <t>Area 1 (Meenu S)</t>
  </si>
  <si>
    <t>Area 2 (Viswakala S)</t>
  </si>
  <si>
    <t>Area 3 (Saranya R)</t>
  </si>
  <si>
    <t>Area 4 (Anitha R)</t>
  </si>
  <si>
    <t>Area 5 (Renuka A)</t>
  </si>
  <si>
    <t>Area 6 (Anitha P)</t>
  </si>
  <si>
    <t>Area 7 (Anu R)</t>
  </si>
  <si>
    <t>Person ID</t>
  </si>
  <si>
    <t>Name</t>
  </si>
  <si>
    <t>Area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</si>
  <si>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</si>
  <si>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</si>
  <si>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</si>
  <si>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</si>
  <si>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</si>
  <si>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</si>
  <si>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</si>
  <si>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</si>
  <si>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</si>
  <si>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</si>
  <si>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Total Paid</t>
  </si>
  <si>
    <t>Balance</t>
  </si>
  <si>
    <t>Status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</si>
  <si>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</si>
  <si>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</si>
  <si>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</si>
  <si>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</si>
  <si>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</si>
  <si>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</si>
  <si>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</si>
  <si>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</si>
  <si>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</si>
  <si>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</si>
  <si>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</si>
  <si>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</si>
  <si>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</si>
  <si>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</si>
  <si>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</si>
  <si>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</si>
  <si>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</si>
  <si>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</si>
  <si>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</si>
  <si>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</si>
  <si>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</si>
  <si>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</si>
  <si>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</si>
  <si>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</si>
  <si>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</si>
  <si>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</si>
  <si>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</si>
  <si>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</si>
  <si>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</si>
  <si>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</si>
  <si>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</si>
  <si>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</si>
  <si>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</si>
  <si>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</si>
  <si>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</si>
  <si>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</si>
  <si>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</si>
  <si>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</si>
  <si>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</si>
  <si>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</si>
  <si>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</si>
  <si>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</si>
  <si>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</si>
  <si>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</si>
  <si>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</si>
  <si>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</si>
  <si>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</si>
  <si>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</si>
  <si>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</si>
  <si>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</si>
  <si>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</si>
  <si>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</si>
  <si>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</si>
  <si>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</si>
  <si>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</si>
  <si>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</si>
  <si>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</si>
  <si>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</si>
  <si>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</si>
  <si>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</si>
  <si>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</si>
  <si>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</si>
  <si>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</si>
  <si>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</si>
  <si>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</si>
  <si>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</si>
  <si>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</si>
  <si>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</si>
  <si>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</si>
  <si>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</si>
  <si>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</si>
  <si>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</si>
  <si>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</si>
  <si>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</si>
  <si>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</si>
  <si>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</si>
  <si>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</si>
  <si>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</si>
  <si>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</si>
  <si>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</si>
  <si>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</si>
  <si>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</si>
  <si>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</si>
  <si>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</si>
  <si>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</si>
  <si>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</si>
  <si>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</si>
  <si>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</si>
  <si>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</si>
  <si>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</si>
  <si>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</si>
  <si>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</si>
  <si>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</si>
  <si>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</si>
  <si>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</si>
  <si>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</si>
  <si>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</si>
  <si>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</si>
  <si>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</si>
  <si>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</si>
  <si>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</si>
  <si>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</si>
  <si>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</si>
  <si>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</si>
  <si>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</si>
  <si>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</si>
  <si>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</si>
  <si>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</si>
  <si>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</si>
  <si>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</si>
  <si>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</si>
  <si>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</si>
  <si>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</si>
  <si>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</si>
  <si>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</si>
  <si>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</si>
  <si>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</si>
  <si>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</si>
  <si>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</si>
  <si>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</si>
  <si>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</si>
  <si>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</si>
  <si>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</si>
  <si>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</si>
  <si>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</si>
  <si>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</si>
  <si>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</si>
  <si>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</si>
  <si>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</si>
  <si>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</si>
  <si>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</si>
  <si>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</si>
  <si>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</si>
  <si>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</si>
  <si>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</si>
  <si>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</si>
  <si>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</si>
  <si>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</si>
  <si>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</si>
  <si>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</si>
  <si>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</si>
  <si>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</si>
  <si>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</si>
  <si>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</si>
  <si>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</si>
  <si>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</si>
  <si>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</si>
  <si>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</si>
  <si>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</si>
  <si>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Month</t>
  </si>
  <si>
    <t>Amount Paid</t>
  </si>
  <si>
    <t>Total</t>
  </si>
  <si>
    <t>Onakit - 2026</t>
  </si>
  <si>
    <t>Onakit 2026 Contribution Dashboard</t>
  </si>
  <si>
    <t>Onakit -2026</t>
  </si>
  <si>
    <t>Bindhu Alesh, Varayannur</t>
  </si>
  <si>
    <t>Arya , Kunnam, Poovathur</t>
  </si>
  <si>
    <t>Saratha Sasikumar, Varayannur</t>
  </si>
  <si>
    <t>Gokul , Poovathur</t>
  </si>
  <si>
    <t>Latha , Vrayannur</t>
  </si>
  <si>
    <t>Viswapriya , Varayannur</t>
  </si>
  <si>
    <t>Ambili Varayannur</t>
  </si>
  <si>
    <t>Lakshmi Ajeesh , Poovathur</t>
  </si>
  <si>
    <t>Seema Manoj , Poovathur</t>
  </si>
  <si>
    <t>Shyla Pradeep , Poovathur</t>
  </si>
  <si>
    <t>Sreeja , Poovathur</t>
  </si>
  <si>
    <t>Ambika , Poovathur</t>
  </si>
  <si>
    <t>Usha , Poovathur</t>
  </si>
  <si>
    <t>Latha Shaji , Poovathur</t>
  </si>
  <si>
    <t>Smitha ,Poovathur</t>
  </si>
  <si>
    <t>Harish , Chengannur</t>
  </si>
  <si>
    <t>Bhaskaran Nukathala</t>
  </si>
  <si>
    <t>Sukumaran Nukathala</t>
  </si>
  <si>
    <t>Dhanalekshmi Thettupara</t>
  </si>
  <si>
    <t>Meenu ,Poovathur</t>
  </si>
  <si>
    <t>Remya Dinesh , Poovathur</t>
  </si>
  <si>
    <t xml:space="preserve">Geethu Mohan </t>
  </si>
  <si>
    <t>Sreeja Teacher , Kuttur</t>
  </si>
  <si>
    <t>Jaya , Chengannur</t>
  </si>
  <si>
    <t>SatheeshKumar , Pullad</t>
  </si>
  <si>
    <t>Subash , Nukathala</t>
  </si>
  <si>
    <t>Sreeja Varayannur</t>
  </si>
  <si>
    <t>Dinesh , Pullad</t>
  </si>
  <si>
    <t>Revathy , Pullad</t>
  </si>
  <si>
    <t>Maya Gopal , Pullad</t>
  </si>
  <si>
    <t>Bini Sunil , Pullad</t>
  </si>
  <si>
    <t xml:space="preserve">Ganga Rajamohan </t>
  </si>
  <si>
    <t>Sona , Vadakekavala</t>
  </si>
  <si>
    <t>Indira Vijayan , Pullad</t>
  </si>
  <si>
    <t>Prabha Girish , Kumbanad</t>
  </si>
  <si>
    <t>Biji N.S , Poovathur</t>
  </si>
  <si>
    <t>Viswakala Sunil ,Pullad</t>
  </si>
  <si>
    <t>t</t>
  </si>
  <si>
    <t>Tinu</t>
  </si>
  <si>
    <t>Abhiya</t>
  </si>
  <si>
    <t>Syam</t>
  </si>
  <si>
    <t>Chithra</t>
  </si>
  <si>
    <t xml:space="preserve">Bindhu </t>
  </si>
  <si>
    <t>Mincy</t>
  </si>
  <si>
    <t>Ammini</t>
  </si>
  <si>
    <t>Babu</t>
  </si>
  <si>
    <t>Geethu Renjith</t>
  </si>
  <si>
    <t>Manu</t>
  </si>
  <si>
    <t>Shobha</t>
  </si>
  <si>
    <t>Jayan</t>
  </si>
  <si>
    <t>Anu</t>
  </si>
  <si>
    <t>Lillikutty</t>
  </si>
  <si>
    <t>Jeena</t>
  </si>
  <si>
    <t>Reshma</t>
  </si>
  <si>
    <t>Rani</t>
  </si>
  <si>
    <t>Saranya</t>
  </si>
  <si>
    <t>Lici</t>
  </si>
  <si>
    <t>Sheeba</t>
  </si>
  <si>
    <t>Pramela Rajan</t>
  </si>
  <si>
    <t>Jaya</t>
  </si>
  <si>
    <t>Maya</t>
  </si>
  <si>
    <t>Renjini Uthaman</t>
  </si>
  <si>
    <t>Mini Vennikulam</t>
  </si>
  <si>
    <t>Anitha Gopakumar Vennikulam</t>
  </si>
  <si>
    <t>Vidya Susanth Vennikulam</t>
  </si>
  <si>
    <t>Indra Vennikulam</t>
  </si>
  <si>
    <t>Santhosh Vennikulam</t>
  </si>
  <si>
    <t>Anitha Ravikumar</t>
  </si>
  <si>
    <t>Anil vp Vellara</t>
  </si>
  <si>
    <t>Drishya Vellara</t>
  </si>
  <si>
    <t>Ambika</t>
  </si>
  <si>
    <t>Veena Satheesh</t>
  </si>
  <si>
    <t>P.G Vijayan</t>
  </si>
  <si>
    <t>Acharya Sunil Mahadeve</t>
  </si>
  <si>
    <t>Surya Renjith</t>
  </si>
  <si>
    <t>Hari Kumar</t>
  </si>
  <si>
    <t>Prasad K.R</t>
  </si>
  <si>
    <t>Rakesh Babu</t>
  </si>
  <si>
    <t>Manju Mol PS</t>
  </si>
  <si>
    <t>Rekha Ajith</t>
  </si>
  <si>
    <t>Manju  Manikandan</t>
  </si>
  <si>
    <t>Aravind Kadapra</t>
  </si>
  <si>
    <t xml:space="preserve">Remya </t>
  </si>
  <si>
    <t>Latha Suresh</t>
  </si>
  <si>
    <t>Anitha Prasanth</t>
  </si>
  <si>
    <t>Vijila Vineeth</t>
  </si>
  <si>
    <t>Anju Anoj</t>
  </si>
  <si>
    <t>Suma Rajesh</t>
  </si>
  <si>
    <t>Savithri Madhu</t>
  </si>
  <si>
    <t>Suma Prasad</t>
  </si>
  <si>
    <t>Sruthi Rajesh</t>
  </si>
  <si>
    <t>Suraj</t>
  </si>
  <si>
    <t>Aji Pattakala</t>
  </si>
  <si>
    <t>Sereelatha Manu</t>
  </si>
  <si>
    <t>Athira Manoj</t>
  </si>
  <si>
    <t>Jaysree Suresh</t>
  </si>
  <si>
    <t>Sathyan Thadiyoor</t>
  </si>
  <si>
    <t>Leelamani Shaji</t>
  </si>
  <si>
    <t>Prasanna Muttumon</t>
  </si>
  <si>
    <t>Jayan Adoor</t>
  </si>
  <si>
    <t>Rejani Cherukolpuzha</t>
  </si>
  <si>
    <t>Saleena Nellickal</t>
  </si>
  <si>
    <t>Sheeja Nellickal</t>
  </si>
  <si>
    <t>Ajay Muttumon</t>
  </si>
  <si>
    <t>Surya  P.S Nedumprayar</t>
  </si>
  <si>
    <t>Sreeja Thadiyoor</t>
  </si>
  <si>
    <t>Liji Thomas Nedumprayar</t>
  </si>
  <si>
    <t>Jayasree Suresh Chennithala</t>
  </si>
  <si>
    <t>Latha Mannar</t>
  </si>
  <si>
    <t>Usha Sreekumar Kazhakunnam</t>
  </si>
  <si>
    <t>Sanu Mohan Kozhanchery</t>
  </si>
  <si>
    <t>Anu Rajeev</t>
  </si>
  <si>
    <t>Reshmi Suresh</t>
  </si>
  <si>
    <t>Asha Ajeesh</t>
  </si>
  <si>
    <t>Ambili Nellickal</t>
  </si>
  <si>
    <t>Mini Nellickal</t>
  </si>
  <si>
    <t>Omana Nellickal</t>
  </si>
  <si>
    <t>Sindhu Dileep</t>
  </si>
  <si>
    <t>Bindhu Santhosh</t>
  </si>
  <si>
    <t>Sreelatha Ayroor</t>
  </si>
  <si>
    <t>Ajitha Nellickal</t>
  </si>
  <si>
    <t>Rejani Santhosh Melukara</t>
  </si>
  <si>
    <t>Ajili Thadiyoor</t>
  </si>
  <si>
    <t>Jalaja Maniyan</t>
  </si>
  <si>
    <t>Smitha Sadanadan</t>
  </si>
  <si>
    <t>Suresh Babu K.R Othara</t>
  </si>
  <si>
    <t>Latha Mullanical</t>
  </si>
  <si>
    <t>Bindhu Melukara</t>
  </si>
  <si>
    <t>Subin Muttumon</t>
  </si>
  <si>
    <t>Shaji Mannar</t>
  </si>
  <si>
    <t>Rahul Mannar</t>
  </si>
  <si>
    <t>Renjith Omalloor</t>
  </si>
  <si>
    <t>Anish Melikara</t>
  </si>
  <si>
    <t>Smitha Rajeev Melukara</t>
  </si>
  <si>
    <t>Maya Chenganassery</t>
  </si>
  <si>
    <t>Savithri Paippad</t>
  </si>
  <si>
    <t>Noby Chengannassery</t>
  </si>
  <si>
    <t>Roney</t>
  </si>
  <si>
    <t>Ambily Vijayan Vazhakunnam</t>
  </si>
  <si>
    <t>Soubhagya Vazhakunnam</t>
  </si>
  <si>
    <t>Saji Poovathur</t>
  </si>
  <si>
    <t>Ardra R.Nath</t>
  </si>
  <si>
    <t>Preseetha Ayiroor</t>
  </si>
  <si>
    <t>Nisha Dileesh</t>
  </si>
  <si>
    <t>Saji Suresh Melukara</t>
  </si>
  <si>
    <t>P099</t>
  </si>
  <si>
    <t>Pinky Prasanth</t>
  </si>
  <si>
    <t>Aswathy PS, Kumbanadu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</si>
</sst>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7" fillId="0" borderId="0" xfId="0" applyFont="1"/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3" fillId="0" borderId="1" xfId="1" applyFont="1" applyBorder="1" applyAlignment="1">
      <alignment horizontal="right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0" fillId="0" borderId="0" xfId="0" applyFont="1"/>
    <xf numFmtId="0" fontId="6" fillId="0" borderId="1" xfId="0" applyFont="1" applyBorder="1" applyAlignment="1">
      <alignment horizontal="center" vertical="center"/>
    </xf>
    <xf numFmtId="0" fontId="1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85" zoomScaleNormal="85" workbookViewId="0">
      <selection activeCell="D16" sqref="D16"/>
    </sheetView>
  </sheetViews>
  <sheetFormatPr defaultRowHeight="15" x14ac:dyDescent="0.25"/>
  <cols>
    <col min="1" max="1" width="28.5703125" customWidth="1"/>
    <col min="2" max="2" width="16.42578125" customWidth="1"/>
  </cols>
  <sheetData>
    <row r="1" spans="1:2" ht="18.75" x14ac:dyDescent="0.3">
      <c r="A1" s="25" t="s">
        <v>180</v>
      </c>
      <c r="B1" s="26"/>
    </row>
    <row r="2" spans="1:2" x14ac:dyDescent="0.25">
      <c r="A2" s="2"/>
      <c r="B2" s="2"/>
    </row>
    <row r="3" spans="1:2" ht="19.899999999999999" customHeight="1" x14ac:dyDescent="0.25">
      <c r="A3" s="3" t="s">
        <v>0</v>
      </c>
      <c r="B3" s="13">
        <f>SUM('Master Sheet'!N3:N152)</f>
        <v>111100</v>
      </c>
    </row>
    <row r="4" spans="1:2" ht="19.899999999999999" customHeight="1" x14ac:dyDescent="0.25">
      <c r="A4" s="3" t="s">
        <v>1</v>
      </c>
      <c r="B4" s="3">
        <f>COUNTIF('Master Sheet'!P3:P152,"Pending")</f>
        <v>149</v>
      </c>
    </row>
    <row r="5" spans="1:2" ht="19.899999999999999" customHeight="1" x14ac:dyDescent="0.25">
      <c r="A5" s="3" t="s">
        <v>2</v>
      </c>
      <c r="B5" s="3">
        <f>COUNTIF('Master Sheet'!P3:P152,"Completed")</f>
        <v>1</v>
      </c>
    </row>
    <row r="6" spans="1:2" ht="15.75" x14ac:dyDescent="0.25">
      <c r="A6" s="3"/>
      <c r="B6" s="3"/>
    </row>
    <row r="7" spans="1:2" ht="15.75" x14ac:dyDescent="0.25">
      <c r="A7" s="4" t="s">
        <v>3</v>
      </c>
      <c r="B7" s="2"/>
    </row>
    <row r="8" spans="1:2" ht="19.899999999999999" customHeight="1" x14ac:dyDescent="0.25">
      <c r="A8" s="3" t="s">
        <v>4</v>
      </c>
      <c r="B8" s="3">
        <f>SUMIF('Master Sheet'!C3:C152,"Area 1 (Meenu S)",'Master Sheet'!N3:N152)</f>
        <v>15550</v>
      </c>
    </row>
    <row r="9" spans="1:2" ht="19.899999999999999" customHeight="1" x14ac:dyDescent="0.25">
      <c r="A9" s="3" t="s">
        <v>5</v>
      </c>
      <c r="B9" s="3">
        <f>SUMIF('Master Sheet'!C3:C152,"Area 2 (Viswakala S)",'Master Sheet'!N3:N152)</f>
        <v>8600</v>
      </c>
    </row>
    <row r="10" spans="1:2" ht="19.899999999999999" customHeight="1" x14ac:dyDescent="0.25">
      <c r="A10" s="3" t="s">
        <v>6</v>
      </c>
      <c r="B10" s="3">
        <f>SUMIF('Master Sheet'!C3:C152,"Area 3 (Saranya R)",'Master Sheet'!N3:N152)</f>
        <v>17700</v>
      </c>
    </row>
    <row r="11" spans="1:2" ht="19.899999999999999" customHeight="1" x14ac:dyDescent="0.25">
      <c r="A11" s="3" t="s">
        <v>7</v>
      </c>
      <c r="B11" s="3">
        <f>SUMIF('Master Sheet'!C3:C152,"Area 4 (Anitha R)",'Master Sheet'!N3:N152)</f>
        <v>11000</v>
      </c>
    </row>
    <row r="12" spans="1:2" ht="19.899999999999999" customHeight="1" x14ac:dyDescent="0.25">
      <c r="A12" s="3" t="s">
        <v>8</v>
      </c>
      <c r="B12" s="3">
        <f>SUMIF('Master Sheet'!C3:C152,"Area 5 (Renuka A)",'Master Sheet'!N3:N152)</f>
        <v>7000</v>
      </c>
    </row>
    <row r="13" spans="1:2" ht="19.899999999999999" customHeight="1" x14ac:dyDescent="0.25">
      <c r="A13" s="3" t="s">
        <v>9</v>
      </c>
      <c r="B13" s="3">
        <f>SUMIF('Master Sheet'!C3:C152,"Area 6 (Anitha P)",'Master Sheet'!N3:N152)</f>
        <v>12600</v>
      </c>
    </row>
    <row r="14" spans="1:2" ht="19.899999999999999" customHeight="1" x14ac:dyDescent="0.25">
      <c r="A14" s="3" t="s">
        <v>10</v>
      </c>
      <c r="B14" s="3">
        <f>SUMIF('Master Sheet'!C3:C152,"Area 7 (Anu R)",'Master Sheet'!N3:N152)</f>
        <v>38650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2"/>
  <sheetViews>
    <sheetView zoomScale="115" zoomScaleNormal="115" workbookViewId="0">
      <pane xSplit="3" ySplit="2" topLeftCell="D81" activePane="bottomRight" state="frozenSplit"/>
      <selection activeCell="O155" sqref="O155"/>
      <selection pane="topRight" activeCell="O155" sqref="O155"/>
      <selection pane="bottomLeft" activeCell="O155" sqref="O155"/>
      <selection pane="bottomRight" activeCell="J89" sqref="J89"/>
    </sheetView>
  </sheetViews>
  <sheetFormatPr defaultRowHeight="15" x14ac:dyDescent="0.25"/>
  <cols>
    <col min="1" max="1" width="11.28515625" customWidth="1"/>
    <col min="2" max="2" width="29.85546875" customWidth="1"/>
    <col min="3" max="3" width="20.28515625" customWidth="1"/>
    <col min="14" max="14" width="11.5703125" customWidth="1"/>
    <col min="15" max="15" width="9.5703125" customWidth="1"/>
    <col min="16" max="16" width="12.28515625" customWidth="1"/>
  </cols>
  <sheetData>
    <row r="1" spans="1:16" ht="18.75" x14ac:dyDescent="0.3">
      <c r="A1" s="27" t="s">
        <v>181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9.899999999999999" customHeight="1" x14ac:dyDescent="0.2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26</v>
      </c>
    </row>
    <row r="3" spans="1:16" ht="19.899999999999999" customHeight="1" x14ac:dyDescent="0.25">
      <c r="A3" s="3" t="s">
        <v>27</v>
      </c>
      <c r="B3" s="3" t="s">
        <v>182</v>
      </c>
      <c r="C3" s="3" t="s">
        <v>4</v>
      </c>
      <c r="D3" s="3">
        <v>350</v>
      </c>
      <c r="E3" s="3"/>
      <c r="F3" s="3"/>
      <c r="G3" s="3">
        <v>500</v>
      </c>
      <c r="H3" s="3"/>
      <c r="I3" s="3"/>
      <c r="J3" s="3"/>
      <c r="K3" s="3"/>
      <c r="L3" s="3"/>
      <c r="M3" s="3"/>
      <c r="N3" s="3">
        <f t="shared" ref="N3" si="0">SUM(D3:M3)</f>
        <v>850</v>
      </c>
      <c r="O3" s="22">
        <f t="shared" ref="O3:O34" si="1">3500-N3</f>
        <v>2650</v>
      </c>
      <c r="P3" s="3" t="str">
        <f t="shared" ref="P3:P34" si="2">IF(O3&lt;=0,"Completed","Pending")</f>
        <v>Pending</v>
      </c>
    </row>
    <row r="4" spans="1:16" ht="19.899999999999999" customHeight="1" x14ac:dyDescent="0.25">
      <c r="A4" s="3" t="s">
        <v>28</v>
      </c>
      <c r="B4" s="3" t="s">
        <v>329</v>
      </c>
      <c r="C4" s="3" t="s">
        <v>4</v>
      </c>
      <c r="D4" s="3"/>
      <c r="E4" s="3"/>
      <c r="F4" s="3"/>
      <c r="G4" s="3">
        <v>1000</v>
      </c>
      <c r="H4" s="3"/>
      <c r="I4" s="3"/>
      <c r="J4" s="3"/>
      <c r="K4" s="3"/>
      <c r="L4" s="3"/>
      <c r="M4" s="3"/>
      <c r="N4" s="3">
        <f t="shared" ref="N4:N34" si="3">SUM(D4:M4)</f>
        <v>1000</v>
      </c>
      <c r="O4" s="22">
        <f t="shared" si="1"/>
        <v>2500</v>
      </c>
      <c r="P4" s="3" t="str">
        <f t="shared" si="2"/>
        <v>Pending</v>
      </c>
    </row>
    <row r="5" spans="1:16" ht="19.899999999999999" customHeight="1" x14ac:dyDescent="0.25">
      <c r="A5" s="3" t="s">
        <v>29</v>
      </c>
      <c r="B5" s="3" t="s">
        <v>183</v>
      </c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f t="shared" si="3"/>
        <v>0</v>
      </c>
      <c r="O5" s="22">
        <f t="shared" si="1"/>
        <v>3500</v>
      </c>
      <c r="P5" s="3" t="str">
        <f t="shared" si="2"/>
        <v>Pending</v>
      </c>
    </row>
    <row r="6" spans="1:16" ht="19.899999999999999" customHeight="1" x14ac:dyDescent="0.25">
      <c r="A6" s="3" t="s">
        <v>30</v>
      </c>
      <c r="B6" s="3" t="s">
        <v>184</v>
      </c>
      <c r="C6" s="3" t="s">
        <v>4</v>
      </c>
      <c r="D6" s="3">
        <v>500</v>
      </c>
      <c r="E6" s="3"/>
      <c r="F6" s="3"/>
      <c r="G6" s="3">
        <v>500</v>
      </c>
      <c r="H6" s="3"/>
      <c r="I6" s="3"/>
      <c r="J6" s="3"/>
      <c r="K6" s="3"/>
      <c r="L6" s="3"/>
      <c r="M6" s="3"/>
      <c r="N6" s="3">
        <f t="shared" si="3"/>
        <v>1000</v>
      </c>
      <c r="O6" s="22">
        <f t="shared" si="1"/>
        <v>2500</v>
      </c>
      <c r="P6" s="3" t="str">
        <f t="shared" si="2"/>
        <v>Pending</v>
      </c>
    </row>
    <row r="7" spans="1:16" ht="19.899999999999999" customHeight="1" x14ac:dyDescent="0.25">
      <c r="A7" s="3" t="s">
        <v>31</v>
      </c>
      <c r="B7" s="3" t="s">
        <v>185</v>
      </c>
      <c r="C7" s="3" t="s">
        <v>4</v>
      </c>
      <c r="D7" s="3"/>
      <c r="E7" s="3"/>
      <c r="F7" s="3"/>
      <c r="G7" s="3">
        <v>2000</v>
      </c>
      <c r="H7" s="3"/>
      <c r="I7" s="3"/>
      <c r="J7" s="3"/>
      <c r="K7" s="3"/>
      <c r="L7" s="3"/>
      <c r="M7" s="3"/>
      <c r="N7" s="3">
        <f t="shared" si="3"/>
        <v>2000</v>
      </c>
      <c r="O7" s="22">
        <f t="shared" si="1"/>
        <v>1500</v>
      </c>
      <c r="P7" s="3" t="str">
        <f t="shared" si="2"/>
        <v>Pending</v>
      </c>
    </row>
    <row r="8" spans="1:16" ht="19.899999999999999" customHeight="1" x14ac:dyDescent="0.25">
      <c r="A8" s="3" t="s">
        <v>32</v>
      </c>
      <c r="B8" s="3" t="s">
        <v>186</v>
      </c>
      <c r="C8" s="3" t="s">
        <v>4</v>
      </c>
      <c r="D8" s="3">
        <v>250</v>
      </c>
      <c r="E8" s="3"/>
      <c r="F8" s="3"/>
      <c r="G8" s="3">
        <v>500</v>
      </c>
      <c r="H8" s="3"/>
      <c r="I8" s="3"/>
      <c r="J8" s="3" t="s">
        <v>219</v>
      </c>
      <c r="K8" s="3"/>
      <c r="L8" s="3"/>
      <c r="M8" s="3"/>
      <c r="N8" s="3">
        <f t="shared" si="3"/>
        <v>750</v>
      </c>
      <c r="O8" s="22">
        <f t="shared" si="1"/>
        <v>2750</v>
      </c>
      <c r="P8" s="3" t="str">
        <f t="shared" si="2"/>
        <v>Pending</v>
      </c>
    </row>
    <row r="9" spans="1:16" ht="19.899999999999999" customHeight="1" x14ac:dyDescent="0.25">
      <c r="A9" s="3" t="s">
        <v>33</v>
      </c>
      <c r="B9" s="3" t="s">
        <v>187</v>
      </c>
      <c r="C9" s="3" t="s">
        <v>4</v>
      </c>
      <c r="D9" s="3">
        <v>250</v>
      </c>
      <c r="E9" s="3"/>
      <c r="F9" s="3"/>
      <c r="G9" s="3"/>
      <c r="H9" s="3"/>
      <c r="I9" s="3"/>
      <c r="J9" s="3"/>
      <c r="K9" s="3"/>
      <c r="L9" s="3"/>
      <c r="M9" s="3"/>
      <c r="N9" s="3">
        <f t="shared" si="3"/>
        <v>250</v>
      </c>
      <c r="O9" s="22">
        <f t="shared" si="1"/>
        <v>3250</v>
      </c>
      <c r="P9" s="3" t="str">
        <f t="shared" si="2"/>
        <v>Pending</v>
      </c>
    </row>
    <row r="10" spans="1:16" ht="19.899999999999999" customHeight="1" x14ac:dyDescent="0.25">
      <c r="A10" s="3" t="s">
        <v>34</v>
      </c>
      <c r="B10" s="3" t="s">
        <v>188</v>
      </c>
      <c r="C10" s="3" t="s">
        <v>4</v>
      </c>
      <c r="D10" s="3">
        <v>250</v>
      </c>
      <c r="E10" s="3"/>
      <c r="F10" s="3"/>
      <c r="G10" s="3">
        <v>500</v>
      </c>
      <c r="H10" s="3"/>
      <c r="I10" s="3"/>
      <c r="J10" s="3"/>
      <c r="K10" s="3"/>
      <c r="L10" s="3"/>
      <c r="M10" s="3"/>
      <c r="N10" s="3">
        <f t="shared" si="3"/>
        <v>750</v>
      </c>
      <c r="O10" s="22">
        <f t="shared" si="1"/>
        <v>2750</v>
      </c>
      <c r="P10" s="3" t="str">
        <f t="shared" si="2"/>
        <v>Pending</v>
      </c>
    </row>
    <row r="11" spans="1:16" ht="19.899999999999999" customHeight="1" x14ac:dyDescent="0.25">
      <c r="A11" s="3" t="s">
        <v>35</v>
      </c>
      <c r="B11" s="3" t="s">
        <v>188</v>
      </c>
      <c r="C11" s="3" t="s">
        <v>4</v>
      </c>
      <c r="D11" s="3">
        <v>250</v>
      </c>
      <c r="E11" s="3"/>
      <c r="F11" s="3"/>
      <c r="G11" s="3"/>
      <c r="H11" s="3"/>
      <c r="I11" s="3"/>
      <c r="J11" s="3"/>
      <c r="K11" s="3"/>
      <c r="L11" s="3"/>
      <c r="M11" s="3"/>
      <c r="N11" s="3">
        <f t="shared" si="3"/>
        <v>250</v>
      </c>
      <c r="O11" s="22">
        <f t="shared" si="1"/>
        <v>3250</v>
      </c>
      <c r="P11" s="3" t="str">
        <f t="shared" si="2"/>
        <v>Pending</v>
      </c>
    </row>
    <row r="12" spans="1:16" ht="19.899999999999999" customHeight="1" x14ac:dyDescent="0.25">
      <c r="A12" s="3" t="s">
        <v>36</v>
      </c>
      <c r="B12" s="3" t="s">
        <v>189</v>
      </c>
      <c r="C12" s="3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f t="shared" si="3"/>
        <v>0</v>
      </c>
      <c r="O12" s="22">
        <f t="shared" si="1"/>
        <v>3500</v>
      </c>
      <c r="P12" s="3" t="str">
        <f t="shared" si="2"/>
        <v>Pending</v>
      </c>
    </row>
    <row r="13" spans="1:16" ht="19.899999999999999" customHeight="1" x14ac:dyDescent="0.25">
      <c r="A13" s="3" t="s">
        <v>37</v>
      </c>
      <c r="B13" s="3" t="s">
        <v>190</v>
      </c>
      <c r="C13" s="3" t="s">
        <v>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f t="shared" si="3"/>
        <v>0</v>
      </c>
      <c r="O13" s="22">
        <f t="shared" si="1"/>
        <v>3500</v>
      </c>
      <c r="P13" s="3" t="str">
        <f t="shared" si="2"/>
        <v>Pending</v>
      </c>
    </row>
    <row r="14" spans="1:16" ht="19.899999999999999" customHeight="1" x14ac:dyDescent="0.25">
      <c r="A14" s="3" t="s">
        <v>38</v>
      </c>
      <c r="B14" s="3" t="s">
        <v>190</v>
      </c>
      <c r="C14" s="3" t="s">
        <v>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f t="shared" si="3"/>
        <v>0</v>
      </c>
      <c r="O14" s="22">
        <f t="shared" si="1"/>
        <v>3500</v>
      </c>
      <c r="P14" s="3" t="str">
        <f t="shared" si="2"/>
        <v>Pending</v>
      </c>
    </row>
    <row r="15" spans="1:16" ht="19.899999999999999" customHeight="1" x14ac:dyDescent="0.25">
      <c r="A15" s="3" t="s">
        <v>39</v>
      </c>
      <c r="B15" s="3" t="s">
        <v>191</v>
      </c>
      <c r="C15" s="3" t="s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f t="shared" si="3"/>
        <v>0</v>
      </c>
      <c r="O15" s="22">
        <f t="shared" si="1"/>
        <v>3500</v>
      </c>
      <c r="P15" s="3" t="str">
        <f t="shared" si="2"/>
        <v>Pending</v>
      </c>
    </row>
    <row r="16" spans="1:16" ht="19.899999999999999" customHeight="1" x14ac:dyDescent="0.25">
      <c r="A16" s="3" t="s">
        <v>40</v>
      </c>
      <c r="B16" s="3" t="s">
        <v>192</v>
      </c>
      <c r="C16" s="3" t="s">
        <v>4</v>
      </c>
      <c r="D16" s="3"/>
      <c r="E16" s="3"/>
      <c r="F16" s="3">
        <v>350</v>
      </c>
      <c r="G16" s="3"/>
      <c r="H16" s="3"/>
      <c r="I16" s="3"/>
      <c r="J16" s="3"/>
      <c r="K16" s="3"/>
      <c r="L16" s="3"/>
      <c r="M16" s="3"/>
      <c r="N16" s="3">
        <f t="shared" si="3"/>
        <v>350</v>
      </c>
      <c r="O16" s="22">
        <f t="shared" si="1"/>
        <v>3150</v>
      </c>
      <c r="P16" s="3" t="str">
        <f t="shared" si="2"/>
        <v>Pending</v>
      </c>
    </row>
    <row r="17" spans="1:16" ht="19.899999999999999" customHeight="1" x14ac:dyDescent="0.25">
      <c r="A17" s="3" t="s">
        <v>41</v>
      </c>
      <c r="B17" s="3" t="s">
        <v>193</v>
      </c>
      <c r="C17" s="3" t="s">
        <v>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f t="shared" si="3"/>
        <v>0</v>
      </c>
      <c r="O17" s="22">
        <f t="shared" si="1"/>
        <v>3500</v>
      </c>
      <c r="P17" s="3" t="str">
        <f t="shared" si="2"/>
        <v>Pending</v>
      </c>
    </row>
    <row r="18" spans="1:16" ht="19.899999999999999" customHeight="1" x14ac:dyDescent="0.25">
      <c r="A18" s="3" t="s">
        <v>42</v>
      </c>
      <c r="B18" s="3" t="s">
        <v>194</v>
      </c>
      <c r="C18" s="3" t="s">
        <v>4</v>
      </c>
      <c r="D18" s="3"/>
      <c r="E18" s="3"/>
      <c r="F18" s="3"/>
      <c r="G18" s="3">
        <v>500</v>
      </c>
      <c r="H18" s="3"/>
      <c r="I18" s="3"/>
      <c r="J18" s="3"/>
      <c r="K18" s="3"/>
      <c r="L18" s="3"/>
      <c r="M18" s="3"/>
      <c r="N18" s="3">
        <f t="shared" si="3"/>
        <v>500</v>
      </c>
      <c r="O18" s="22">
        <f t="shared" si="1"/>
        <v>3000</v>
      </c>
      <c r="P18" s="3" t="str">
        <f t="shared" si="2"/>
        <v>Pending</v>
      </c>
    </row>
    <row r="19" spans="1:16" ht="19.899999999999999" customHeight="1" x14ac:dyDescent="0.25">
      <c r="A19" s="3" t="s">
        <v>43</v>
      </c>
      <c r="B19" s="3" t="s">
        <v>195</v>
      </c>
      <c r="C19" s="3" t="s">
        <v>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f t="shared" si="3"/>
        <v>0</v>
      </c>
      <c r="O19" s="22">
        <f t="shared" si="1"/>
        <v>3500</v>
      </c>
      <c r="P19" s="3" t="str">
        <f t="shared" si="2"/>
        <v>Pending</v>
      </c>
    </row>
    <row r="20" spans="1:16" ht="19.899999999999999" customHeight="1" x14ac:dyDescent="0.25">
      <c r="A20" s="3" t="s">
        <v>44</v>
      </c>
      <c r="B20" s="3" t="s">
        <v>196</v>
      </c>
      <c r="C20" s="3" t="s">
        <v>4</v>
      </c>
      <c r="D20" s="3">
        <v>1000</v>
      </c>
      <c r="E20" s="3"/>
      <c r="F20" s="3"/>
      <c r="G20" s="3"/>
      <c r="H20" s="3"/>
      <c r="I20" s="3"/>
      <c r="J20" s="3"/>
      <c r="K20" s="3"/>
      <c r="L20" s="3"/>
      <c r="M20" s="3"/>
      <c r="N20" s="3">
        <f t="shared" si="3"/>
        <v>1000</v>
      </c>
      <c r="O20" s="22">
        <f t="shared" si="1"/>
        <v>2500</v>
      </c>
      <c r="P20" s="3" t="str">
        <f t="shared" si="2"/>
        <v>Pending</v>
      </c>
    </row>
    <row r="21" spans="1:16" ht="19.899999999999999" customHeight="1" x14ac:dyDescent="0.25">
      <c r="A21" s="3" t="s">
        <v>45</v>
      </c>
      <c r="B21" s="3" t="s">
        <v>197</v>
      </c>
      <c r="C21" s="3" t="s">
        <v>4</v>
      </c>
      <c r="D21" s="3"/>
      <c r="E21" s="3"/>
      <c r="F21" s="3"/>
      <c r="G21" s="3">
        <v>1000</v>
      </c>
      <c r="H21" s="3"/>
      <c r="I21" s="3"/>
      <c r="J21" s="3"/>
      <c r="K21" s="3"/>
      <c r="L21" s="3"/>
      <c r="M21" s="3"/>
      <c r="N21" s="3">
        <f t="shared" si="3"/>
        <v>1000</v>
      </c>
      <c r="O21" s="22">
        <f t="shared" si="1"/>
        <v>2500</v>
      </c>
      <c r="P21" s="3" t="str">
        <f t="shared" si="2"/>
        <v>Pending</v>
      </c>
    </row>
    <row r="22" spans="1:16" ht="19.899999999999999" customHeight="1" x14ac:dyDescent="0.25">
      <c r="A22" s="3" t="s">
        <v>46</v>
      </c>
      <c r="B22" s="3" t="s">
        <v>198</v>
      </c>
      <c r="C22" s="3" t="s">
        <v>4</v>
      </c>
      <c r="D22" s="3"/>
      <c r="E22" s="3"/>
      <c r="F22" s="3">
        <v>500</v>
      </c>
      <c r="G22" s="3"/>
      <c r="H22" s="3"/>
      <c r="I22" s="3"/>
      <c r="J22" s="3"/>
      <c r="K22" s="3"/>
      <c r="L22" s="3"/>
      <c r="M22" s="3"/>
      <c r="N22" s="3">
        <f t="shared" si="3"/>
        <v>500</v>
      </c>
      <c r="O22" s="22">
        <f t="shared" si="1"/>
        <v>3000</v>
      </c>
      <c r="P22" s="3" t="str">
        <f t="shared" si="2"/>
        <v>Pending</v>
      </c>
    </row>
    <row r="23" spans="1:16" ht="19.899999999999999" customHeight="1" x14ac:dyDescent="0.25">
      <c r="A23" s="3" t="s">
        <v>47</v>
      </c>
      <c r="B23" s="3" t="s">
        <v>199</v>
      </c>
      <c r="C23" s="3" t="s">
        <v>4</v>
      </c>
      <c r="D23" s="3"/>
      <c r="E23" s="3"/>
      <c r="F23" s="3">
        <v>200</v>
      </c>
      <c r="G23" s="3">
        <v>100</v>
      </c>
      <c r="H23" s="3"/>
      <c r="I23" s="3"/>
      <c r="J23" s="3"/>
      <c r="K23" s="3"/>
      <c r="L23" s="3"/>
      <c r="M23" s="3"/>
      <c r="N23" s="3">
        <f t="shared" si="3"/>
        <v>300</v>
      </c>
      <c r="O23" s="22">
        <f t="shared" si="1"/>
        <v>3200</v>
      </c>
      <c r="P23" s="3" t="str">
        <f t="shared" si="2"/>
        <v>Pending</v>
      </c>
    </row>
    <row r="24" spans="1:16" ht="19.899999999999999" customHeight="1" x14ac:dyDescent="0.25">
      <c r="A24" s="3" t="s">
        <v>48</v>
      </c>
      <c r="B24" s="3" t="s">
        <v>200</v>
      </c>
      <c r="C24" s="3" t="s">
        <v>4</v>
      </c>
      <c r="D24" s="3">
        <v>500</v>
      </c>
      <c r="E24" s="3"/>
      <c r="F24" s="3">
        <v>300</v>
      </c>
      <c r="G24" s="3"/>
      <c r="H24" s="3"/>
      <c r="I24" s="3"/>
      <c r="J24" s="3"/>
      <c r="K24" s="3"/>
      <c r="L24" s="3"/>
      <c r="M24" s="3"/>
      <c r="N24" s="3">
        <f t="shared" si="3"/>
        <v>800</v>
      </c>
      <c r="O24" s="22">
        <f t="shared" si="1"/>
        <v>2700</v>
      </c>
      <c r="P24" s="3" t="str">
        <f t="shared" si="2"/>
        <v>Pending</v>
      </c>
    </row>
    <row r="25" spans="1:16" ht="19.899999999999999" customHeight="1" x14ac:dyDescent="0.25">
      <c r="A25" s="3" t="s">
        <v>49</v>
      </c>
      <c r="B25" s="3" t="s">
        <v>201</v>
      </c>
      <c r="C25" s="3" t="s">
        <v>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>
        <f t="shared" si="3"/>
        <v>0</v>
      </c>
      <c r="O25" s="22">
        <f t="shared" si="1"/>
        <v>3500</v>
      </c>
      <c r="P25" s="3" t="str">
        <f t="shared" si="2"/>
        <v>Pending</v>
      </c>
    </row>
    <row r="26" spans="1:16" ht="19.899999999999999" customHeight="1" x14ac:dyDescent="0.25">
      <c r="A26" s="3" t="s">
        <v>50</v>
      </c>
      <c r="B26" s="3" t="s">
        <v>202</v>
      </c>
      <c r="C26" s="3" t="s">
        <v>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>
        <f t="shared" si="3"/>
        <v>0</v>
      </c>
      <c r="O26" s="22">
        <f t="shared" si="1"/>
        <v>3500</v>
      </c>
      <c r="P26" s="3" t="str">
        <f t="shared" si="2"/>
        <v>Pending</v>
      </c>
    </row>
    <row r="27" spans="1:16" ht="19.899999999999999" customHeight="1" x14ac:dyDescent="0.25">
      <c r="A27" s="3" t="s">
        <v>51</v>
      </c>
      <c r="B27" s="3" t="s">
        <v>203</v>
      </c>
      <c r="C27" s="3" t="s">
        <v>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f t="shared" si="3"/>
        <v>0</v>
      </c>
      <c r="O27" s="22">
        <f t="shared" si="1"/>
        <v>3500</v>
      </c>
      <c r="P27" s="3" t="str">
        <f t="shared" si="2"/>
        <v>Pending</v>
      </c>
    </row>
    <row r="28" spans="1:16" ht="19.899999999999999" customHeight="1" x14ac:dyDescent="0.25">
      <c r="A28" s="3" t="s">
        <v>52</v>
      </c>
      <c r="B28" s="3" t="s">
        <v>204</v>
      </c>
      <c r="C28" s="3" t="s">
        <v>4</v>
      </c>
      <c r="D28" s="3">
        <v>750</v>
      </c>
      <c r="E28" s="3"/>
      <c r="F28" s="3"/>
      <c r="G28" s="3"/>
      <c r="H28" s="3"/>
      <c r="I28" s="3"/>
      <c r="J28" s="3"/>
      <c r="K28" s="3"/>
      <c r="L28" s="3"/>
      <c r="M28" s="3"/>
      <c r="N28" s="3">
        <f t="shared" si="3"/>
        <v>750</v>
      </c>
      <c r="O28" s="22">
        <f t="shared" si="1"/>
        <v>2750</v>
      </c>
      <c r="P28" s="3" t="str">
        <f t="shared" si="2"/>
        <v>Pending</v>
      </c>
    </row>
    <row r="29" spans="1:16" ht="19.899999999999999" customHeight="1" x14ac:dyDescent="0.25">
      <c r="A29" s="3" t="s">
        <v>53</v>
      </c>
      <c r="B29" s="3" t="s">
        <v>204</v>
      </c>
      <c r="C29" s="3" t="s">
        <v>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>
        <f t="shared" si="3"/>
        <v>0</v>
      </c>
      <c r="O29" s="22">
        <f t="shared" si="1"/>
        <v>3500</v>
      </c>
      <c r="P29" s="3" t="str">
        <f t="shared" si="2"/>
        <v>Pending</v>
      </c>
    </row>
    <row r="30" spans="1:16" ht="19.899999999999999" customHeight="1" x14ac:dyDescent="0.25">
      <c r="A30" s="3" t="s">
        <v>54</v>
      </c>
      <c r="B30" s="3" t="s">
        <v>205</v>
      </c>
      <c r="C30" s="3" t="s">
        <v>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>
        <f t="shared" si="3"/>
        <v>0</v>
      </c>
      <c r="O30" s="22">
        <f t="shared" si="1"/>
        <v>3500</v>
      </c>
      <c r="P30" s="3" t="str">
        <f t="shared" si="2"/>
        <v>Pending</v>
      </c>
    </row>
    <row r="31" spans="1:16" ht="19.899999999999999" customHeight="1" x14ac:dyDescent="0.25">
      <c r="A31" s="3" t="s">
        <v>55</v>
      </c>
      <c r="B31" s="3" t="s">
        <v>206</v>
      </c>
      <c r="C31" s="3" t="s">
        <v>4</v>
      </c>
      <c r="D31" s="3">
        <v>500</v>
      </c>
      <c r="E31" s="3">
        <v>500</v>
      </c>
      <c r="F31" s="3">
        <v>500</v>
      </c>
      <c r="G31" s="3"/>
      <c r="H31" s="3"/>
      <c r="I31" s="3"/>
      <c r="J31" s="3"/>
      <c r="K31" s="3"/>
      <c r="L31" s="3"/>
      <c r="M31" s="3"/>
      <c r="N31" s="3">
        <f t="shared" si="3"/>
        <v>1500</v>
      </c>
      <c r="O31" s="22">
        <f t="shared" si="1"/>
        <v>2000</v>
      </c>
      <c r="P31" s="3" t="str">
        <f t="shared" si="2"/>
        <v>Pending</v>
      </c>
    </row>
    <row r="32" spans="1:16" ht="19.899999999999999" customHeight="1" x14ac:dyDescent="0.25">
      <c r="A32" s="3" t="s">
        <v>56</v>
      </c>
      <c r="B32" s="3" t="s">
        <v>207</v>
      </c>
      <c r="C32" s="3" t="s">
        <v>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>
        <f t="shared" si="3"/>
        <v>0</v>
      </c>
      <c r="O32" s="22">
        <f t="shared" si="1"/>
        <v>3500</v>
      </c>
      <c r="P32" s="3" t="str">
        <f t="shared" si="2"/>
        <v>Pending</v>
      </c>
    </row>
    <row r="33" spans="1:16" ht="19.899999999999999" customHeight="1" x14ac:dyDescent="0.25">
      <c r="A33" s="3" t="s">
        <v>57</v>
      </c>
      <c r="B33" s="3" t="s">
        <v>208</v>
      </c>
      <c r="C33" s="3" t="s">
        <v>4</v>
      </c>
      <c r="D33" s="3"/>
      <c r="E33" s="3"/>
      <c r="F33" s="3">
        <v>500</v>
      </c>
      <c r="G33" s="3">
        <v>1500</v>
      </c>
      <c r="H33" s="3"/>
      <c r="I33" s="3"/>
      <c r="J33" s="3"/>
      <c r="K33" s="3"/>
      <c r="L33" s="3"/>
      <c r="M33" s="3"/>
      <c r="N33" s="3">
        <f t="shared" si="3"/>
        <v>2000</v>
      </c>
      <c r="O33" s="22">
        <f t="shared" si="1"/>
        <v>1500</v>
      </c>
      <c r="P33" s="3" t="str">
        <f t="shared" si="2"/>
        <v>Pending</v>
      </c>
    </row>
    <row r="34" spans="1:16" ht="19.899999999999999" customHeight="1" x14ac:dyDescent="0.25">
      <c r="A34" s="3" t="s">
        <v>58</v>
      </c>
      <c r="B34" s="3" t="s">
        <v>209</v>
      </c>
      <c r="C34" s="3" t="s">
        <v>5</v>
      </c>
      <c r="D34" s="3">
        <v>500</v>
      </c>
      <c r="E34" s="3"/>
      <c r="F34" s="3">
        <v>350</v>
      </c>
      <c r="G34" s="3">
        <v>500</v>
      </c>
      <c r="H34" s="3"/>
      <c r="I34" s="3"/>
      <c r="J34" s="3"/>
      <c r="K34" s="3"/>
      <c r="L34" s="3"/>
      <c r="M34" s="3"/>
      <c r="N34" s="3">
        <f t="shared" si="3"/>
        <v>1350</v>
      </c>
      <c r="O34" s="22">
        <f t="shared" si="1"/>
        <v>2150</v>
      </c>
      <c r="P34" s="3" t="str">
        <f t="shared" si="2"/>
        <v>Pending</v>
      </c>
    </row>
    <row r="35" spans="1:16" ht="19.899999999999999" customHeight="1" x14ac:dyDescent="0.25">
      <c r="A35" s="3" t="s">
        <v>59</v>
      </c>
      <c r="B35" s="3" t="s">
        <v>210</v>
      </c>
      <c r="C35" s="3" t="s">
        <v>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>
        <f t="shared" ref="N35:N66" si="4">SUM(D35:M35)</f>
        <v>0</v>
      </c>
      <c r="O35" s="22">
        <f t="shared" ref="O35:O66" si="5">3500-N35</f>
        <v>3500</v>
      </c>
      <c r="P35" s="3" t="str">
        <f t="shared" ref="P35:P66" si="6">IF(O35&lt;=0,"Completed","Pending")</f>
        <v>Pending</v>
      </c>
    </row>
    <row r="36" spans="1:16" ht="19.899999999999999" customHeight="1" x14ac:dyDescent="0.25">
      <c r="A36" s="3" t="s">
        <v>60</v>
      </c>
      <c r="B36" s="3" t="s">
        <v>211</v>
      </c>
      <c r="C36" s="3" t="s">
        <v>5</v>
      </c>
      <c r="D36" s="3"/>
      <c r="E36" s="3">
        <v>500</v>
      </c>
      <c r="F36" s="3"/>
      <c r="G36" s="3">
        <v>500</v>
      </c>
      <c r="H36" s="3"/>
      <c r="I36" s="3"/>
      <c r="J36" s="3"/>
      <c r="K36" s="3"/>
      <c r="L36" s="3"/>
      <c r="M36" s="3"/>
      <c r="N36" s="3">
        <f t="shared" si="4"/>
        <v>1000</v>
      </c>
      <c r="O36" s="22">
        <f t="shared" si="5"/>
        <v>2500</v>
      </c>
      <c r="P36" s="3" t="str">
        <f t="shared" si="6"/>
        <v>Pending</v>
      </c>
    </row>
    <row r="37" spans="1:16" ht="19.899999999999999" customHeight="1" x14ac:dyDescent="0.25">
      <c r="A37" s="3" t="s">
        <v>61</v>
      </c>
      <c r="B37" s="3" t="s">
        <v>212</v>
      </c>
      <c r="C37" s="3" t="s">
        <v>5</v>
      </c>
      <c r="D37" s="3"/>
      <c r="E37" s="3">
        <v>350</v>
      </c>
      <c r="F37" s="3">
        <v>350</v>
      </c>
      <c r="G37" s="3">
        <v>350</v>
      </c>
      <c r="H37" s="3"/>
      <c r="I37" s="3"/>
      <c r="J37" s="3"/>
      <c r="K37" s="3"/>
      <c r="L37" s="3"/>
      <c r="M37" s="3"/>
      <c r="N37" s="3">
        <f t="shared" si="4"/>
        <v>1050</v>
      </c>
      <c r="O37" s="22">
        <f t="shared" si="5"/>
        <v>2450</v>
      </c>
      <c r="P37" s="3" t="str">
        <f t="shared" si="6"/>
        <v>Pending</v>
      </c>
    </row>
    <row r="38" spans="1:16" ht="19.899999999999999" customHeight="1" x14ac:dyDescent="0.25">
      <c r="A38" s="3" t="s">
        <v>62</v>
      </c>
      <c r="B38" s="3" t="s">
        <v>213</v>
      </c>
      <c r="C38" s="3" t="s">
        <v>5</v>
      </c>
      <c r="D38" s="3">
        <v>350</v>
      </c>
      <c r="E38" s="3"/>
      <c r="F38" s="3">
        <v>1000</v>
      </c>
      <c r="G38" s="3"/>
      <c r="H38" s="3"/>
      <c r="I38" s="3"/>
      <c r="J38" s="3"/>
      <c r="K38" s="3"/>
      <c r="L38" s="3"/>
      <c r="M38" s="3"/>
      <c r="N38" s="3">
        <f t="shared" si="4"/>
        <v>1350</v>
      </c>
      <c r="O38" s="22">
        <f t="shared" si="5"/>
        <v>2150</v>
      </c>
      <c r="P38" s="3" t="str">
        <f t="shared" si="6"/>
        <v>Pending</v>
      </c>
    </row>
    <row r="39" spans="1:16" ht="19.899999999999999" customHeight="1" x14ac:dyDescent="0.25">
      <c r="A39" s="3" t="s">
        <v>63</v>
      </c>
      <c r="B39" s="3" t="s">
        <v>214</v>
      </c>
      <c r="C39" s="3" t="s">
        <v>5</v>
      </c>
      <c r="D39" s="3"/>
      <c r="E39" s="3">
        <v>700</v>
      </c>
      <c r="F39" s="3"/>
      <c r="G39" s="3"/>
      <c r="H39" s="3"/>
      <c r="I39" s="3"/>
      <c r="J39" s="3"/>
      <c r="K39" s="3"/>
      <c r="L39" s="3"/>
      <c r="M39" s="3"/>
      <c r="N39" s="3">
        <f t="shared" si="4"/>
        <v>700</v>
      </c>
      <c r="O39" s="22">
        <f t="shared" si="5"/>
        <v>2800</v>
      </c>
      <c r="P39" s="3" t="str">
        <f t="shared" si="6"/>
        <v>Pending</v>
      </c>
    </row>
    <row r="40" spans="1:16" ht="19.899999999999999" customHeight="1" x14ac:dyDescent="0.25">
      <c r="A40" s="3" t="s">
        <v>64</v>
      </c>
      <c r="B40" s="3" t="s">
        <v>215</v>
      </c>
      <c r="C40" s="3" t="s">
        <v>5</v>
      </c>
      <c r="D40" s="3"/>
      <c r="E40" s="3">
        <v>400</v>
      </c>
      <c r="F40" s="3"/>
      <c r="G40" s="3">
        <v>300</v>
      </c>
      <c r="H40" s="3"/>
      <c r="I40" s="3"/>
      <c r="J40" s="3"/>
      <c r="K40" s="3"/>
      <c r="L40" s="3"/>
      <c r="M40" s="3"/>
      <c r="N40" s="3">
        <f t="shared" si="4"/>
        <v>700</v>
      </c>
      <c r="O40" s="22">
        <f t="shared" si="5"/>
        <v>2800</v>
      </c>
      <c r="P40" s="3" t="str">
        <f t="shared" si="6"/>
        <v>Pending</v>
      </c>
    </row>
    <row r="41" spans="1:16" ht="19.899999999999999" customHeight="1" x14ac:dyDescent="0.25">
      <c r="A41" s="3" t="s">
        <v>65</v>
      </c>
      <c r="B41" s="3" t="s">
        <v>216</v>
      </c>
      <c r="C41" s="3" t="s">
        <v>5</v>
      </c>
      <c r="D41" s="3">
        <v>350</v>
      </c>
      <c r="E41" s="3"/>
      <c r="F41" s="3">
        <v>350</v>
      </c>
      <c r="G41" s="3">
        <v>700</v>
      </c>
      <c r="H41" s="3"/>
      <c r="I41" s="3"/>
      <c r="J41" s="3"/>
      <c r="K41" s="3"/>
      <c r="L41" s="3"/>
      <c r="M41" s="3"/>
      <c r="N41" s="3">
        <f t="shared" si="4"/>
        <v>1400</v>
      </c>
      <c r="O41" s="22">
        <f t="shared" si="5"/>
        <v>2100</v>
      </c>
      <c r="P41" s="3" t="str">
        <f t="shared" si="6"/>
        <v>Pending</v>
      </c>
    </row>
    <row r="42" spans="1:16" ht="19.899999999999999" customHeight="1" x14ac:dyDescent="0.25">
      <c r="A42" s="3" t="s">
        <v>66</v>
      </c>
      <c r="B42" s="3" t="s">
        <v>217</v>
      </c>
      <c r="C42" s="3" t="s">
        <v>5</v>
      </c>
      <c r="D42" s="3"/>
      <c r="E42" s="3">
        <v>350</v>
      </c>
      <c r="F42" s="3">
        <v>350</v>
      </c>
      <c r="G42" s="3">
        <v>350</v>
      </c>
      <c r="H42" s="3"/>
      <c r="I42" s="3"/>
      <c r="J42" s="3"/>
      <c r="K42" s="3"/>
      <c r="L42" s="3"/>
      <c r="M42" s="3"/>
      <c r="N42" s="3">
        <f t="shared" si="4"/>
        <v>1050</v>
      </c>
      <c r="O42" s="22">
        <f t="shared" si="5"/>
        <v>2450</v>
      </c>
      <c r="P42" s="3" t="str">
        <f t="shared" si="6"/>
        <v>Pending</v>
      </c>
    </row>
    <row r="43" spans="1:16" ht="19.899999999999999" customHeight="1" x14ac:dyDescent="0.25">
      <c r="A43" s="3" t="s">
        <v>67</v>
      </c>
      <c r="B43" s="3" t="s">
        <v>218</v>
      </c>
      <c r="C43" s="3" t="s">
        <v>5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>
        <f t="shared" si="4"/>
        <v>0</v>
      </c>
      <c r="O43" s="22">
        <f t="shared" si="5"/>
        <v>3500</v>
      </c>
      <c r="P43" s="3" t="str">
        <f t="shared" si="6"/>
        <v>Pending</v>
      </c>
    </row>
    <row r="44" spans="1:16" ht="19.899999999999999" customHeight="1" x14ac:dyDescent="0.25">
      <c r="A44" s="3" t="s">
        <v>68</v>
      </c>
      <c r="B44" s="3" t="s">
        <v>220</v>
      </c>
      <c r="C44" s="3" t="s">
        <v>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>
        <f t="shared" si="4"/>
        <v>0</v>
      </c>
      <c r="O44" s="22">
        <f t="shared" si="5"/>
        <v>3500</v>
      </c>
      <c r="P44" s="3" t="str">
        <f t="shared" si="6"/>
        <v>Pending</v>
      </c>
    </row>
    <row r="45" spans="1:16" ht="19.899999999999999" customHeight="1" x14ac:dyDescent="0.25">
      <c r="A45" s="3" t="s">
        <v>69</v>
      </c>
      <c r="B45" s="3" t="s">
        <v>221</v>
      </c>
      <c r="C45" s="3" t="s">
        <v>6</v>
      </c>
      <c r="D45" s="3"/>
      <c r="E45" s="3">
        <v>500</v>
      </c>
      <c r="F45" s="3">
        <v>500</v>
      </c>
      <c r="G45" s="3"/>
      <c r="H45" s="3"/>
      <c r="I45" s="3"/>
      <c r="J45" s="3"/>
      <c r="K45" s="3"/>
      <c r="L45" s="3"/>
      <c r="M45" s="3"/>
      <c r="N45" s="3">
        <f t="shared" si="4"/>
        <v>1000</v>
      </c>
      <c r="O45" s="22">
        <f t="shared" si="5"/>
        <v>2500</v>
      </c>
      <c r="P45" s="3" t="str">
        <f t="shared" si="6"/>
        <v>Pending</v>
      </c>
    </row>
    <row r="46" spans="1:16" ht="19.899999999999999" customHeight="1" x14ac:dyDescent="0.25">
      <c r="A46" s="3" t="s">
        <v>70</v>
      </c>
      <c r="B46" s="3" t="s">
        <v>222</v>
      </c>
      <c r="C46" s="3" t="s">
        <v>6</v>
      </c>
      <c r="D46" s="3">
        <v>500</v>
      </c>
      <c r="E46" s="3">
        <v>600</v>
      </c>
      <c r="F46" s="3">
        <v>150</v>
      </c>
      <c r="G46" s="3">
        <v>500</v>
      </c>
      <c r="H46" s="3"/>
      <c r="I46" s="3"/>
      <c r="J46" s="3"/>
      <c r="K46" s="3"/>
      <c r="L46" s="3"/>
      <c r="M46" s="3"/>
      <c r="N46" s="3">
        <f t="shared" si="4"/>
        <v>1750</v>
      </c>
      <c r="O46" s="22">
        <f t="shared" si="5"/>
        <v>1750</v>
      </c>
      <c r="P46" s="3" t="str">
        <f t="shared" si="6"/>
        <v>Pending</v>
      </c>
    </row>
    <row r="47" spans="1:16" ht="19.899999999999999" customHeight="1" x14ac:dyDescent="0.25">
      <c r="A47" s="3" t="s">
        <v>71</v>
      </c>
      <c r="B47" s="3" t="s">
        <v>223</v>
      </c>
      <c r="C47" s="3" t="s">
        <v>6</v>
      </c>
      <c r="D47" s="3"/>
      <c r="E47" s="3">
        <v>500</v>
      </c>
      <c r="F47" s="3"/>
      <c r="G47" s="3"/>
      <c r="H47" s="3"/>
      <c r="I47" s="3"/>
      <c r="J47" s="3"/>
      <c r="K47" s="3"/>
      <c r="L47" s="3"/>
      <c r="M47" s="3"/>
      <c r="N47" s="3">
        <f t="shared" si="4"/>
        <v>500</v>
      </c>
      <c r="O47" s="22">
        <f t="shared" si="5"/>
        <v>3000</v>
      </c>
      <c r="P47" s="3" t="str">
        <f t="shared" si="6"/>
        <v>Pending</v>
      </c>
    </row>
    <row r="48" spans="1:16" ht="19.899999999999999" customHeight="1" x14ac:dyDescent="0.25">
      <c r="A48" s="3" t="s">
        <v>72</v>
      </c>
      <c r="B48" s="3" t="s">
        <v>224</v>
      </c>
      <c r="C48" s="3" t="s">
        <v>6</v>
      </c>
      <c r="D48" s="3"/>
      <c r="E48" s="3"/>
      <c r="F48" s="3">
        <v>500</v>
      </c>
      <c r="G48" s="3"/>
      <c r="H48" s="3"/>
      <c r="I48" s="3"/>
      <c r="J48" s="3"/>
      <c r="K48" s="3"/>
      <c r="L48" s="3"/>
      <c r="M48" s="3"/>
      <c r="N48" s="3">
        <f t="shared" si="4"/>
        <v>500</v>
      </c>
      <c r="O48" s="22">
        <f t="shared" si="5"/>
        <v>3000</v>
      </c>
      <c r="P48" s="3" t="str">
        <f t="shared" si="6"/>
        <v>Pending</v>
      </c>
    </row>
    <row r="49" spans="1:16" ht="19.899999999999999" customHeight="1" x14ac:dyDescent="0.25">
      <c r="A49" s="3" t="s">
        <v>73</v>
      </c>
      <c r="B49" s="3" t="s">
        <v>225</v>
      </c>
      <c r="C49" s="3" t="s">
        <v>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>
        <f t="shared" si="4"/>
        <v>0</v>
      </c>
      <c r="O49" s="22">
        <f t="shared" si="5"/>
        <v>3500</v>
      </c>
      <c r="P49" s="3" t="str">
        <f t="shared" si="6"/>
        <v>Pending</v>
      </c>
    </row>
    <row r="50" spans="1:16" ht="19.899999999999999" customHeight="1" x14ac:dyDescent="0.25">
      <c r="A50" s="3" t="s">
        <v>74</v>
      </c>
      <c r="B50" s="3" t="s">
        <v>226</v>
      </c>
      <c r="C50" s="3" t="s">
        <v>6</v>
      </c>
      <c r="D50" s="3"/>
      <c r="E50" s="3"/>
      <c r="F50" s="3">
        <v>1000</v>
      </c>
      <c r="G50" s="3"/>
      <c r="H50" s="3"/>
      <c r="I50" s="3"/>
      <c r="J50" s="3"/>
      <c r="K50" s="3"/>
      <c r="L50" s="3"/>
      <c r="M50" s="3"/>
      <c r="N50" s="3">
        <f t="shared" si="4"/>
        <v>1000</v>
      </c>
      <c r="O50" s="22">
        <f t="shared" si="5"/>
        <v>2500</v>
      </c>
      <c r="P50" s="3" t="str">
        <f t="shared" si="6"/>
        <v>Pending</v>
      </c>
    </row>
    <row r="51" spans="1:16" ht="19.899999999999999" customHeight="1" x14ac:dyDescent="0.25">
      <c r="A51" s="3" t="s">
        <v>75</v>
      </c>
      <c r="B51" s="3" t="s">
        <v>227</v>
      </c>
      <c r="C51" s="3" t="s">
        <v>6</v>
      </c>
      <c r="D51" s="3"/>
      <c r="E51" s="3"/>
      <c r="F51" s="3"/>
      <c r="G51" s="3">
        <v>500</v>
      </c>
      <c r="H51" s="3"/>
      <c r="I51" s="3"/>
      <c r="J51" s="3"/>
      <c r="K51" s="3"/>
      <c r="L51" s="3"/>
      <c r="M51" s="3"/>
      <c r="N51" s="3">
        <f t="shared" si="4"/>
        <v>500</v>
      </c>
      <c r="O51" s="22">
        <f t="shared" si="5"/>
        <v>3000</v>
      </c>
      <c r="P51" s="3" t="str">
        <f t="shared" si="6"/>
        <v>Pending</v>
      </c>
    </row>
    <row r="52" spans="1:16" ht="19.899999999999999" customHeight="1" x14ac:dyDescent="0.25">
      <c r="A52" s="3" t="s">
        <v>76</v>
      </c>
      <c r="B52" s="3" t="s">
        <v>228</v>
      </c>
      <c r="C52" s="3" t="s">
        <v>6</v>
      </c>
      <c r="D52" s="3"/>
      <c r="E52" s="3"/>
      <c r="F52" s="3"/>
      <c r="G52" s="3">
        <v>500</v>
      </c>
      <c r="H52" s="3"/>
      <c r="I52" s="3"/>
      <c r="J52" s="3"/>
      <c r="K52" s="3"/>
      <c r="L52" s="3"/>
      <c r="M52" s="3"/>
      <c r="N52" s="3">
        <f t="shared" si="4"/>
        <v>500</v>
      </c>
      <c r="O52" s="22">
        <f t="shared" si="5"/>
        <v>3000</v>
      </c>
      <c r="P52" s="3" t="str">
        <f t="shared" si="6"/>
        <v>Pending</v>
      </c>
    </row>
    <row r="53" spans="1:16" ht="19.899999999999999" customHeight="1" x14ac:dyDescent="0.25">
      <c r="A53" s="3" t="s">
        <v>77</v>
      </c>
      <c r="B53" s="3" t="s">
        <v>229</v>
      </c>
      <c r="C53" s="3" t="s">
        <v>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>
        <f t="shared" si="4"/>
        <v>0</v>
      </c>
      <c r="O53" s="22">
        <f t="shared" si="5"/>
        <v>3500</v>
      </c>
      <c r="P53" s="3" t="str">
        <f t="shared" si="6"/>
        <v>Pending</v>
      </c>
    </row>
    <row r="54" spans="1:16" ht="19.899999999999999" customHeight="1" x14ac:dyDescent="0.25">
      <c r="A54" s="3" t="s">
        <v>78</v>
      </c>
      <c r="B54" s="3" t="s">
        <v>230</v>
      </c>
      <c r="C54" s="3" t="s">
        <v>6</v>
      </c>
      <c r="D54" s="3"/>
      <c r="E54" s="3">
        <v>500</v>
      </c>
      <c r="F54" s="3"/>
      <c r="G54" s="3">
        <v>500</v>
      </c>
      <c r="H54" s="3"/>
      <c r="I54" s="3"/>
      <c r="J54" s="3"/>
      <c r="K54" s="3"/>
      <c r="L54" s="3"/>
      <c r="M54" s="3"/>
      <c r="N54" s="3">
        <f t="shared" si="4"/>
        <v>1000</v>
      </c>
      <c r="O54" s="22">
        <f t="shared" si="5"/>
        <v>2500</v>
      </c>
      <c r="P54" s="3" t="str">
        <f t="shared" si="6"/>
        <v>Pending</v>
      </c>
    </row>
    <row r="55" spans="1:16" ht="19.899999999999999" customHeight="1" x14ac:dyDescent="0.25">
      <c r="A55" s="3" t="s">
        <v>79</v>
      </c>
      <c r="B55" s="3" t="s">
        <v>231</v>
      </c>
      <c r="C55" s="3" t="s">
        <v>6</v>
      </c>
      <c r="D55" s="3"/>
      <c r="E55" s="3">
        <v>1000</v>
      </c>
      <c r="F55" s="3"/>
      <c r="G55" s="3"/>
      <c r="H55" s="3"/>
      <c r="I55" s="3"/>
      <c r="J55" s="3"/>
      <c r="K55" s="3"/>
      <c r="L55" s="3"/>
      <c r="M55" s="3"/>
      <c r="N55" s="3">
        <f t="shared" si="4"/>
        <v>1000</v>
      </c>
      <c r="O55" s="22">
        <f t="shared" si="5"/>
        <v>2500</v>
      </c>
      <c r="P55" s="3" t="str">
        <f t="shared" si="6"/>
        <v>Pending</v>
      </c>
    </row>
    <row r="56" spans="1:16" ht="19.899999999999999" customHeight="1" x14ac:dyDescent="0.25">
      <c r="A56" s="3" t="s">
        <v>80</v>
      </c>
      <c r="B56" s="3" t="s">
        <v>232</v>
      </c>
      <c r="C56" s="3" t="s">
        <v>6</v>
      </c>
      <c r="D56" s="3"/>
      <c r="E56" s="3">
        <v>350</v>
      </c>
      <c r="F56" s="3">
        <v>350</v>
      </c>
      <c r="G56" s="3"/>
      <c r="H56" s="3"/>
      <c r="I56" s="3"/>
      <c r="J56" s="3"/>
      <c r="K56" s="3"/>
      <c r="L56" s="3"/>
      <c r="M56" s="3"/>
      <c r="N56" s="3">
        <f t="shared" si="4"/>
        <v>700</v>
      </c>
      <c r="O56" s="22">
        <f t="shared" si="5"/>
        <v>2800</v>
      </c>
      <c r="P56" s="3" t="str">
        <f t="shared" si="6"/>
        <v>Pending</v>
      </c>
    </row>
    <row r="57" spans="1:16" ht="19.899999999999999" customHeight="1" x14ac:dyDescent="0.25">
      <c r="A57" s="3" t="s">
        <v>81</v>
      </c>
      <c r="B57" s="3" t="s">
        <v>233</v>
      </c>
      <c r="C57" s="3" t="s">
        <v>6</v>
      </c>
      <c r="D57" s="3"/>
      <c r="E57" s="3">
        <v>350</v>
      </c>
      <c r="F57" s="3"/>
      <c r="G57" s="3"/>
      <c r="H57" s="3"/>
      <c r="I57" s="3"/>
      <c r="J57" s="3"/>
      <c r="K57" s="3"/>
      <c r="L57" s="3"/>
      <c r="M57" s="3"/>
      <c r="N57" s="3">
        <f t="shared" si="4"/>
        <v>350</v>
      </c>
      <c r="O57" s="22">
        <f t="shared" si="5"/>
        <v>3150</v>
      </c>
      <c r="P57" s="3" t="str">
        <f t="shared" si="6"/>
        <v>Pending</v>
      </c>
    </row>
    <row r="58" spans="1:16" ht="19.899999999999999" customHeight="1" x14ac:dyDescent="0.25">
      <c r="A58" s="3" t="s">
        <v>82</v>
      </c>
      <c r="B58" s="3" t="s">
        <v>234</v>
      </c>
      <c r="C58" s="3" t="s">
        <v>6</v>
      </c>
      <c r="D58" s="3"/>
      <c r="E58" s="3"/>
      <c r="F58" s="3"/>
      <c r="G58" s="3">
        <v>300</v>
      </c>
      <c r="H58" s="3"/>
      <c r="I58" s="3"/>
      <c r="J58" s="3"/>
      <c r="K58" s="3"/>
      <c r="L58" s="3"/>
      <c r="M58" s="3"/>
      <c r="N58" s="3">
        <f t="shared" si="4"/>
        <v>300</v>
      </c>
      <c r="O58" s="22">
        <f t="shared" si="5"/>
        <v>3200</v>
      </c>
      <c r="P58" s="3" t="str">
        <f t="shared" si="6"/>
        <v>Pending</v>
      </c>
    </row>
    <row r="59" spans="1:16" ht="19.899999999999999" customHeight="1" x14ac:dyDescent="0.25">
      <c r="A59" s="3" t="s">
        <v>83</v>
      </c>
      <c r="B59" s="3" t="s">
        <v>235</v>
      </c>
      <c r="C59" s="3" t="s">
        <v>6</v>
      </c>
      <c r="D59" s="3">
        <v>400</v>
      </c>
      <c r="E59" s="3"/>
      <c r="F59" s="3"/>
      <c r="G59" s="3"/>
      <c r="H59" s="3"/>
      <c r="I59" s="3"/>
      <c r="J59" s="3"/>
      <c r="K59" s="3"/>
      <c r="L59" s="3"/>
      <c r="M59" s="3"/>
      <c r="N59" s="3">
        <f t="shared" si="4"/>
        <v>400</v>
      </c>
      <c r="O59" s="22">
        <f t="shared" si="5"/>
        <v>3100</v>
      </c>
      <c r="P59" s="3" t="str">
        <f t="shared" si="6"/>
        <v>Pending</v>
      </c>
    </row>
    <row r="60" spans="1:16" ht="19.899999999999999" customHeight="1" x14ac:dyDescent="0.25">
      <c r="A60" s="3" t="s">
        <v>84</v>
      </c>
      <c r="B60" s="3" t="s">
        <v>236</v>
      </c>
      <c r="C60" s="3" t="s">
        <v>6</v>
      </c>
      <c r="D60" s="3"/>
      <c r="E60" s="3">
        <v>500</v>
      </c>
      <c r="F60" s="3"/>
      <c r="G60" s="3">
        <v>500</v>
      </c>
      <c r="H60" s="3"/>
      <c r="I60" s="3"/>
      <c r="J60" s="3"/>
      <c r="K60" s="3"/>
      <c r="L60" s="3"/>
      <c r="M60" s="3"/>
      <c r="N60" s="3">
        <f t="shared" si="4"/>
        <v>1000</v>
      </c>
      <c r="O60" s="22">
        <f t="shared" si="5"/>
        <v>2500</v>
      </c>
      <c r="P60" s="3" t="str">
        <f t="shared" si="6"/>
        <v>Pending</v>
      </c>
    </row>
    <row r="61" spans="1:16" ht="19.899999999999999" customHeight="1" x14ac:dyDescent="0.25">
      <c r="A61" s="3" t="s">
        <v>85</v>
      </c>
      <c r="B61" s="3" t="s">
        <v>237</v>
      </c>
      <c r="C61" s="3" t="s">
        <v>6</v>
      </c>
      <c r="D61" s="3"/>
      <c r="E61" s="3"/>
      <c r="F61" s="3"/>
      <c r="G61" s="3">
        <v>500</v>
      </c>
      <c r="H61" s="3"/>
      <c r="I61" s="3"/>
      <c r="J61" s="3"/>
      <c r="K61" s="3"/>
      <c r="L61" s="3"/>
      <c r="M61" s="3"/>
      <c r="N61" s="3">
        <f t="shared" si="4"/>
        <v>500</v>
      </c>
      <c r="O61" s="22">
        <f t="shared" si="5"/>
        <v>3000</v>
      </c>
      <c r="P61" s="3" t="str">
        <f t="shared" si="6"/>
        <v>Pending</v>
      </c>
    </row>
    <row r="62" spans="1:16" ht="19.899999999999999" customHeight="1" x14ac:dyDescent="0.25">
      <c r="A62" s="3" t="s">
        <v>86</v>
      </c>
      <c r="B62" s="3" t="s">
        <v>228</v>
      </c>
      <c r="C62" s="3" t="s">
        <v>6</v>
      </c>
      <c r="D62" s="3"/>
      <c r="E62" s="3"/>
      <c r="F62" s="3"/>
      <c r="G62" s="3">
        <v>500</v>
      </c>
      <c r="H62" s="3"/>
      <c r="I62" s="3"/>
      <c r="J62" s="3"/>
      <c r="K62" s="3"/>
      <c r="L62" s="3"/>
      <c r="M62" s="3"/>
      <c r="N62" s="3">
        <f t="shared" si="4"/>
        <v>500</v>
      </c>
      <c r="O62" s="22">
        <f t="shared" si="5"/>
        <v>3000</v>
      </c>
      <c r="P62" s="3" t="str">
        <f t="shared" si="6"/>
        <v>Pending</v>
      </c>
    </row>
    <row r="63" spans="1:16" ht="19.899999999999999" customHeight="1" x14ac:dyDescent="0.25">
      <c r="A63" s="3" t="s">
        <v>87</v>
      </c>
      <c r="B63" s="3" t="s">
        <v>238</v>
      </c>
      <c r="C63" s="3" t="s">
        <v>6</v>
      </c>
      <c r="D63" s="3"/>
      <c r="E63" s="3">
        <v>350</v>
      </c>
      <c r="F63" s="3"/>
      <c r="G63" s="3">
        <v>500</v>
      </c>
      <c r="H63" s="3"/>
      <c r="I63" s="3"/>
      <c r="J63" s="3"/>
      <c r="K63" s="3"/>
      <c r="L63" s="3"/>
      <c r="M63" s="3"/>
      <c r="N63" s="3">
        <f t="shared" si="4"/>
        <v>850</v>
      </c>
      <c r="O63" s="22">
        <f t="shared" si="5"/>
        <v>2650</v>
      </c>
      <c r="P63" s="3" t="str">
        <f t="shared" si="6"/>
        <v>Pending</v>
      </c>
    </row>
    <row r="64" spans="1:16" ht="19.899999999999999" customHeight="1" x14ac:dyDescent="0.25">
      <c r="A64" s="3" t="s">
        <v>88</v>
      </c>
      <c r="B64" s="3" t="s">
        <v>239</v>
      </c>
      <c r="C64" s="3" t="s">
        <v>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>
        <f t="shared" si="4"/>
        <v>0</v>
      </c>
      <c r="O64" s="22">
        <f t="shared" si="5"/>
        <v>3500</v>
      </c>
      <c r="P64" s="3" t="str">
        <f t="shared" si="6"/>
        <v>Pending</v>
      </c>
    </row>
    <row r="65" spans="1:16" ht="19.899999999999999" customHeight="1" x14ac:dyDescent="0.25">
      <c r="A65" s="3" t="s">
        <v>89</v>
      </c>
      <c r="B65" s="3" t="s">
        <v>240</v>
      </c>
      <c r="C65" s="3" t="s">
        <v>6</v>
      </c>
      <c r="D65" s="3"/>
      <c r="E65" s="3">
        <v>350</v>
      </c>
      <c r="F65" s="3"/>
      <c r="G65" s="3"/>
      <c r="H65" s="3"/>
      <c r="I65" s="3"/>
      <c r="J65" s="3"/>
      <c r="K65" s="3"/>
      <c r="L65" s="3"/>
      <c r="M65" s="3"/>
      <c r="N65" s="3">
        <f t="shared" si="4"/>
        <v>350</v>
      </c>
      <c r="O65" s="22">
        <f t="shared" si="5"/>
        <v>3150</v>
      </c>
      <c r="P65" s="3" t="str">
        <f t="shared" si="6"/>
        <v>Pending</v>
      </c>
    </row>
    <row r="66" spans="1:16" ht="19.899999999999999" customHeight="1" x14ac:dyDescent="0.25">
      <c r="A66" s="3" t="s">
        <v>90</v>
      </c>
      <c r="B66" s="3" t="s">
        <v>241</v>
      </c>
      <c r="C66" s="3" t="s">
        <v>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>
        <f t="shared" si="4"/>
        <v>0</v>
      </c>
      <c r="O66" s="22">
        <f t="shared" si="5"/>
        <v>3500</v>
      </c>
      <c r="P66" s="3" t="str">
        <f t="shared" si="6"/>
        <v>Pending</v>
      </c>
    </row>
    <row r="67" spans="1:16" ht="19.899999999999999" customHeight="1" x14ac:dyDescent="0.25">
      <c r="A67" s="3" t="s">
        <v>91</v>
      </c>
      <c r="B67" s="3" t="s">
        <v>242</v>
      </c>
      <c r="C67" s="3" t="s">
        <v>6</v>
      </c>
      <c r="D67" s="3"/>
      <c r="E67" s="3"/>
      <c r="F67" s="3"/>
      <c r="G67" s="3">
        <v>3500</v>
      </c>
      <c r="H67" s="3"/>
      <c r="I67" s="3"/>
      <c r="J67" s="3"/>
      <c r="K67" s="3"/>
      <c r="L67" s="3"/>
      <c r="M67" s="3"/>
      <c r="N67" s="3">
        <f t="shared" ref="N67:N98" si="7">SUM(D67:M67)</f>
        <v>3500</v>
      </c>
      <c r="O67" s="22">
        <f t="shared" ref="O67:O98" si="8">3500-N67</f>
        <v>0</v>
      </c>
      <c r="P67" s="3" t="str">
        <f t="shared" ref="P67:P98" si="9">IF(O67&lt;=0,"Completed","Pending")</f>
        <v>Completed</v>
      </c>
    </row>
    <row r="68" spans="1:16" ht="19.899999999999999" customHeight="1" x14ac:dyDescent="0.25">
      <c r="A68" s="3" t="s">
        <v>92</v>
      </c>
      <c r="B68" s="3" t="s">
        <v>243</v>
      </c>
      <c r="C68" s="3" t="s">
        <v>6</v>
      </c>
      <c r="D68" s="3">
        <v>500</v>
      </c>
      <c r="E68" s="3"/>
      <c r="F68" s="3"/>
      <c r="G68" s="3">
        <v>1000</v>
      </c>
      <c r="H68" s="3"/>
      <c r="I68" s="3"/>
      <c r="J68" s="3"/>
      <c r="K68" s="3"/>
      <c r="L68" s="3"/>
      <c r="M68" s="3"/>
      <c r="N68" s="3">
        <f t="shared" si="7"/>
        <v>1500</v>
      </c>
      <c r="O68" s="22">
        <f t="shared" si="8"/>
        <v>2000</v>
      </c>
      <c r="P68" s="3" t="str">
        <f t="shared" si="9"/>
        <v>Pending</v>
      </c>
    </row>
    <row r="69" spans="1:16" ht="19.899999999999999" customHeight="1" x14ac:dyDescent="0.25">
      <c r="A69" s="3" t="s">
        <v>93</v>
      </c>
      <c r="B69" s="3" t="s">
        <v>328</v>
      </c>
      <c r="C69" s="3" t="s">
        <v>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>
        <f t="shared" si="7"/>
        <v>0</v>
      </c>
      <c r="O69" s="22">
        <f t="shared" si="8"/>
        <v>3500</v>
      </c>
      <c r="P69" s="3" t="str">
        <f t="shared" si="9"/>
        <v>Pending</v>
      </c>
    </row>
    <row r="70" spans="1:16" ht="19.899999999999999" customHeight="1" x14ac:dyDescent="0.25">
      <c r="A70" s="3" t="s">
        <v>94</v>
      </c>
      <c r="B70" s="3" t="s">
        <v>244</v>
      </c>
      <c r="C70" s="3" t="s">
        <v>7</v>
      </c>
      <c r="D70" s="3">
        <v>350</v>
      </c>
      <c r="E70" s="3">
        <v>350</v>
      </c>
      <c r="F70" s="3">
        <v>350</v>
      </c>
      <c r="G70" s="3"/>
      <c r="H70" s="3"/>
      <c r="I70" s="3"/>
      <c r="J70" s="3"/>
      <c r="K70" s="3"/>
      <c r="L70" s="3"/>
      <c r="M70" s="3"/>
      <c r="N70" s="3">
        <f t="shared" si="7"/>
        <v>1050</v>
      </c>
      <c r="O70" s="22">
        <f t="shared" si="8"/>
        <v>2450</v>
      </c>
      <c r="P70" s="3" t="str">
        <f t="shared" si="9"/>
        <v>Pending</v>
      </c>
    </row>
    <row r="71" spans="1:16" ht="19.899999999999999" customHeight="1" x14ac:dyDescent="0.25">
      <c r="A71" s="3" t="s">
        <v>95</v>
      </c>
      <c r="B71" s="3" t="s">
        <v>245</v>
      </c>
      <c r="C71" s="3" t="s">
        <v>7</v>
      </c>
      <c r="D71" s="3">
        <v>350</v>
      </c>
      <c r="E71" s="3">
        <v>350</v>
      </c>
      <c r="F71" s="3">
        <v>350</v>
      </c>
      <c r="G71" s="3">
        <v>350</v>
      </c>
      <c r="H71" s="3"/>
      <c r="I71" s="3"/>
      <c r="J71" s="3"/>
      <c r="K71" s="3"/>
      <c r="L71" s="3"/>
      <c r="M71" s="3"/>
      <c r="N71" s="3">
        <f t="shared" si="7"/>
        <v>1400</v>
      </c>
      <c r="O71" s="22">
        <f t="shared" si="8"/>
        <v>2100</v>
      </c>
      <c r="P71" s="3" t="str">
        <f t="shared" si="9"/>
        <v>Pending</v>
      </c>
    </row>
    <row r="72" spans="1:16" ht="19.899999999999999" customHeight="1" x14ac:dyDescent="0.25">
      <c r="A72" s="3" t="s">
        <v>96</v>
      </c>
      <c r="B72" s="3" t="s">
        <v>246</v>
      </c>
      <c r="C72" s="3" t="s">
        <v>7</v>
      </c>
      <c r="D72" s="3">
        <v>350</v>
      </c>
      <c r="E72" s="3">
        <v>350</v>
      </c>
      <c r="F72" s="3">
        <v>350</v>
      </c>
      <c r="G72" s="3">
        <v>350</v>
      </c>
      <c r="H72" s="3"/>
      <c r="I72" s="3"/>
      <c r="J72" s="3"/>
      <c r="K72" s="3"/>
      <c r="L72" s="3"/>
      <c r="M72" s="3"/>
      <c r="N72" s="3">
        <f t="shared" si="7"/>
        <v>1400</v>
      </c>
      <c r="O72" s="22">
        <f t="shared" si="8"/>
        <v>2100</v>
      </c>
      <c r="P72" s="3" t="str">
        <f t="shared" si="9"/>
        <v>Pending</v>
      </c>
    </row>
    <row r="73" spans="1:16" ht="19.899999999999999" customHeight="1" x14ac:dyDescent="0.25">
      <c r="A73" s="3" t="s">
        <v>97</v>
      </c>
      <c r="B73" s="3" t="s">
        <v>247</v>
      </c>
      <c r="C73" s="3" t="s">
        <v>7</v>
      </c>
      <c r="D73" s="3">
        <v>350</v>
      </c>
      <c r="E73" s="3">
        <v>500</v>
      </c>
      <c r="F73" s="3">
        <v>500</v>
      </c>
      <c r="G73" s="3"/>
      <c r="H73" s="3"/>
      <c r="I73" s="3"/>
      <c r="J73" s="3"/>
      <c r="K73" s="3"/>
      <c r="L73" s="3"/>
      <c r="M73" s="3"/>
      <c r="N73" s="3">
        <f t="shared" si="7"/>
        <v>1350</v>
      </c>
      <c r="O73" s="22">
        <f t="shared" si="8"/>
        <v>2150</v>
      </c>
      <c r="P73" s="3" t="str">
        <f t="shared" si="9"/>
        <v>Pending</v>
      </c>
    </row>
    <row r="74" spans="1:16" ht="19.899999999999999" customHeight="1" x14ac:dyDescent="0.25">
      <c r="A74" s="3" t="s">
        <v>98</v>
      </c>
      <c r="B74" s="3" t="s">
        <v>248</v>
      </c>
      <c r="C74" s="3" t="s">
        <v>7</v>
      </c>
      <c r="D74" s="3">
        <v>350</v>
      </c>
      <c r="E74" s="3">
        <v>350</v>
      </c>
      <c r="F74" s="3">
        <v>350</v>
      </c>
      <c r="G74" s="3">
        <v>350</v>
      </c>
      <c r="H74" s="3"/>
      <c r="I74" s="3"/>
      <c r="J74" s="3"/>
      <c r="K74" s="3"/>
      <c r="L74" s="3"/>
      <c r="M74" s="3"/>
      <c r="N74" s="3">
        <f t="shared" si="7"/>
        <v>1400</v>
      </c>
      <c r="O74" s="22">
        <f t="shared" si="8"/>
        <v>2100</v>
      </c>
      <c r="P74" s="3" t="str">
        <f t="shared" si="9"/>
        <v>Pending</v>
      </c>
    </row>
    <row r="75" spans="1:16" ht="19.899999999999999" customHeight="1" x14ac:dyDescent="0.25">
      <c r="A75" s="3" t="s">
        <v>99</v>
      </c>
      <c r="B75" s="3" t="s">
        <v>249</v>
      </c>
      <c r="C75" s="3" t="s">
        <v>7</v>
      </c>
      <c r="D75" s="3">
        <v>350</v>
      </c>
      <c r="E75" s="3">
        <v>350</v>
      </c>
      <c r="F75" s="3">
        <v>350</v>
      </c>
      <c r="G75" s="3">
        <v>350</v>
      </c>
      <c r="H75" s="3"/>
      <c r="I75" s="3"/>
      <c r="J75" s="3"/>
      <c r="K75" s="3"/>
      <c r="L75" s="3"/>
      <c r="M75" s="3"/>
      <c r="N75" s="3">
        <f t="shared" si="7"/>
        <v>1400</v>
      </c>
      <c r="O75" s="22">
        <f t="shared" si="8"/>
        <v>2100</v>
      </c>
      <c r="P75" s="3" t="str">
        <f t="shared" si="9"/>
        <v>Pending</v>
      </c>
    </row>
    <row r="76" spans="1:16" ht="19.899999999999999" customHeight="1" x14ac:dyDescent="0.25">
      <c r="A76" s="3" t="s">
        <v>100</v>
      </c>
      <c r="B76" s="3" t="s">
        <v>250</v>
      </c>
      <c r="C76" s="3" t="s">
        <v>7</v>
      </c>
      <c r="D76" s="3">
        <v>350</v>
      </c>
      <c r="E76" s="3">
        <v>350</v>
      </c>
      <c r="F76" s="3">
        <v>350</v>
      </c>
      <c r="G76" s="3">
        <v>350</v>
      </c>
      <c r="H76" s="3"/>
      <c r="I76" s="3"/>
      <c r="J76" s="3"/>
      <c r="K76" s="3"/>
      <c r="L76" s="3"/>
      <c r="M76" s="3"/>
      <c r="N76" s="3">
        <f t="shared" si="7"/>
        <v>1400</v>
      </c>
      <c r="O76" s="22">
        <f t="shared" si="8"/>
        <v>2100</v>
      </c>
      <c r="P76" s="3" t="str">
        <f t="shared" si="9"/>
        <v>Pending</v>
      </c>
    </row>
    <row r="77" spans="1:16" ht="19.899999999999999" customHeight="1" x14ac:dyDescent="0.25">
      <c r="A77" s="3" t="s">
        <v>101</v>
      </c>
      <c r="B77" s="3" t="s">
        <v>251</v>
      </c>
      <c r="C77" s="3" t="s">
        <v>7</v>
      </c>
      <c r="D77" s="3">
        <v>350</v>
      </c>
      <c r="E77" s="3">
        <v>350</v>
      </c>
      <c r="F77" s="3">
        <v>350</v>
      </c>
      <c r="G77" s="3">
        <v>200</v>
      </c>
      <c r="H77" s="3"/>
      <c r="I77" s="3"/>
      <c r="J77" s="3"/>
      <c r="K77" s="3"/>
      <c r="L77" s="3"/>
      <c r="M77" s="3"/>
      <c r="N77" s="3">
        <f t="shared" si="7"/>
        <v>1250</v>
      </c>
      <c r="O77" s="22">
        <f t="shared" si="8"/>
        <v>2250</v>
      </c>
      <c r="P77" s="3" t="str">
        <f t="shared" si="9"/>
        <v>Pending</v>
      </c>
    </row>
    <row r="78" spans="1:16" ht="19.899999999999999" customHeight="1" x14ac:dyDescent="0.25">
      <c r="A78" s="3" t="s">
        <v>102</v>
      </c>
      <c r="B78" s="3" t="s">
        <v>252</v>
      </c>
      <c r="C78" s="3" t="s">
        <v>7</v>
      </c>
      <c r="D78" s="3"/>
      <c r="E78" s="3">
        <v>350</v>
      </c>
      <c r="F78" s="3"/>
      <c r="G78" s="3"/>
      <c r="H78" s="3"/>
      <c r="I78" s="3"/>
      <c r="J78" s="3"/>
      <c r="K78" s="3"/>
      <c r="L78" s="3"/>
      <c r="M78" s="3"/>
      <c r="N78" s="3">
        <f t="shared" si="7"/>
        <v>350</v>
      </c>
      <c r="O78" s="22">
        <f t="shared" si="8"/>
        <v>3150</v>
      </c>
      <c r="P78" s="3" t="str">
        <f t="shared" si="9"/>
        <v>Pending</v>
      </c>
    </row>
    <row r="79" spans="1:16" ht="19.899999999999999" customHeight="1" x14ac:dyDescent="0.25">
      <c r="A79" s="3" t="s">
        <v>103</v>
      </c>
      <c r="B79" s="3" t="s">
        <v>253</v>
      </c>
      <c r="C79" s="3" t="s">
        <v>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f t="shared" si="7"/>
        <v>0</v>
      </c>
      <c r="O79" s="22">
        <f t="shared" si="8"/>
        <v>3500</v>
      </c>
      <c r="P79" s="3" t="str">
        <f t="shared" si="9"/>
        <v>Pending</v>
      </c>
    </row>
    <row r="80" spans="1:16" ht="19.899999999999999" customHeight="1" x14ac:dyDescent="0.25">
      <c r="A80" s="3" t="s">
        <v>104</v>
      </c>
      <c r="B80" s="3" t="s">
        <v>254</v>
      </c>
      <c r="C80" s="3" t="s">
        <v>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>
        <f t="shared" si="7"/>
        <v>0</v>
      </c>
      <c r="O80" s="22">
        <f t="shared" si="8"/>
        <v>3500</v>
      </c>
      <c r="P80" s="3" t="str">
        <f t="shared" si="9"/>
        <v>Pending</v>
      </c>
    </row>
    <row r="81" spans="1:16" ht="19.899999999999999" customHeight="1" x14ac:dyDescent="0.25">
      <c r="A81" s="3" t="s">
        <v>105</v>
      </c>
      <c r="B81" s="3" t="s">
        <v>255</v>
      </c>
      <c r="C81" s="3" t="s">
        <v>8</v>
      </c>
      <c r="D81" s="3">
        <v>350</v>
      </c>
      <c r="E81" s="3">
        <v>350</v>
      </c>
      <c r="F81" s="3">
        <v>350</v>
      </c>
      <c r="G81" s="3"/>
      <c r="H81" s="3"/>
      <c r="I81" s="3"/>
      <c r="J81" s="3"/>
      <c r="K81" s="3"/>
      <c r="L81" s="3"/>
      <c r="M81" s="3"/>
      <c r="N81" s="3">
        <f t="shared" si="7"/>
        <v>1050</v>
      </c>
      <c r="O81" s="22">
        <f t="shared" si="8"/>
        <v>2450</v>
      </c>
      <c r="P81" s="3" t="str">
        <f t="shared" si="9"/>
        <v>Pending</v>
      </c>
    </row>
    <row r="82" spans="1:16" ht="19.899999999999999" customHeight="1" x14ac:dyDescent="0.25">
      <c r="A82" s="3" t="s">
        <v>106</v>
      </c>
      <c r="B82" s="3" t="s">
        <v>262</v>
      </c>
      <c r="C82" s="3" t="s">
        <v>8</v>
      </c>
      <c r="D82" s="3">
        <v>350</v>
      </c>
      <c r="E82" s="3">
        <v>350</v>
      </c>
      <c r="F82" s="3"/>
      <c r="G82" s="3">
        <v>350</v>
      </c>
      <c r="H82" s="3"/>
      <c r="I82" s="3"/>
      <c r="J82" s="3"/>
      <c r="K82" s="3"/>
      <c r="L82" s="3"/>
      <c r="M82" s="3"/>
      <c r="N82" s="3">
        <f t="shared" si="7"/>
        <v>1050</v>
      </c>
      <c r="O82" s="22">
        <f t="shared" si="8"/>
        <v>2450</v>
      </c>
      <c r="P82" s="3" t="str">
        <f t="shared" si="9"/>
        <v>Pending</v>
      </c>
    </row>
    <row r="83" spans="1:16" ht="19.899999999999999" customHeight="1" x14ac:dyDescent="0.25">
      <c r="A83" s="3" t="s">
        <v>107</v>
      </c>
      <c r="B83" s="3" t="s">
        <v>256</v>
      </c>
      <c r="C83" s="3" t="s">
        <v>8</v>
      </c>
      <c r="D83" s="3">
        <v>350</v>
      </c>
      <c r="E83" s="3">
        <v>350</v>
      </c>
      <c r="F83" s="3"/>
      <c r="G83" s="3">
        <v>700</v>
      </c>
      <c r="H83" s="3"/>
      <c r="I83" s="3"/>
      <c r="J83" s="3"/>
      <c r="K83" s="3"/>
      <c r="L83" s="3"/>
      <c r="M83" s="3"/>
      <c r="N83" s="3">
        <f t="shared" si="7"/>
        <v>1400</v>
      </c>
      <c r="O83" s="22">
        <f t="shared" si="8"/>
        <v>2100</v>
      </c>
      <c r="P83" s="3" t="str">
        <f t="shared" si="9"/>
        <v>Pending</v>
      </c>
    </row>
    <row r="84" spans="1:16" ht="19.899999999999999" customHeight="1" x14ac:dyDescent="0.25">
      <c r="A84" s="3" t="s">
        <v>108</v>
      </c>
      <c r="B84" s="3" t="s">
        <v>257</v>
      </c>
      <c r="C84" s="3" t="s">
        <v>8</v>
      </c>
      <c r="D84" s="3">
        <v>350</v>
      </c>
      <c r="E84" s="3"/>
      <c r="F84" s="3"/>
      <c r="G84" s="3">
        <v>700</v>
      </c>
      <c r="H84" s="3"/>
      <c r="I84" s="3"/>
      <c r="J84" s="3"/>
      <c r="K84" s="3"/>
      <c r="L84" s="3"/>
      <c r="M84" s="3"/>
      <c r="N84" s="3">
        <f t="shared" si="7"/>
        <v>1050</v>
      </c>
      <c r="O84" s="22">
        <f t="shared" si="8"/>
        <v>2450</v>
      </c>
      <c r="P84" s="3" t="str">
        <f t="shared" si="9"/>
        <v>Pending</v>
      </c>
    </row>
    <row r="85" spans="1:16" ht="19.899999999999999" customHeight="1" x14ac:dyDescent="0.25">
      <c r="A85" s="3" t="s">
        <v>109</v>
      </c>
      <c r="B85" s="3" t="s">
        <v>258</v>
      </c>
      <c r="C85" s="3" t="s">
        <v>8</v>
      </c>
      <c r="D85" s="3">
        <v>350</v>
      </c>
      <c r="E85" s="3">
        <v>350</v>
      </c>
      <c r="F85" s="3">
        <v>350</v>
      </c>
      <c r="G85" s="3">
        <v>350</v>
      </c>
      <c r="H85" s="3"/>
      <c r="I85" s="3"/>
      <c r="J85" s="3"/>
      <c r="K85" s="3"/>
      <c r="L85" s="3"/>
      <c r="M85" s="3"/>
      <c r="N85" s="3">
        <f t="shared" si="7"/>
        <v>1400</v>
      </c>
      <c r="O85" s="22">
        <f t="shared" si="8"/>
        <v>2100</v>
      </c>
      <c r="P85" s="3" t="str">
        <f t="shared" si="9"/>
        <v>Pending</v>
      </c>
    </row>
    <row r="86" spans="1:16" ht="19.899999999999999" customHeight="1" x14ac:dyDescent="0.25">
      <c r="A86" s="3" t="s">
        <v>110</v>
      </c>
      <c r="B86" s="3" t="s">
        <v>263</v>
      </c>
      <c r="C86" s="3" t="s">
        <v>8</v>
      </c>
      <c r="D86" s="3">
        <v>350</v>
      </c>
      <c r="E86" s="3"/>
      <c r="F86" s="3"/>
      <c r="G86" s="3">
        <v>350</v>
      </c>
      <c r="H86" s="3"/>
      <c r="I86" s="3"/>
      <c r="J86" s="3"/>
      <c r="K86" s="3"/>
      <c r="L86" s="3"/>
      <c r="M86" s="3"/>
      <c r="N86" s="3">
        <f t="shared" si="7"/>
        <v>700</v>
      </c>
      <c r="O86" s="22">
        <f t="shared" si="8"/>
        <v>2800</v>
      </c>
      <c r="P86" s="3" t="str">
        <f t="shared" si="9"/>
        <v>Pending</v>
      </c>
    </row>
    <row r="87" spans="1:16" ht="19.899999999999999" customHeight="1" x14ac:dyDescent="0.25">
      <c r="A87" s="3" t="s">
        <v>111</v>
      </c>
      <c r="B87" s="3" t="s">
        <v>259</v>
      </c>
      <c r="C87" s="3" t="s">
        <v>8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>
        <f t="shared" si="7"/>
        <v>0</v>
      </c>
      <c r="O87" s="22">
        <f t="shared" si="8"/>
        <v>3500</v>
      </c>
      <c r="P87" s="3" t="str">
        <f t="shared" si="9"/>
        <v>Pending</v>
      </c>
    </row>
    <row r="88" spans="1:16" ht="19.899999999999999" customHeight="1" x14ac:dyDescent="0.25">
      <c r="A88" s="3" t="s">
        <v>112</v>
      </c>
      <c r="B88" s="3" t="s">
        <v>260</v>
      </c>
      <c r="C88" s="3" t="s">
        <v>8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>
        <f t="shared" si="7"/>
        <v>0</v>
      </c>
      <c r="O88" s="22">
        <f t="shared" si="8"/>
        <v>3500</v>
      </c>
      <c r="P88" s="3" t="str">
        <f t="shared" si="9"/>
        <v>Pending</v>
      </c>
    </row>
    <row r="89" spans="1:16" ht="19.899999999999999" customHeight="1" x14ac:dyDescent="0.25">
      <c r="A89" s="3" t="s">
        <v>113</v>
      </c>
      <c r="B89" s="3" t="s">
        <v>264</v>
      </c>
      <c r="C89" s="3" t="s">
        <v>8</v>
      </c>
      <c r="D89" s="3"/>
      <c r="E89" s="3"/>
      <c r="F89" s="3"/>
      <c r="G89" s="3">
        <v>350</v>
      </c>
      <c r="H89" s="3"/>
      <c r="I89" s="3"/>
      <c r="J89" s="3"/>
      <c r="K89" s="3"/>
      <c r="L89" s="3"/>
      <c r="M89" s="3"/>
      <c r="N89" s="3">
        <f t="shared" si="7"/>
        <v>350</v>
      </c>
      <c r="O89" s="22">
        <f t="shared" si="8"/>
        <v>3150</v>
      </c>
      <c r="P89" s="3" t="str">
        <f t="shared" si="9"/>
        <v>Pending</v>
      </c>
    </row>
    <row r="90" spans="1:16" ht="19.899999999999999" customHeight="1" x14ac:dyDescent="0.25">
      <c r="A90" s="3" t="s">
        <v>114</v>
      </c>
      <c r="B90" s="3" t="s">
        <v>261</v>
      </c>
      <c r="C90" s="3" t="s">
        <v>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>
        <f t="shared" si="7"/>
        <v>0</v>
      </c>
      <c r="O90" s="22">
        <f t="shared" si="8"/>
        <v>3500</v>
      </c>
      <c r="P90" s="3" t="str">
        <f t="shared" si="9"/>
        <v>Pending</v>
      </c>
    </row>
    <row r="91" spans="1:16" ht="19.899999999999999" customHeight="1" x14ac:dyDescent="0.25">
      <c r="A91" s="3" t="s">
        <v>115</v>
      </c>
      <c r="B91" s="3" t="s">
        <v>265</v>
      </c>
      <c r="C91" s="3" t="s">
        <v>9</v>
      </c>
      <c r="D91" s="3">
        <v>350</v>
      </c>
      <c r="E91" s="3">
        <v>350</v>
      </c>
      <c r="F91" s="3">
        <v>350</v>
      </c>
      <c r="G91" s="3">
        <v>350</v>
      </c>
      <c r="H91" s="3"/>
      <c r="I91" s="3"/>
      <c r="J91" s="3"/>
      <c r="K91" s="3"/>
      <c r="L91" s="3"/>
      <c r="M91" s="3"/>
      <c r="N91" s="3">
        <f t="shared" si="7"/>
        <v>1400</v>
      </c>
      <c r="O91" s="22">
        <f t="shared" si="8"/>
        <v>2100</v>
      </c>
      <c r="P91" s="3" t="str">
        <f t="shared" si="9"/>
        <v>Pending</v>
      </c>
    </row>
    <row r="92" spans="1:16" ht="19.899999999999999" customHeight="1" x14ac:dyDescent="0.25">
      <c r="A92" s="3" t="s">
        <v>116</v>
      </c>
      <c r="B92" s="3" t="s">
        <v>266</v>
      </c>
      <c r="C92" s="3" t="s">
        <v>9</v>
      </c>
      <c r="D92" s="3">
        <v>350</v>
      </c>
      <c r="E92" s="3">
        <v>350</v>
      </c>
      <c r="F92" s="3">
        <v>350</v>
      </c>
      <c r="G92" s="3">
        <v>350</v>
      </c>
      <c r="H92" s="3"/>
      <c r="I92" s="3"/>
      <c r="J92" s="3"/>
      <c r="K92" s="3"/>
      <c r="L92" s="3"/>
      <c r="M92" s="3"/>
      <c r="N92" s="3">
        <f t="shared" si="7"/>
        <v>1400</v>
      </c>
      <c r="O92" s="22">
        <f t="shared" si="8"/>
        <v>2100</v>
      </c>
      <c r="P92" s="3" t="str">
        <f t="shared" si="9"/>
        <v>Pending</v>
      </c>
    </row>
    <row r="93" spans="1:16" ht="19.899999999999999" customHeight="1" x14ac:dyDescent="0.25">
      <c r="A93" s="3" t="s">
        <v>117</v>
      </c>
      <c r="B93" s="3" t="s">
        <v>267</v>
      </c>
      <c r="C93" s="3" t="s">
        <v>9</v>
      </c>
      <c r="D93" s="3">
        <v>350</v>
      </c>
      <c r="E93" s="3">
        <v>350</v>
      </c>
      <c r="F93" s="3"/>
      <c r="G93" s="3">
        <v>350</v>
      </c>
      <c r="H93" s="3"/>
      <c r="I93" s="3"/>
      <c r="J93" s="3"/>
      <c r="K93" s="3"/>
      <c r="L93" s="3"/>
      <c r="M93" s="3"/>
      <c r="N93" s="3">
        <f t="shared" si="7"/>
        <v>1050</v>
      </c>
      <c r="O93" s="22">
        <f t="shared" si="8"/>
        <v>2450</v>
      </c>
      <c r="P93" s="3" t="str">
        <f t="shared" si="9"/>
        <v>Pending</v>
      </c>
    </row>
    <row r="94" spans="1:16" ht="19.899999999999999" customHeight="1" x14ac:dyDescent="0.25">
      <c r="A94" s="3" t="s">
        <v>118</v>
      </c>
      <c r="B94" s="3" t="s">
        <v>268</v>
      </c>
      <c r="C94" s="3" t="s">
        <v>9</v>
      </c>
      <c r="D94" s="3">
        <v>350</v>
      </c>
      <c r="E94" s="3">
        <v>350</v>
      </c>
      <c r="F94" s="3"/>
      <c r="G94" s="3">
        <v>350</v>
      </c>
      <c r="H94" s="3"/>
      <c r="I94" s="3"/>
      <c r="J94" s="3"/>
      <c r="K94" s="3"/>
      <c r="L94" s="3"/>
      <c r="M94" s="3"/>
      <c r="N94" s="3">
        <f t="shared" si="7"/>
        <v>1050</v>
      </c>
      <c r="O94" s="22">
        <f t="shared" si="8"/>
        <v>2450</v>
      </c>
      <c r="P94" s="3" t="str">
        <f t="shared" si="9"/>
        <v>Pending</v>
      </c>
    </row>
    <row r="95" spans="1:16" ht="19.899999999999999" customHeight="1" x14ac:dyDescent="0.25">
      <c r="A95" s="3" t="s">
        <v>119</v>
      </c>
      <c r="B95" s="3" t="s">
        <v>269</v>
      </c>
      <c r="C95" s="3" t="s">
        <v>9</v>
      </c>
      <c r="D95" s="3">
        <v>350</v>
      </c>
      <c r="E95" s="3">
        <v>350</v>
      </c>
      <c r="F95" s="3">
        <v>350</v>
      </c>
      <c r="G95" s="3">
        <v>350</v>
      </c>
      <c r="H95" s="3"/>
      <c r="I95" s="3"/>
      <c r="J95" s="3"/>
      <c r="K95" s="3"/>
      <c r="L95" s="3"/>
      <c r="M95" s="3"/>
      <c r="N95" s="3">
        <f t="shared" si="7"/>
        <v>1400</v>
      </c>
      <c r="O95" s="22">
        <f t="shared" si="8"/>
        <v>2100</v>
      </c>
      <c r="P95" s="3" t="str">
        <f t="shared" si="9"/>
        <v>Pending</v>
      </c>
    </row>
    <row r="96" spans="1:16" ht="19.899999999999999" customHeight="1" x14ac:dyDescent="0.25">
      <c r="A96" s="3" t="s">
        <v>120</v>
      </c>
      <c r="B96" s="3" t="s">
        <v>270</v>
      </c>
      <c r="C96" s="3" t="s">
        <v>9</v>
      </c>
      <c r="D96" s="3">
        <v>350</v>
      </c>
      <c r="E96" s="3">
        <v>350</v>
      </c>
      <c r="F96" s="3">
        <v>350</v>
      </c>
      <c r="G96" s="3">
        <v>350</v>
      </c>
      <c r="H96" s="3"/>
      <c r="I96" s="3"/>
      <c r="J96" s="3"/>
      <c r="K96" s="3"/>
      <c r="L96" s="3"/>
      <c r="M96" s="3"/>
      <c r="N96" s="3">
        <f t="shared" si="7"/>
        <v>1400</v>
      </c>
      <c r="O96" s="22">
        <f t="shared" si="8"/>
        <v>2100</v>
      </c>
      <c r="P96" s="3" t="str">
        <f t="shared" si="9"/>
        <v>Pending</v>
      </c>
    </row>
    <row r="97" spans="1:16" ht="19.899999999999999" customHeight="1" x14ac:dyDescent="0.25">
      <c r="A97" s="3" t="s">
        <v>121</v>
      </c>
      <c r="B97" s="3" t="s">
        <v>271</v>
      </c>
      <c r="C97" s="3" t="s">
        <v>9</v>
      </c>
      <c r="D97" s="3">
        <v>200</v>
      </c>
      <c r="E97" s="3">
        <v>500</v>
      </c>
      <c r="F97" s="3">
        <v>250</v>
      </c>
      <c r="G97" s="3">
        <v>250</v>
      </c>
      <c r="H97" s="3"/>
      <c r="I97" s="3"/>
      <c r="J97" s="3"/>
      <c r="K97" s="3"/>
      <c r="L97" s="3"/>
      <c r="M97" s="3"/>
      <c r="N97" s="3">
        <f t="shared" si="7"/>
        <v>1200</v>
      </c>
      <c r="O97" s="22">
        <f t="shared" si="8"/>
        <v>2300</v>
      </c>
      <c r="P97" s="3" t="str">
        <f t="shared" si="9"/>
        <v>Pending</v>
      </c>
    </row>
    <row r="98" spans="1:16" ht="19.899999999999999" customHeight="1" x14ac:dyDescent="0.25">
      <c r="A98" s="3" t="s">
        <v>122</v>
      </c>
      <c r="B98" s="3" t="s">
        <v>272</v>
      </c>
      <c r="C98" s="3" t="s">
        <v>9</v>
      </c>
      <c r="D98" s="3"/>
      <c r="E98" s="3">
        <v>500</v>
      </c>
      <c r="F98" s="3"/>
      <c r="G98" s="3"/>
      <c r="H98" s="3"/>
      <c r="I98" s="3"/>
      <c r="J98" s="3"/>
      <c r="K98" s="3"/>
      <c r="L98" s="3"/>
      <c r="M98" s="3"/>
      <c r="N98" s="3">
        <f t="shared" si="7"/>
        <v>500</v>
      </c>
      <c r="O98" s="22">
        <f t="shared" si="8"/>
        <v>3000</v>
      </c>
      <c r="P98" s="3" t="str">
        <f t="shared" si="9"/>
        <v>Pending</v>
      </c>
    </row>
    <row r="99" spans="1:16" ht="19.899999999999999" customHeight="1" x14ac:dyDescent="0.25">
      <c r="A99" s="3" t="s">
        <v>123</v>
      </c>
      <c r="B99" s="3" t="s">
        <v>273</v>
      </c>
      <c r="C99" s="3" t="s">
        <v>9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>
        <f t="shared" ref="N99:N130" si="10">SUM(D99:M99)</f>
        <v>0</v>
      </c>
      <c r="O99" s="22">
        <f t="shared" ref="O99:O130" si="11">3500-N99</f>
        <v>3500</v>
      </c>
      <c r="P99" s="3" t="str">
        <f t="shared" ref="P99:P130" si="12">IF(O99&lt;=0,"Completed","Pending")</f>
        <v>Pending</v>
      </c>
    </row>
    <row r="100" spans="1:16" ht="19.899999999999999" customHeight="1" x14ac:dyDescent="0.25">
      <c r="A100" s="3" t="s">
        <v>124</v>
      </c>
      <c r="B100" s="3" t="s">
        <v>274</v>
      </c>
      <c r="C100" s="3" t="s">
        <v>9</v>
      </c>
      <c r="D100" s="3">
        <v>100</v>
      </c>
      <c r="E100" s="3"/>
      <c r="F100" s="3">
        <v>500</v>
      </c>
      <c r="G100" s="3"/>
      <c r="H100" s="3"/>
      <c r="I100" s="3"/>
      <c r="J100" s="3"/>
      <c r="K100" s="3"/>
      <c r="L100" s="3"/>
      <c r="M100" s="3"/>
      <c r="N100" s="3">
        <f t="shared" si="10"/>
        <v>600</v>
      </c>
      <c r="O100" s="22">
        <f t="shared" si="11"/>
        <v>2900</v>
      </c>
      <c r="P100" s="3" t="str">
        <f t="shared" si="12"/>
        <v>Pending</v>
      </c>
    </row>
    <row r="101" spans="1:16" ht="19.899999999999999" customHeight="1" x14ac:dyDescent="0.25">
      <c r="A101" s="3" t="s">
        <v>327</v>
      </c>
      <c r="B101" s="3" t="s">
        <v>275</v>
      </c>
      <c r="C101" s="3" t="s">
        <v>9</v>
      </c>
      <c r="D101" s="3">
        <v>350</v>
      </c>
      <c r="E101" s="3">
        <v>700</v>
      </c>
      <c r="F101" s="3"/>
      <c r="G101" s="3"/>
      <c r="H101" s="3"/>
      <c r="I101" s="3"/>
      <c r="J101" s="3"/>
      <c r="K101" s="3"/>
      <c r="L101" s="3"/>
      <c r="M101" s="3"/>
      <c r="N101" s="3">
        <f t="shared" si="10"/>
        <v>1050</v>
      </c>
      <c r="O101" s="22">
        <f t="shared" si="11"/>
        <v>2450</v>
      </c>
      <c r="P101" s="3" t="str">
        <f t="shared" si="12"/>
        <v>Pending</v>
      </c>
    </row>
    <row r="102" spans="1:16" ht="19.899999999999999" customHeight="1" x14ac:dyDescent="0.25">
      <c r="A102" s="3" t="s">
        <v>125</v>
      </c>
      <c r="B102" s="3" t="s">
        <v>276</v>
      </c>
      <c r="C102" s="3" t="s">
        <v>9</v>
      </c>
      <c r="D102" s="3"/>
      <c r="E102" s="3"/>
      <c r="F102" s="3">
        <v>1050</v>
      </c>
      <c r="G102" s="3">
        <v>500</v>
      </c>
      <c r="H102" s="3"/>
      <c r="I102" s="3"/>
      <c r="J102" s="3"/>
      <c r="K102" s="3"/>
      <c r="L102" s="3"/>
      <c r="M102" s="3"/>
      <c r="N102" s="3">
        <f t="shared" si="10"/>
        <v>1550</v>
      </c>
      <c r="O102" s="22">
        <f t="shared" si="11"/>
        <v>1950</v>
      </c>
      <c r="P102" s="3" t="str">
        <f t="shared" si="12"/>
        <v>Pending</v>
      </c>
    </row>
    <row r="103" spans="1:16" ht="19.899999999999999" customHeight="1" x14ac:dyDescent="0.25">
      <c r="A103" s="3" t="s">
        <v>126</v>
      </c>
      <c r="B103" s="3" t="s">
        <v>277</v>
      </c>
      <c r="C103" s="3" t="s">
        <v>10</v>
      </c>
      <c r="D103" s="3">
        <v>350</v>
      </c>
      <c r="E103" s="3">
        <v>350</v>
      </c>
      <c r="F103" s="3"/>
      <c r="G103" s="3"/>
      <c r="H103" s="3"/>
      <c r="I103" s="3"/>
      <c r="J103" s="3"/>
      <c r="K103" s="3"/>
      <c r="L103" s="3"/>
      <c r="M103" s="3"/>
      <c r="N103" s="3">
        <f t="shared" si="10"/>
        <v>700</v>
      </c>
      <c r="O103" s="22">
        <f t="shared" si="11"/>
        <v>2800</v>
      </c>
      <c r="P103" s="3" t="str">
        <f t="shared" si="12"/>
        <v>Pending</v>
      </c>
    </row>
    <row r="104" spans="1:16" ht="19.899999999999999" customHeight="1" x14ac:dyDescent="0.25">
      <c r="A104" s="3" t="s">
        <v>127</v>
      </c>
      <c r="B104" s="3" t="s">
        <v>278</v>
      </c>
      <c r="C104" s="3" t="s">
        <v>10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>
        <f t="shared" si="10"/>
        <v>0</v>
      </c>
      <c r="O104" s="22">
        <f t="shared" si="11"/>
        <v>3500</v>
      </c>
      <c r="P104" s="3" t="str">
        <f t="shared" si="12"/>
        <v>Pending</v>
      </c>
    </row>
    <row r="105" spans="1:16" ht="19.899999999999999" customHeight="1" x14ac:dyDescent="0.25">
      <c r="A105" s="3" t="s">
        <v>128</v>
      </c>
      <c r="B105" s="3" t="s">
        <v>279</v>
      </c>
      <c r="C105" s="3" t="s">
        <v>10</v>
      </c>
      <c r="D105" s="3">
        <v>350</v>
      </c>
      <c r="E105" s="3">
        <v>500</v>
      </c>
      <c r="F105" s="3">
        <v>500</v>
      </c>
      <c r="G105" s="3"/>
      <c r="H105" s="3"/>
      <c r="I105" s="3"/>
      <c r="J105" s="3"/>
      <c r="K105" s="3"/>
      <c r="L105" s="3"/>
      <c r="M105" s="3"/>
      <c r="N105" s="3">
        <f t="shared" si="10"/>
        <v>1350</v>
      </c>
      <c r="O105" s="22">
        <f t="shared" si="11"/>
        <v>2150</v>
      </c>
      <c r="P105" s="3" t="str">
        <f t="shared" si="12"/>
        <v>Pending</v>
      </c>
    </row>
    <row r="106" spans="1:16" ht="19.899999999999999" customHeight="1" x14ac:dyDescent="0.25">
      <c r="A106" s="3" t="s">
        <v>129</v>
      </c>
      <c r="B106" s="3" t="s">
        <v>280</v>
      </c>
      <c r="C106" s="3" t="s">
        <v>10</v>
      </c>
      <c r="D106" s="3">
        <v>350</v>
      </c>
      <c r="E106" s="3">
        <v>350</v>
      </c>
      <c r="F106" s="3"/>
      <c r="G106" s="3">
        <v>500</v>
      </c>
      <c r="H106" s="3"/>
      <c r="I106" s="3"/>
      <c r="J106" s="3"/>
      <c r="K106" s="3"/>
      <c r="L106" s="3"/>
      <c r="M106" s="3"/>
      <c r="N106" s="3">
        <f t="shared" si="10"/>
        <v>1200</v>
      </c>
      <c r="O106" s="22">
        <f t="shared" si="11"/>
        <v>2300</v>
      </c>
      <c r="P106" s="3" t="str">
        <f t="shared" si="12"/>
        <v>Pending</v>
      </c>
    </row>
    <row r="107" spans="1:16" ht="19.899999999999999" customHeight="1" x14ac:dyDescent="0.25">
      <c r="A107" s="3" t="s">
        <v>130</v>
      </c>
      <c r="B107" s="3" t="s">
        <v>281</v>
      </c>
      <c r="C107" s="3" t="s">
        <v>10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>
        <f t="shared" si="10"/>
        <v>0</v>
      </c>
      <c r="O107" s="22">
        <f t="shared" si="11"/>
        <v>3500</v>
      </c>
      <c r="P107" s="3" t="str">
        <f t="shared" si="12"/>
        <v>Pending</v>
      </c>
    </row>
    <row r="108" spans="1:16" ht="19.899999999999999" customHeight="1" x14ac:dyDescent="0.25">
      <c r="A108" s="3" t="s">
        <v>131</v>
      </c>
      <c r="B108" s="3" t="s">
        <v>282</v>
      </c>
      <c r="C108" s="3" t="s">
        <v>10</v>
      </c>
      <c r="D108" s="3">
        <v>350</v>
      </c>
      <c r="E108" s="3">
        <v>350</v>
      </c>
      <c r="F108" s="3">
        <v>350</v>
      </c>
      <c r="G108" s="3"/>
      <c r="H108" s="3"/>
      <c r="I108" s="3"/>
      <c r="J108" s="3"/>
      <c r="K108" s="3"/>
      <c r="L108" s="3"/>
      <c r="M108" s="3"/>
      <c r="N108" s="3">
        <f t="shared" si="10"/>
        <v>1050</v>
      </c>
      <c r="O108" s="22">
        <f t="shared" si="11"/>
        <v>2450</v>
      </c>
      <c r="P108" s="3" t="str">
        <f t="shared" si="12"/>
        <v>Pending</v>
      </c>
    </row>
    <row r="109" spans="1:16" ht="19.899999999999999" customHeight="1" x14ac:dyDescent="0.25">
      <c r="A109" s="3" t="s">
        <v>132</v>
      </c>
      <c r="B109" s="3" t="s">
        <v>283</v>
      </c>
      <c r="C109" s="3" t="s">
        <v>10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>
        <f t="shared" si="10"/>
        <v>0</v>
      </c>
      <c r="O109" s="22">
        <f t="shared" si="11"/>
        <v>3500</v>
      </c>
      <c r="P109" s="3" t="str">
        <f t="shared" si="12"/>
        <v>Pending</v>
      </c>
    </row>
    <row r="110" spans="1:16" ht="19.899999999999999" customHeight="1" x14ac:dyDescent="0.25">
      <c r="A110" s="3" t="s">
        <v>133</v>
      </c>
      <c r="B110" s="3" t="s">
        <v>284</v>
      </c>
      <c r="C110" s="3" t="s">
        <v>10</v>
      </c>
      <c r="D110" s="3">
        <v>350</v>
      </c>
      <c r="E110" s="3">
        <v>350</v>
      </c>
      <c r="F110" s="3">
        <v>350</v>
      </c>
      <c r="G110" s="3">
        <v>350</v>
      </c>
      <c r="H110" s="3"/>
      <c r="I110" s="3"/>
      <c r="J110" s="3"/>
      <c r="K110" s="3"/>
      <c r="L110" s="3"/>
      <c r="M110" s="3"/>
      <c r="N110" s="3">
        <f t="shared" si="10"/>
        <v>1400</v>
      </c>
      <c r="O110" s="22">
        <f t="shared" si="11"/>
        <v>2100</v>
      </c>
      <c r="P110" s="3" t="str">
        <f t="shared" si="12"/>
        <v>Pending</v>
      </c>
    </row>
    <row r="111" spans="1:16" ht="19.899999999999999" customHeight="1" x14ac:dyDescent="0.25">
      <c r="A111" s="3" t="s">
        <v>134</v>
      </c>
      <c r="B111" s="3" t="s">
        <v>310</v>
      </c>
      <c r="C111" s="3" t="s">
        <v>10</v>
      </c>
      <c r="D111" s="3">
        <v>350</v>
      </c>
      <c r="E111" s="3">
        <v>350</v>
      </c>
      <c r="F111" s="3">
        <v>350</v>
      </c>
      <c r="G111" s="3"/>
      <c r="H111" s="3"/>
      <c r="I111" s="3"/>
      <c r="J111" s="3"/>
      <c r="K111" s="3"/>
      <c r="L111" s="3"/>
      <c r="M111" s="3"/>
      <c r="N111" s="3">
        <f t="shared" si="10"/>
        <v>1050</v>
      </c>
      <c r="O111" s="22">
        <f t="shared" si="11"/>
        <v>2450</v>
      </c>
      <c r="P111" s="3" t="str">
        <f t="shared" si="12"/>
        <v>Pending</v>
      </c>
    </row>
    <row r="112" spans="1:16" ht="19.899999999999999" customHeight="1" x14ac:dyDescent="0.25">
      <c r="A112" s="3" t="s">
        <v>135</v>
      </c>
      <c r="B112" s="3" t="s">
        <v>285</v>
      </c>
      <c r="C112" s="3" t="s">
        <v>10</v>
      </c>
      <c r="D112" s="3">
        <v>350</v>
      </c>
      <c r="E112" s="3">
        <v>350</v>
      </c>
      <c r="F112" s="3">
        <v>350</v>
      </c>
      <c r="G112" s="3"/>
      <c r="H112" s="3"/>
      <c r="I112" s="3"/>
      <c r="J112" s="3"/>
      <c r="K112" s="3"/>
      <c r="L112" s="3"/>
      <c r="M112" s="3"/>
      <c r="N112" s="3">
        <f t="shared" si="10"/>
        <v>1050</v>
      </c>
      <c r="O112" s="22">
        <f t="shared" si="11"/>
        <v>2450</v>
      </c>
      <c r="P112" s="3" t="str">
        <f t="shared" si="12"/>
        <v>Pending</v>
      </c>
    </row>
    <row r="113" spans="1:16" ht="19.899999999999999" customHeight="1" x14ac:dyDescent="0.25">
      <c r="A113" s="3" t="s">
        <v>136</v>
      </c>
      <c r="B113" s="3" t="s">
        <v>286</v>
      </c>
      <c r="C113" s="3" t="s">
        <v>10</v>
      </c>
      <c r="D113" s="3">
        <v>350</v>
      </c>
      <c r="E113" s="3">
        <v>350</v>
      </c>
      <c r="F113" s="3">
        <v>350</v>
      </c>
      <c r="G113" s="3"/>
      <c r="H113" s="3"/>
      <c r="I113" s="3"/>
      <c r="J113" s="3"/>
      <c r="K113" s="3"/>
      <c r="L113" s="3"/>
      <c r="M113" s="3"/>
      <c r="N113" s="3">
        <f t="shared" si="10"/>
        <v>1050</v>
      </c>
      <c r="O113" s="22">
        <f t="shared" si="11"/>
        <v>2450</v>
      </c>
      <c r="P113" s="3" t="str">
        <f t="shared" si="12"/>
        <v>Pending</v>
      </c>
    </row>
    <row r="114" spans="1:16" ht="19.899999999999999" customHeight="1" x14ac:dyDescent="0.25">
      <c r="A114" s="3" t="s">
        <v>137</v>
      </c>
      <c r="B114" s="3" t="s">
        <v>287</v>
      </c>
      <c r="C114" s="3" t="s">
        <v>10</v>
      </c>
      <c r="D114" s="3">
        <v>350</v>
      </c>
      <c r="E114" s="3">
        <v>350</v>
      </c>
      <c r="F114" s="3">
        <v>350</v>
      </c>
      <c r="G114" s="3"/>
      <c r="H114" s="3"/>
      <c r="I114" s="3"/>
      <c r="J114" s="3"/>
      <c r="K114" s="3"/>
      <c r="L114" s="3"/>
      <c r="M114" s="3"/>
      <c r="N114" s="3">
        <f t="shared" si="10"/>
        <v>1050</v>
      </c>
      <c r="O114" s="22">
        <f t="shared" si="11"/>
        <v>2450</v>
      </c>
      <c r="P114" s="3" t="str">
        <f t="shared" si="12"/>
        <v>Pending</v>
      </c>
    </row>
    <row r="115" spans="1:16" ht="19.899999999999999" customHeight="1" x14ac:dyDescent="0.25">
      <c r="A115" s="3" t="s">
        <v>138</v>
      </c>
      <c r="B115" s="3" t="s">
        <v>288</v>
      </c>
      <c r="C115" s="3" t="s">
        <v>10</v>
      </c>
      <c r="D115" s="3">
        <v>350</v>
      </c>
      <c r="E115" s="3"/>
      <c r="F115" s="3"/>
      <c r="G115" s="3"/>
      <c r="H115" s="3"/>
      <c r="I115" s="3"/>
      <c r="J115" s="3"/>
      <c r="K115" s="3"/>
      <c r="L115" s="3"/>
      <c r="M115" s="3"/>
      <c r="N115" s="3">
        <f t="shared" si="10"/>
        <v>350</v>
      </c>
      <c r="O115" s="22">
        <f t="shared" si="11"/>
        <v>3150</v>
      </c>
      <c r="P115" s="3" t="str">
        <f t="shared" si="12"/>
        <v>Pending</v>
      </c>
    </row>
    <row r="116" spans="1:16" ht="19.899999999999999" customHeight="1" x14ac:dyDescent="0.25">
      <c r="A116" s="3" t="s">
        <v>139</v>
      </c>
      <c r="B116" s="3" t="s">
        <v>289</v>
      </c>
      <c r="C116" s="3" t="s">
        <v>10</v>
      </c>
      <c r="D116" s="3">
        <v>350</v>
      </c>
      <c r="E116" s="3"/>
      <c r="F116" s="3"/>
      <c r="G116" s="3"/>
      <c r="H116" s="3"/>
      <c r="I116" s="3"/>
      <c r="J116" s="3"/>
      <c r="K116" s="3"/>
      <c r="L116" s="3"/>
      <c r="M116" s="3"/>
      <c r="N116" s="3">
        <f t="shared" si="10"/>
        <v>350</v>
      </c>
      <c r="O116" s="22">
        <f t="shared" si="11"/>
        <v>3150</v>
      </c>
      <c r="P116" s="3" t="str">
        <f t="shared" si="12"/>
        <v>Pending</v>
      </c>
    </row>
    <row r="117" spans="1:16" ht="19.899999999999999" customHeight="1" x14ac:dyDescent="0.25">
      <c r="A117" s="3" t="s">
        <v>140</v>
      </c>
      <c r="B117" s="3" t="s">
        <v>290</v>
      </c>
      <c r="C117" s="3" t="s">
        <v>10</v>
      </c>
      <c r="D117" s="3">
        <v>350</v>
      </c>
      <c r="E117" s="3">
        <v>350</v>
      </c>
      <c r="F117" s="3">
        <v>350</v>
      </c>
      <c r="G117" s="3">
        <v>350</v>
      </c>
      <c r="H117" s="3"/>
      <c r="I117" s="3"/>
      <c r="J117" s="3"/>
      <c r="K117" s="3"/>
      <c r="L117" s="3"/>
      <c r="M117" s="3"/>
      <c r="N117" s="3">
        <f t="shared" si="10"/>
        <v>1400</v>
      </c>
      <c r="O117" s="22">
        <f t="shared" si="11"/>
        <v>2100</v>
      </c>
      <c r="P117" s="3" t="str">
        <f t="shared" si="12"/>
        <v>Pending</v>
      </c>
    </row>
    <row r="118" spans="1:16" ht="19.899999999999999" customHeight="1" x14ac:dyDescent="0.25">
      <c r="A118" s="3" t="s">
        <v>141</v>
      </c>
      <c r="B118" s="3" t="s">
        <v>311</v>
      </c>
      <c r="C118" s="3" t="s">
        <v>10</v>
      </c>
      <c r="D118" s="3">
        <v>350</v>
      </c>
      <c r="E118" s="3">
        <v>350</v>
      </c>
      <c r="F118" s="3">
        <v>350</v>
      </c>
      <c r="G118" s="3">
        <v>350</v>
      </c>
      <c r="H118" s="3"/>
      <c r="I118" s="3"/>
      <c r="J118" s="3"/>
      <c r="K118" s="3"/>
      <c r="L118" s="3"/>
      <c r="M118" s="3"/>
      <c r="N118" s="3">
        <f t="shared" si="10"/>
        <v>1400</v>
      </c>
      <c r="O118" s="22">
        <f t="shared" si="11"/>
        <v>2100</v>
      </c>
      <c r="P118" s="3" t="str">
        <f t="shared" si="12"/>
        <v>Pending</v>
      </c>
    </row>
    <row r="119" spans="1:16" ht="19.899999999999999" customHeight="1" x14ac:dyDescent="0.25">
      <c r="A119" s="3" t="s">
        <v>142</v>
      </c>
      <c r="B119" s="3" t="s">
        <v>312</v>
      </c>
      <c r="C119" s="3" t="s">
        <v>10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>
        <f t="shared" si="10"/>
        <v>0</v>
      </c>
      <c r="O119" s="22">
        <f t="shared" si="11"/>
        <v>3500</v>
      </c>
      <c r="P119" s="3" t="str">
        <f t="shared" si="12"/>
        <v>Pending</v>
      </c>
    </row>
    <row r="120" spans="1:16" ht="19.899999999999999" customHeight="1" x14ac:dyDescent="0.25">
      <c r="A120" s="3" t="s">
        <v>143</v>
      </c>
      <c r="B120" s="3" t="s">
        <v>313</v>
      </c>
      <c r="C120" s="3" t="s">
        <v>10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>
        <f t="shared" si="10"/>
        <v>0</v>
      </c>
      <c r="O120" s="22">
        <f t="shared" si="11"/>
        <v>3500</v>
      </c>
      <c r="P120" s="3" t="str">
        <f t="shared" si="12"/>
        <v>Pending</v>
      </c>
    </row>
    <row r="121" spans="1:16" ht="19.899999999999999" customHeight="1" x14ac:dyDescent="0.25">
      <c r="A121" s="3" t="s">
        <v>144</v>
      </c>
      <c r="B121" s="3" t="s">
        <v>291</v>
      </c>
      <c r="C121" s="3" t="s">
        <v>10</v>
      </c>
      <c r="D121" s="3">
        <v>350</v>
      </c>
      <c r="E121" s="3">
        <v>350</v>
      </c>
      <c r="F121" s="3">
        <v>350</v>
      </c>
      <c r="G121" s="3"/>
      <c r="H121" s="3"/>
      <c r="I121" s="3"/>
      <c r="J121" s="3"/>
      <c r="K121" s="3"/>
      <c r="L121" s="3"/>
      <c r="M121" s="3"/>
      <c r="N121" s="3">
        <f t="shared" si="10"/>
        <v>1050</v>
      </c>
      <c r="O121" s="22">
        <f t="shared" si="11"/>
        <v>2450</v>
      </c>
      <c r="P121" s="3" t="str">
        <f t="shared" si="12"/>
        <v>Pending</v>
      </c>
    </row>
    <row r="122" spans="1:16" ht="19.899999999999999" customHeight="1" x14ac:dyDescent="0.25">
      <c r="A122" s="3" t="s">
        <v>145</v>
      </c>
      <c r="B122" s="3" t="s">
        <v>314</v>
      </c>
      <c r="C122" s="3" t="s">
        <v>10</v>
      </c>
      <c r="D122" s="3">
        <v>350</v>
      </c>
      <c r="E122" s="3"/>
      <c r="F122" s="3"/>
      <c r="G122" s="3"/>
      <c r="H122" s="3"/>
      <c r="I122" s="3"/>
      <c r="J122" s="3"/>
      <c r="K122" s="3"/>
      <c r="L122" s="3"/>
      <c r="M122" s="3"/>
      <c r="N122" s="3">
        <f t="shared" si="10"/>
        <v>350</v>
      </c>
      <c r="O122" s="22">
        <f t="shared" si="11"/>
        <v>3150</v>
      </c>
      <c r="P122" s="3" t="str">
        <f t="shared" si="12"/>
        <v>Pending</v>
      </c>
    </row>
    <row r="123" spans="1:16" ht="19.899999999999999" customHeight="1" x14ac:dyDescent="0.25">
      <c r="A123" s="3" t="s">
        <v>146</v>
      </c>
      <c r="B123" s="3" t="s">
        <v>315</v>
      </c>
      <c r="C123" s="3" t="s">
        <v>10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>
        <f t="shared" si="10"/>
        <v>0</v>
      </c>
      <c r="O123" s="22">
        <f t="shared" si="11"/>
        <v>3500</v>
      </c>
      <c r="P123" s="3" t="str">
        <f t="shared" si="12"/>
        <v>Pending</v>
      </c>
    </row>
    <row r="124" spans="1:16" ht="19.899999999999999" customHeight="1" x14ac:dyDescent="0.25">
      <c r="A124" s="3" t="s">
        <v>147</v>
      </c>
      <c r="B124" s="3" t="s">
        <v>292</v>
      </c>
      <c r="C124" s="3" t="s">
        <v>10</v>
      </c>
      <c r="D124" s="3">
        <v>500</v>
      </c>
      <c r="E124" s="3"/>
      <c r="F124" s="3"/>
      <c r="G124" s="3"/>
      <c r="H124" s="3"/>
      <c r="I124" s="3"/>
      <c r="J124" s="3"/>
      <c r="K124" s="3"/>
      <c r="L124" s="3"/>
      <c r="M124" s="3"/>
      <c r="N124" s="3">
        <f t="shared" si="10"/>
        <v>500</v>
      </c>
      <c r="O124" s="22">
        <f t="shared" si="11"/>
        <v>3000</v>
      </c>
      <c r="P124" s="3" t="str">
        <f t="shared" si="12"/>
        <v>Pending</v>
      </c>
    </row>
    <row r="125" spans="1:16" ht="19.899999999999999" customHeight="1" x14ac:dyDescent="0.25">
      <c r="A125" s="3" t="s">
        <v>148</v>
      </c>
      <c r="B125" s="3" t="s">
        <v>316</v>
      </c>
      <c r="C125" s="3" t="s">
        <v>10</v>
      </c>
      <c r="D125" s="3">
        <v>350</v>
      </c>
      <c r="E125" s="3"/>
      <c r="F125" s="3"/>
      <c r="G125" s="3"/>
      <c r="H125" s="3"/>
      <c r="I125" s="3"/>
      <c r="J125" s="3"/>
      <c r="K125" s="3"/>
      <c r="L125" s="3"/>
      <c r="M125" s="3"/>
      <c r="N125" s="3">
        <f t="shared" si="10"/>
        <v>350</v>
      </c>
      <c r="O125" s="22">
        <f t="shared" si="11"/>
        <v>3150</v>
      </c>
      <c r="P125" s="3" t="str">
        <f t="shared" si="12"/>
        <v>Pending</v>
      </c>
    </row>
    <row r="126" spans="1:16" ht="19.899999999999999" customHeight="1" x14ac:dyDescent="0.25">
      <c r="A126" s="3" t="s">
        <v>149</v>
      </c>
      <c r="B126" s="3" t="s">
        <v>317</v>
      </c>
      <c r="C126" s="3" t="s">
        <v>10</v>
      </c>
      <c r="D126" s="3">
        <v>350</v>
      </c>
      <c r="E126" s="3">
        <v>350</v>
      </c>
      <c r="F126" s="3">
        <v>350</v>
      </c>
      <c r="G126" s="3"/>
      <c r="H126" s="3"/>
      <c r="I126" s="3"/>
      <c r="J126" s="3"/>
      <c r="K126" s="3"/>
      <c r="L126" s="3"/>
      <c r="M126" s="3"/>
      <c r="N126" s="3">
        <f t="shared" si="10"/>
        <v>1050</v>
      </c>
      <c r="O126" s="22">
        <f t="shared" si="11"/>
        <v>2450</v>
      </c>
      <c r="P126" s="3" t="str">
        <f t="shared" si="12"/>
        <v>Pending</v>
      </c>
    </row>
    <row r="127" spans="1:16" ht="19.899999999999999" customHeight="1" x14ac:dyDescent="0.25">
      <c r="A127" s="3" t="s">
        <v>150</v>
      </c>
      <c r="B127" s="3" t="s">
        <v>293</v>
      </c>
      <c r="C127" s="3" t="s">
        <v>10</v>
      </c>
      <c r="D127" s="3">
        <v>350</v>
      </c>
      <c r="E127" s="3">
        <v>350</v>
      </c>
      <c r="F127" s="3">
        <v>350</v>
      </c>
      <c r="G127" s="3"/>
      <c r="H127" s="3"/>
      <c r="I127" s="3"/>
      <c r="J127" s="3"/>
      <c r="K127" s="3"/>
      <c r="L127" s="3"/>
      <c r="M127" s="3"/>
      <c r="N127" s="3">
        <f t="shared" si="10"/>
        <v>1050</v>
      </c>
      <c r="O127" s="22">
        <f t="shared" si="11"/>
        <v>2450</v>
      </c>
      <c r="P127" s="3" t="str">
        <f t="shared" si="12"/>
        <v>Pending</v>
      </c>
    </row>
    <row r="128" spans="1:16" ht="19.899999999999999" customHeight="1" x14ac:dyDescent="0.25">
      <c r="A128" s="3" t="s">
        <v>151</v>
      </c>
      <c r="B128" s="3" t="s">
        <v>318</v>
      </c>
      <c r="C128" s="3" t="s">
        <v>10</v>
      </c>
      <c r="D128" s="3">
        <v>350</v>
      </c>
      <c r="E128" s="3"/>
      <c r="F128" s="3"/>
      <c r="G128" s="3"/>
      <c r="H128" s="3"/>
      <c r="I128" s="3"/>
      <c r="J128" s="3"/>
      <c r="K128" s="3"/>
      <c r="L128" s="3"/>
      <c r="M128" s="3"/>
      <c r="N128" s="3">
        <f t="shared" si="10"/>
        <v>350</v>
      </c>
      <c r="O128" s="22">
        <f t="shared" si="11"/>
        <v>3150</v>
      </c>
      <c r="P128" s="3" t="str">
        <f t="shared" si="12"/>
        <v>Pending</v>
      </c>
    </row>
    <row r="129" spans="1:16" ht="19.899999999999999" customHeight="1" x14ac:dyDescent="0.25">
      <c r="A129" s="3" t="s">
        <v>152</v>
      </c>
      <c r="B129" s="3" t="s">
        <v>294</v>
      </c>
      <c r="C129" s="3" t="s">
        <v>10</v>
      </c>
      <c r="D129" s="3">
        <v>350</v>
      </c>
      <c r="E129" s="3">
        <v>350</v>
      </c>
      <c r="F129" s="3">
        <v>350</v>
      </c>
      <c r="G129" s="3">
        <v>350</v>
      </c>
      <c r="H129" s="3"/>
      <c r="I129" s="3"/>
      <c r="J129" s="3"/>
      <c r="K129" s="3"/>
      <c r="L129" s="3"/>
      <c r="M129" s="3"/>
      <c r="N129" s="3">
        <f t="shared" si="10"/>
        <v>1400</v>
      </c>
      <c r="O129" s="22">
        <f t="shared" si="11"/>
        <v>2100</v>
      </c>
      <c r="P129" s="3" t="str">
        <f t="shared" si="12"/>
        <v>Pending</v>
      </c>
    </row>
    <row r="130" spans="1:16" ht="19.899999999999999" customHeight="1" x14ac:dyDescent="0.25">
      <c r="A130" s="3" t="s">
        <v>153</v>
      </c>
      <c r="B130" s="3" t="s">
        <v>295</v>
      </c>
      <c r="C130" s="3" t="s">
        <v>10</v>
      </c>
      <c r="D130" s="3">
        <v>350</v>
      </c>
      <c r="E130" s="3"/>
      <c r="F130" s="3"/>
      <c r="G130" s="3"/>
      <c r="H130" s="3"/>
      <c r="I130" s="3"/>
      <c r="J130" s="3"/>
      <c r="K130" s="3"/>
      <c r="L130" s="3"/>
      <c r="M130" s="3"/>
      <c r="N130" s="3">
        <f t="shared" si="10"/>
        <v>350</v>
      </c>
      <c r="O130" s="22">
        <f t="shared" si="11"/>
        <v>3150</v>
      </c>
      <c r="P130" s="3" t="str">
        <f t="shared" si="12"/>
        <v>Pending</v>
      </c>
    </row>
    <row r="131" spans="1:16" ht="19.899999999999999" customHeight="1" x14ac:dyDescent="0.25">
      <c r="A131" s="3" t="s">
        <v>154</v>
      </c>
      <c r="B131" s="3" t="s">
        <v>296</v>
      </c>
      <c r="C131" s="3" t="s">
        <v>10</v>
      </c>
      <c r="D131" s="3">
        <v>350</v>
      </c>
      <c r="E131" s="3">
        <v>350</v>
      </c>
      <c r="F131" s="3">
        <v>350</v>
      </c>
      <c r="G131" s="3">
        <v>350</v>
      </c>
      <c r="H131" s="3"/>
      <c r="I131" s="3"/>
      <c r="J131" s="3"/>
      <c r="K131" s="3"/>
      <c r="L131" s="3"/>
      <c r="M131" s="3"/>
      <c r="N131" s="3">
        <f t="shared" ref="N131:N152" si="13">SUM(D131:M131)</f>
        <v>1400</v>
      </c>
      <c r="O131" s="22">
        <f t="shared" ref="O131:O152" si="14">3500-N131</f>
        <v>2100</v>
      </c>
      <c r="P131" s="3" t="str">
        <f t="shared" ref="P131:P152" si="15">IF(O131&lt;=0,"Completed","Pending")</f>
        <v>Pending</v>
      </c>
    </row>
    <row r="132" spans="1:16" ht="19.899999999999999" customHeight="1" x14ac:dyDescent="0.25">
      <c r="A132" s="3" t="s">
        <v>155</v>
      </c>
      <c r="B132" s="3" t="s">
        <v>297</v>
      </c>
      <c r="C132" s="3" t="s">
        <v>10</v>
      </c>
      <c r="D132" s="3">
        <v>350</v>
      </c>
      <c r="E132" s="3">
        <v>350</v>
      </c>
      <c r="F132" s="3">
        <v>350</v>
      </c>
      <c r="G132" s="3">
        <v>350</v>
      </c>
      <c r="H132" s="3"/>
      <c r="I132" s="3"/>
      <c r="J132" s="3"/>
      <c r="K132" s="3"/>
      <c r="L132" s="3"/>
      <c r="M132" s="3"/>
      <c r="N132" s="3">
        <f t="shared" si="13"/>
        <v>1400</v>
      </c>
      <c r="O132" s="22">
        <f t="shared" si="14"/>
        <v>2100</v>
      </c>
      <c r="P132" s="3" t="str">
        <f t="shared" si="15"/>
        <v>Pending</v>
      </c>
    </row>
    <row r="133" spans="1:16" ht="19.899999999999999" customHeight="1" x14ac:dyDescent="0.25">
      <c r="A133" s="3" t="s">
        <v>156</v>
      </c>
      <c r="B133" s="3" t="s">
        <v>298</v>
      </c>
      <c r="C133" s="3" t="s">
        <v>10</v>
      </c>
      <c r="D133" s="3">
        <v>350</v>
      </c>
      <c r="E133" s="3">
        <v>350</v>
      </c>
      <c r="F133" s="3">
        <v>350</v>
      </c>
      <c r="G133" s="3">
        <v>350</v>
      </c>
      <c r="H133" s="3"/>
      <c r="I133" s="3"/>
      <c r="J133" s="3"/>
      <c r="K133" s="3"/>
      <c r="L133" s="3"/>
      <c r="M133" s="3"/>
      <c r="N133" s="3">
        <f t="shared" si="13"/>
        <v>1400</v>
      </c>
      <c r="O133" s="22">
        <f t="shared" si="14"/>
        <v>2100</v>
      </c>
      <c r="P133" s="3" t="str">
        <f t="shared" si="15"/>
        <v>Pending</v>
      </c>
    </row>
    <row r="134" spans="1:16" ht="19.899999999999999" customHeight="1" x14ac:dyDescent="0.25">
      <c r="A134" s="3" t="s">
        <v>157</v>
      </c>
      <c r="B134" s="3" t="s">
        <v>319</v>
      </c>
      <c r="C134" s="3" t="s">
        <v>10</v>
      </c>
      <c r="D134" s="3">
        <v>350</v>
      </c>
      <c r="E134" s="3">
        <v>350</v>
      </c>
      <c r="F134" s="3">
        <v>350</v>
      </c>
      <c r="G134" s="3"/>
      <c r="H134" s="3"/>
      <c r="I134" s="3"/>
      <c r="J134" s="3"/>
      <c r="K134" s="3"/>
      <c r="L134" s="3"/>
      <c r="M134" s="3"/>
      <c r="N134" s="3">
        <f t="shared" si="13"/>
        <v>1050</v>
      </c>
      <c r="O134" s="22">
        <f t="shared" si="14"/>
        <v>2450</v>
      </c>
      <c r="P134" s="3" t="str">
        <f t="shared" si="15"/>
        <v>Pending</v>
      </c>
    </row>
    <row r="135" spans="1:16" ht="19.899999999999999" customHeight="1" x14ac:dyDescent="0.25">
      <c r="A135" s="3" t="s">
        <v>158</v>
      </c>
      <c r="B135" s="3" t="s">
        <v>299</v>
      </c>
      <c r="C135" s="3" t="s">
        <v>10</v>
      </c>
      <c r="D135" s="3">
        <v>300</v>
      </c>
      <c r="E135" s="3"/>
      <c r="F135" s="3"/>
      <c r="G135" s="3"/>
      <c r="H135" s="3"/>
      <c r="I135" s="3"/>
      <c r="J135" s="3"/>
      <c r="K135" s="3"/>
      <c r="L135" s="3"/>
      <c r="M135" s="3"/>
      <c r="N135" s="3">
        <f t="shared" si="13"/>
        <v>300</v>
      </c>
      <c r="O135" s="22">
        <f t="shared" si="14"/>
        <v>3200</v>
      </c>
      <c r="P135" s="3" t="str">
        <f t="shared" si="15"/>
        <v>Pending</v>
      </c>
    </row>
    <row r="136" spans="1:16" ht="19.899999999999999" customHeight="1" x14ac:dyDescent="0.25">
      <c r="A136" s="3" t="s">
        <v>159</v>
      </c>
      <c r="B136" s="3" t="s">
        <v>300</v>
      </c>
      <c r="C136" s="3" t="s">
        <v>10</v>
      </c>
      <c r="D136" s="3">
        <v>350</v>
      </c>
      <c r="E136" s="3"/>
      <c r="F136" s="3"/>
      <c r="G136" s="3"/>
      <c r="H136" s="3"/>
      <c r="I136" s="3"/>
      <c r="J136" s="3"/>
      <c r="K136" s="3"/>
      <c r="L136" s="3"/>
      <c r="M136" s="3"/>
      <c r="N136" s="3">
        <f t="shared" si="13"/>
        <v>350</v>
      </c>
      <c r="O136" s="22">
        <f t="shared" si="14"/>
        <v>3150</v>
      </c>
      <c r="P136" s="3" t="str">
        <f t="shared" si="15"/>
        <v>Pending</v>
      </c>
    </row>
    <row r="137" spans="1:16" ht="19.899999999999999" customHeight="1" x14ac:dyDescent="0.25">
      <c r="A137" s="3" t="s">
        <v>160</v>
      </c>
      <c r="B137" s="3" t="s">
        <v>301</v>
      </c>
      <c r="C137" s="3" t="s">
        <v>10</v>
      </c>
      <c r="D137" s="3">
        <v>350</v>
      </c>
      <c r="E137" s="3">
        <v>350</v>
      </c>
      <c r="F137" s="3">
        <v>350</v>
      </c>
      <c r="G137" s="3"/>
      <c r="H137" s="3"/>
      <c r="I137" s="3"/>
      <c r="J137" s="3"/>
      <c r="K137" s="3"/>
      <c r="L137" s="3"/>
      <c r="M137" s="3"/>
      <c r="N137" s="3">
        <f t="shared" si="13"/>
        <v>1050</v>
      </c>
      <c r="O137" s="22">
        <f t="shared" si="14"/>
        <v>2450</v>
      </c>
      <c r="P137" s="3" t="str">
        <f t="shared" si="15"/>
        <v>Pending</v>
      </c>
    </row>
    <row r="138" spans="1:16" ht="19.899999999999999" customHeight="1" x14ac:dyDescent="0.25">
      <c r="A138" s="3" t="s">
        <v>161</v>
      </c>
      <c r="B138" s="3" t="s">
        <v>324</v>
      </c>
      <c r="C138" s="3" t="s">
        <v>10</v>
      </c>
      <c r="D138" s="3">
        <v>350</v>
      </c>
      <c r="E138" s="3">
        <v>350</v>
      </c>
      <c r="F138" s="3">
        <v>350</v>
      </c>
      <c r="G138" s="3"/>
      <c r="H138" s="3"/>
      <c r="I138" s="3"/>
      <c r="J138" s="3"/>
      <c r="K138" s="3"/>
      <c r="L138" s="3"/>
      <c r="M138" s="3"/>
      <c r="N138" s="3">
        <f t="shared" si="13"/>
        <v>1050</v>
      </c>
      <c r="O138" s="22">
        <f t="shared" si="14"/>
        <v>2450</v>
      </c>
      <c r="P138" s="3" t="str">
        <f t="shared" si="15"/>
        <v>Pending</v>
      </c>
    </row>
    <row r="139" spans="1:16" ht="19.899999999999999" customHeight="1" x14ac:dyDescent="0.25">
      <c r="A139" s="3" t="s">
        <v>162</v>
      </c>
      <c r="B139" s="3" t="s">
        <v>302</v>
      </c>
      <c r="C139" s="3" t="s">
        <v>10</v>
      </c>
      <c r="D139" s="3">
        <v>350</v>
      </c>
      <c r="E139" s="3">
        <v>350</v>
      </c>
      <c r="F139" s="3">
        <v>350</v>
      </c>
      <c r="G139" s="3">
        <v>350</v>
      </c>
      <c r="H139" s="3"/>
      <c r="I139" s="3"/>
      <c r="J139" s="3"/>
      <c r="K139" s="3"/>
      <c r="L139" s="3"/>
      <c r="M139" s="3"/>
      <c r="N139" s="3">
        <f t="shared" si="13"/>
        <v>1400</v>
      </c>
      <c r="O139" s="22">
        <f t="shared" si="14"/>
        <v>2100</v>
      </c>
      <c r="P139" s="3" t="str">
        <f t="shared" si="15"/>
        <v>Pending</v>
      </c>
    </row>
    <row r="140" spans="1:16" ht="19.899999999999999" customHeight="1" x14ac:dyDescent="0.25">
      <c r="A140" s="3" t="s">
        <v>163</v>
      </c>
      <c r="B140" s="3" t="s">
        <v>325</v>
      </c>
      <c r="C140" s="3" t="s">
        <v>10</v>
      </c>
      <c r="D140" s="3">
        <v>350</v>
      </c>
      <c r="E140" s="3">
        <v>350</v>
      </c>
      <c r="F140" s="3">
        <v>350</v>
      </c>
      <c r="G140" s="3"/>
      <c r="H140" s="3"/>
      <c r="I140" s="3"/>
      <c r="J140" s="3"/>
      <c r="K140" s="3"/>
      <c r="L140" s="3"/>
      <c r="M140" s="3"/>
      <c r="N140" s="3">
        <f t="shared" si="13"/>
        <v>1050</v>
      </c>
      <c r="O140" s="22">
        <f t="shared" si="14"/>
        <v>2450</v>
      </c>
      <c r="P140" s="3" t="str">
        <f t="shared" si="15"/>
        <v>Pending</v>
      </c>
    </row>
    <row r="141" spans="1:16" ht="19.899999999999999" customHeight="1" x14ac:dyDescent="0.25">
      <c r="A141" s="3" t="s">
        <v>164</v>
      </c>
      <c r="B141" s="3" t="s">
        <v>326</v>
      </c>
      <c r="C141" s="3" t="s">
        <v>10</v>
      </c>
      <c r="D141" s="3">
        <v>350</v>
      </c>
      <c r="E141" s="3">
        <v>350</v>
      </c>
      <c r="F141" s="3">
        <v>350</v>
      </c>
      <c r="G141" s="3"/>
      <c r="H141" s="3"/>
      <c r="I141" s="3"/>
      <c r="J141" s="3"/>
      <c r="K141" s="3"/>
      <c r="L141" s="3"/>
      <c r="M141" s="3"/>
      <c r="N141" s="3">
        <f t="shared" si="13"/>
        <v>1050</v>
      </c>
      <c r="O141" s="22">
        <f t="shared" si="14"/>
        <v>2450</v>
      </c>
      <c r="P141" s="3" t="str">
        <f t="shared" si="15"/>
        <v>Pending</v>
      </c>
    </row>
    <row r="142" spans="1:16" ht="19.899999999999999" customHeight="1" x14ac:dyDescent="0.25">
      <c r="A142" s="3" t="s">
        <v>165</v>
      </c>
      <c r="B142" s="3" t="s">
        <v>303</v>
      </c>
      <c r="C142" s="3" t="s">
        <v>10</v>
      </c>
      <c r="D142" s="3">
        <v>350</v>
      </c>
      <c r="E142" s="3"/>
      <c r="F142" s="3">
        <v>300</v>
      </c>
      <c r="G142" s="3"/>
      <c r="H142" s="3"/>
      <c r="I142" s="3"/>
      <c r="J142" s="3"/>
      <c r="K142" s="3"/>
      <c r="L142" s="3"/>
      <c r="M142" s="3"/>
      <c r="N142" s="3">
        <f t="shared" si="13"/>
        <v>650</v>
      </c>
      <c r="O142" s="22">
        <f t="shared" si="14"/>
        <v>2850</v>
      </c>
      <c r="P142" s="3" t="str">
        <f t="shared" si="15"/>
        <v>Pending</v>
      </c>
    </row>
    <row r="143" spans="1:16" ht="19.899999999999999" customHeight="1" x14ac:dyDescent="0.25">
      <c r="A143" s="3" t="s">
        <v>166</v>
      </c>
      <c r="B143" s="3" t="s">
        <v>304</v>
      </c>
      <c r="C143" s="3" t="s">
        <v>10</v>
      </c>
      <c r="D143" s="3">
        <v>350</v>
      </c>
      <c r="E143" s="3">
        <v>350</v>
      </c>
      <c r="F143" s="3"/>
      <c r="G143" s="3"/>
      <c r="H143" s="3"/>
      <c r="I143" s="3"/>
      <c r="J143" s="3"/>
      <c r="K143" s="3"/>
      <c r="L143" s="3"/>
      <c r="M143" s="3"/>
      <c r="N143" s="3">
        <f t="shared" si="13"/>
        <v>700</v>
      </c>
      <c r="O143" s="22">
        <f t="shared" si="14"/>
        <v>2800</v>
      </c>
      <c r="P143" s="3" t="str">
        <f t="shared" si="15"/>
        <v>Pending</v>
      </c>
    </row>
    <row r="144" spans="1:16" ht="19.899999999999999" customHeight="1" x14ac:dyDescent="0.25">
      <c r="A144" s="3" t="s">
        <v>167</v>
      </c>
      <c r="B144" s="3" t="s">
        <v>305</v>
      </c>
      <c r="C144" s="3" t="s">
        <v>10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>
        <f t="shared" si="13"/>
        <v>0</v>
      </c>
      <c r="O144" s="22">
        <f t="shared" si="14"/>
        <v>3500</v>
      </c>
      <c r="P144" s="3" t="str">
        <f t="shared" si="15"/>
        <v>Pending</v>
      </c>
    </row>
    <row r="145" spans="1:16" ht="19.899999999999999" customHeight="1" x14ac:dyDescent="0.25">
      <c r="A145" s="3" t="s">
        <v>168</v>
      </c>
      <c r="B145" s="3" t="s">
        <v>320</v>
      </c>
      <c r="C145" s="3" t="s">
        <v>10</v>
      </c>
      <c r="D145" s="3">
        <v>350</v>
      </c>
      <c r="E145" s="3">
        <v>350</v>
      </c>
      <c r="F145" s="3">
        <v>350</v>
      </c>
      <c r="G145" s="3"/>
      <c r="H145" s="3"/>
      <c r="I145" s="3"/>
      <c r="J145" s="3"/>
      <c r="K145" s="3"/>
      <c r="L145" s="3"/>
      <c r="M145" s="3"/>
      <c r="N145" s="3">
        <f t="shared" si="13"/>
        <v>1050</v>
      </c>
      <c r="O145" s="22">
        <f t="shared" si="14"/>
        <v>2450</v>
      </c>
      <c r="P145" s="3" t="str">
        <f t="shared" si="15"/>
        <v>Pending</v>
      </c>
    </row>
    <row r="146" spans="1:16" ht="19.899999999999999" customHeight="1" x14ac:dyDescent="0.25">
      <c r="A146" s="3" t="s">
        <v>169</v>
      </c>
      <c r="B146" s="3" t="s">
        <v>321</v>
      </c>
      <c r="C146" s="3" t="s">
        <v>10</v>
      </c>
      <c r="D146" s="3">
        <v>350</v>
      </c>
      <c r="E146" s="3">
        <v>350</v>
      </c>
      <c r="F146" s="3">
        <v>350</v>
      </c>
      <c r="G146" s="3"/>
      <c r="H146" s="3"/>
      <c r="I146" s="3"/>
      <c r="J146" s="3"/>
      <c r="K146" s="3"/>
      <c r="L146" s="3"/>
      <c r="M146" s="3"/>
      <c r="N146" s="3">
        <f t="shared" si="13"/>
        <v>1050</v>
      </c>
      <c r="O146" s="22">
        <f t="shared" si="14"/>
        <v>2450</v>
      </c>
      <c r="P146" s="3" t="str">
        <f t="shared" si="15"/>
        <v>Pending</v>
      </c>
    </row>
    <row r="147" spans="1:16" ht="19.899999999999999" customHeight="1" x14ac:dyDescent="0.25">
      <c r="A147" s="3" t="s">
        <v>170</v>
      </c>
      <c r="B147" s="3" t="s">
        <v>322</v>
      </c>
      <c r="C147" s="3" t="s">
        <v>10</v>
      </c>
      <c r="D147" s="3">
        <v>350</v>
      </c>
      <c r="E147" s="3"/>
      <c r="F147" s="3"/>
      <c r="G147" s="3"/>
      <c r="H147" s="3"/>
      <c r="I147" s="3"/>
      <c r="J147" s="3"/>
      <c r="K147" s="3"/>
      <c r="L147" s="3"/>
      <c r="M147" s="3"/>
      <c r="N147" s="3">
        <f t="shared" si="13"/>
        <v>350</v>
      </c>
      <c r="O147" s="22">
        <f t="shared" si="14"/>
        <v>3150</v>
      </c>
      <c r="P147" s="3" t="str">
        <f t="shared" si="15"/>
        <v>Pending</v>
      </c>
    </row>
    <row r="148" spans="1:16" ht="19.899999999999999" customHeight="1" x14ac:dyDescent="0.25">
      <c r="A148" s="3" t="s">
        <v>171</v>
      </c>
      <c r="B148" s="3" t="s">
        <v>306</v>
      </c>
      <c r="C148" s="3" t="s">
        <v>10</v>
      </c>
      <c r="D148" s="3">
        <v>350</v>
      </c>
      <c r="E148" s="3">
        <v>350</v>
      </c>
      <c r="F148" s="3">
        <v>350</v>
      </c>
      <c r="G148" s="3"/>
      <c r="H148" s="3"/>
      <c r="I148" s="3"/>
      <c r="J148" s="3"/>
      <c r="K148" s="3"/>
      <c r="L148" s="3"/>
      <c r="M148" s="3"/>
      <c r="N148" s="3">
        <f t="shared" si="13"/>
        <v>1050</v>
      </c>
      <c r="O148" s="22">
        <f t="shared" si="14"/>
        <v>2450</v>
      </c>
      <c r="P148" s="3" t="str">
        <f t="shared" si="15"/>
        <v>Pending</v>
      </c>
    </row>
    <row r="149" spans="1:16" ht="19.899999999999999" customHeight="1" x14ac:dyDescent="0.25">
      <c r="A149" s="3" t="s">
        <v>172</v>
      </c>
      <c r="B149" s="3" t="s">
        <v>307</v>
      </c>
      <c r="C149" s="3" t="s">
        <v>10</v>
      </c>
      <c r="D149" s="3">
        <v>350</v>
      </c>
      <c r="E149" s="3"/>
      <c r="F149" s="3"/>
      <c r="G149" s="3"/>
      <c r="H149" s="3"/>
      <c r="I149" s="3"/>
      <c r="J149" s="3"/>
      <c r="K149" s="3"/>
      <c r="L149" s="3"/>
      <c r="M149" s="3"/>
      <c r="N149" s="3">
        <f t="shared" si="13"/>
        <v>350</v>
      </c>
      <c r="O149" s="22">
        <f t="shared" si="14"/>
        <v>3150</v>
      </c>
      <c r="P149" s="3" t="str">
        <f t="shared" si="15"/>
        <v>Pending</v>
      </c>
    </row>
    <row r="150" spans="1:16" ht="19.899999999999999" customHeight="1" x14ac:dyDescent="0.25">
      <c r="A150" s="3" t="s">
        <v>173</v>
      </c>
      <c r="B150" s="3" t="s">
        <v>308</v>
      </c>
      <c r="C150" s="3" t="s">
        <v>10</v>
      </c>
      <c r="D150" s="3">
        <v>350</v>
      </c>
      <c r="E150" s="3"/>
      <c r="F150" s="3"/>
      <c r="G150" s="3"/>
      <c r="H150" s="3"/>
      <c r="I150" s="3"/>
      <c r="J150" s="3"/>
      <c r="K150" s="3"/>
      <c r="L150" s="3"/>
      <c r="M150" s="3"/>
      <c r="N150" s="3">
        <f t="shared" si="13"/>
        <v>350</v>
      </c>
      <c r="O150" s="22">
        <f t="shared" si="14"/>
        <v>3150</v>
      </c>
      <c r="P150" s="3" t="str">
        <f t="shared" si="15"/>
        <v>Pending</v>
      </c>
    </row>
    <row r="151" spans="1:16" ht="19.899999999999999" customHeight="1" x14ac:dyDescent="0.25">
      <c r="A151" s="3" t="s">
        <v>174</v>
      </c>
      <c r="B151" s="3" t="s">
        <v>309</v>
      </c>
      <c r="C151" s="3" t="s">
        <v>10</v>
      </c>
      <c r="D151" s="3">
        <v>350</v>
      </c>
      <c r="E151" s="3">
        <v>350</v>
      </c>
      <c r="F151" s="3">
        <v>0</v>
      </c>
      <c r="G151" s="3"/>
      <c r="H151" s="3"/>
      <c r="I151" s="3"/>
      <c r="J151" s="3"/>
      <c r="K151" s="3"/>
      <c r="L151" s="3"/>
      <c r="M151" s="3"/>
      <c r="N151" s="3">
        <f t="shared" si="13"/>
        <v>700</v>
      </c>
      <c r="O151" s="22">
        <f t="shared" si="14"/>
        <v>2800</v>
      </c>
      <c r="P151" s="3" t="str">
        <f t="shared" si="15"/>
        <v>Pending</v>
      </c>
    </row>
    <row r="152" spans="1:16" ht="19.899999999999999" customHeight="1" x14ac:dyDescent="0.25">
      <c r="A152" s="3" t="s">
        <v>175</v>
      </c>
      <c r="B152" s="3" t="s">
        <v>323</v>
      </c>
      <c r="C152" s="3" t="s">
        <v>10</v>
      </c>
      <c r="D152" s="3">
        <v>350</v>
      </c>
      <c r="E152" s="3">
        <v>350</v>
      </c>
      <c r="F152" s="3">
        <v>350</v>
      </c>
      <c r="G152" s="3"/>
      <c r="H152" s="3"/>
      <c r="I152" s="3"/>
      <c r="J152" s="3"/>
      <c r="K152" s="3"/>
      <c r="L152" s="3"/>
      <c r="M152" s="3"/>
      <c r="N152" s="3">
        <f t="shared" si="13"/>
        <v>1050</v>
      </c>
      <c r="O152" s="22">
        <f t="shared" si="14"/>
        <v>2450</v>
      </c>
      <c r="P152" s="3" t="str">
        <f t="shared" si="15"/>
        <v>Pending</v>
      </c>
    </row>
  </sheetData>
  <mergeCells count="1">
    <mergeCell ref="A1:P1"/>
  </mergeCells>
  <conditionalFormatting sqref="P3:P152">
    <cfRule type="expression" dxfId="3" priority="5">
      <formula>$P3="Completed"</formula>
    </cfRule>
    <cfRule type="expression" dxfId="2" priority="6">
      <formula>$P3="Pending"</formula>
    </cfRule>
    <cfRule type="expression" dxfId="1" priority="7">
      <formula>$P3="Completed"</formula>
    </cfRule>
    <cfRule type="expression" dxfId="0" priority="8">
      <formula>$P3="Pending"</formula>
    </cfRule>
  </conditionalFormatting>
  <pageMargins left="0.75" right="0.75" top="1" bottom="1" header="0.5" footer="0.5"/>
  <pageSetup paperSize="9"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52"/>
  <sheetViews>
    <sheetView view="pageBreakPreview" zoomScale="85" zoomScaleNormal="85" zoomScaleSheetLayoutView="85" workbookViewId="0">
      <pane ySplit="1" topLeftCell="A17" activePane="bottomLeft" state="frozen"/>
      <selection pane="bottomLeft" activeCell="B27" sqref="B27"/>
    </sheetView>
  </sheetViews>
  <sheetFormatPr defaultRowHeight="15" x14ac:dyDescent="0.25"/>
  <cols>
    <col min="1" max="1" width="12.85546875" customWidth="1"/>
    <col min="2" max="2" width="32" customWidth="1"/>
    <col min="3" max="3" width="18.7109375" hidden="1" customWidth="1"/>
    <col min="4" max="13" width="8.85546875" style="1"/>
    <col min="14" max="14" width="15.28515625" style="1" customWidth="1"/>
    <col min="15" max="15" width="12.28515625" style="1" customWidth="1"/>
    <col min="16" max="16" width="14" style="1" customWidth="1"/>
  </cols>
  <sheetData>
    <row r="1" spans="1:16" ht="19.899999999999999" customHeight="1" x14ac:dyDescent="0.25">
      <c r="A1" s="18" t="s">
        <v>11</v>
      </c>
      <c r="B1" s="18" t="s">
        <v>12</v>
      </c>
      <c r="C1" s="6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21" t="s">
        <v>23</v>
      </c>
      <c r="N1" s="21" t="s">
        <v>24</v>
      </c>
      <c r="O1" s="21" t="s">
        <v>25</v>
      </c>
      <c r="P1" s="21" t="s">
        <v>26</v>
      </c>
    </row>
    <row r="2" spans="1:16" s="8" customFormat="1" ht="19.899999999999999" customHeight="1" x14ac:dyDescent="0.25">
      <c r="A2" s="7" t="str">
        <f>IF('Master Sheet'!C3="Area 1 (Meenu S)",'Master Sheet'!A3,"")</f>
        <v>P001</v>
      </c>
      <c r="B2" s="10" t="str">
        <f>IF('Master Sheet'!C3="Area 1 (Meenu S)",'Master Sheet'!B3,"")</f>
        <v>Bindhu Alesh, Varayannur</v>
      </c>
      <c r="C2" s="7" t="s">
        <v>4</v>
      </c>
      <c r="D2" s="9">
        <f>IF('Master Sheet'!C3="Area 1 (Meenu S)",'Master Sheet'!D3,"")</f>
        <v>350</v>
      </c>
      <c r="E2" s="9">
        <f>IF('Master Sheet'!C3="Area 1 (Meenu S)",'Master Sheet'!E3,"")</f>
        <v>0</v>
      </c>
      <c r="F2" s="9">
        <f>IF('Master Sheet'!C3="Area 1 (Meenu S)",'Master Sheet'!F3,"")</f>
        <v>0</v>
      </c>
      <c r="G2" s="9">
        <f>IF('Master Sheet'!C3="Area 1 (Meenu S)",'Master Sheet'!G3,"")</f>
        <v>500</v>
      </c>
      <c r="H2" s="9">
        <f>IF('Master Sheet'!C3="Area 1 (Meenu S)",'Master Sheet'!H3,"")</f>
        <v>0</v>
      </c>
      <c r="I2" s="9">
        <f>IF('Master Sheet'!C3="Area 1 (Meenu S)",'Master Sheet'!I3,"")</f>
        <v>0</v>
      </c>
      <c r="J2" s="9">
        <f>IF('Master Sheet'!C3="Area 1 (Meenu S)",'Master Sheet'!J3,"")</f>
        <v>0</v>
      </c>
      <c r="K2" s="9">
        <f>IF('Master Sheet'!C3="Area 1 (Meenu S)",'Master Sheet'!K3,"")</f>
        <v>0</v>
      </c>
      <c r="L2" s="9">
        <f>IF('Master Sheet'!C3="Area 1 (Meenu S)",'Master Sheet'!L3,"")</f>
        <v>0</v>
      </c>
      <c r="M2" s="9">
        <f>IF('Master Sheet'!C3="Area 1 (Meenu S)",'Master Sheet'!M3,"")</f>
        <v>0</v>
      </c>
      <c r="N2" s="9">
        <f>IF('Master Sheet'!C3="Area 1 (Meenu S)",'Master Sheet'!N3,"")</f>
        <v>850</v>
      </c>
      <c r="O2" s="23">
        <f>IF('Master Sheet'!C3="Area 1 (Meenu S)",'Master Sheet'!O3,"")</f>
        <v>2650</v>
      </c>
      <c r="P2" s="9" t="str">
        <f>IF('Master Sheet'!C3="Area 1 (Meenu S)",'Master Sheet'!P3,"")</f>
        <v>Pending</v>
      </c>
    </row>
    <row r="3" spans="1:16" s="8" customFormat="1" ht="19.899999999999999" customHeight="1" x14ac:dyDescent="0.25">
      <c r="A3" s="7" t="str">
        <f>IF('Master Sheet'!C4="Area 1 (Meenu S)",'Master Sheet'!A4,"")</f>
        <v>P002</v>
      </c>
      <c r="B3" s="10" t="str">
        <f>IF('Master Sheet'!C4="Area 1 (Meenu S)",'Master Sheet'!B4,"")</f>
        <v>Aswathy PS, Kumbanadu</v>
      </c>
      <c r="C3" s="7" t="s">
        <v>4</v>
      </c>
      <c r="D3" s="9">
        <f>IF('Master Sheet'!C4="Area 1 (Meenu S)",'Master Sheet'!D4,"")</f>
        <v>0</v>
      </c>
      <c r="E3" s="9">
        <f>IF('Master Sheet'!C4="Area 1 (Meenu S)",'Master Sheet'!E4,"")</f>
        <v>0</v>
      </c>
      <c r="F3" s="9">
        <f>IF('Master Sheet'!C4="Area 1 (Meenu S)",'Master Sheet'!F4,"")</f>
        <v>0</v>
      </c>
      <c r="G3" s="9">
        <f>IF('Master Sheet'!C4="Area 1 (Meenu S)",'Master Sheet'!G4,"")</f>
        <v>1000</v>
      </c>
      <c r="H3" s="9">
        <f>IF('Master Sheet'!C4="Area 1 (Meenu S)",'Master Sheet'!H4,"")</f>
        <v>0</v>
      </c>
      <c r="I3" s="9">
        <f>IF('Master Sheet'!C4="Area 1 (Meenu S)",'Master Sheet'!I4,"")</f>
        <v>0</v>
      </c>
      <c r="J3" s="9">
        <f>IF('Master Sheet'!C4="Area 1 (Meenu S)",'Master Sheet'!J4,"")</f>
        <v>0</v>
      </c>
      <c r="K3" s="9">
        <f>IF('Master Sheet'!C4="Area 1 (Meenu S)",'Master Sheet'!K4,"")</f>
        <v>0</v>
      </c>
      <c r="L3" s="9">
        <f>IF('Master Sheet'!C4="Area 1 (Meenu S)",'Master Sheet'!L4,"")</f>
        <v>0</v>
      </c>
      <c r="M3" s="9">
        <f>IF('Master Sheet'!C4="Area 1 (Meenu S)",'Master Sheet'!M4,"")</f>
        <v>0</v>
      </c>
      <c r="N3" s="9">
        <f>IF('Master Sheet'!C4="Area 1 (Meenu S)",'Master Sheet'!N4,"")</f>
        <v>1000</v>
      </c>
      <c r="O3" s="23">
        <f>IF('Master Sheet'!C4="Area 1 (Meenu S)",'Master Sheet'!O4,"")</f>
        <v>2500</v>
      </c>
      <c r="P3" s="9" t="str">
        <f>IF('Master Sheet'!C4="Area 1 (Meenu S)",'Master Sheet'!P4,"")</f>
        <v>Pending</v>
      </c>
    </row>
    <row r="4" spans="1:16" s="8" customFormat="1" ht="19.899999999999999" customHeight="1" x14ac:dyDescent="0.25">
      <c r="A4" s="7" t="str">
        <f>IF('Master Sheet'!C5="Area 1 (Meenu S)",'Master Sheet'!A5,"")</f>
        <v>P003</v>
      </c>
      <c r="B4" s="10" t="str">
        <f>IF('Master Sheet'!C5="Area 1 (Meenu S)",'Master Sheet'!B5,"")</f>
        <v>Arya , Kunnam, Poovathur</v>
      </c>
      <c r="C4" s="7" t="s">
        <v>4</v>
      </c>
      <c r="D4" s="9">
        <f>IF('Master Sheet'!C5="Area 1 (Meenu S)",'Master Sheet'!D5,"")</f>
        <v>0</v>
      </c>
      <c r="E4" s="9">
        <f>IF('Master Sheet'!C5="Area 1 (Meenu S)",'Master Sheet'!E5,"")</f>
        <v>0</v>
      </c>
      <c r="F4" s="9">
        <f>IF('Master Sheet'!C5="Area 1 (Meenu S)",'Master Sheet'!F5,"")</f>
        <v>0</v>
      </c>
      <c r="G4" s="9">
        <f>IF('Master Sheet'!C5="Area 1 (Meenu S)",'Master Sheet'!G5,"")</f>
        <v>0</v>
      </c>
      <c r="H4" s="9">
        <f>IF('Master Sheet'!C5="Area 1 (Meenu S)",'Master Sheet'!H5,"")</f>
        <v>0</v>
      </c>
      <c r="I4" s="9">
        <f>IF('Master Sheet'!C5="Area 1 (Meenu S)",'Master Sheet'!I5,"")</f>
        <v>0</v>
      </c>
      <c r="J4" s="9">
        <f>IF('Master Sheet'!C5="Area 1 (Meenu S)",'Master Sheet'!J5,"")</f>
        <v>0</v>
      </c>
      <c r="K4" s="9">
        <f>IF('Master Sheet'!C5="Area 1 (Meenu S)",'Master Sheet'!K5,"")</f>
        <v>0</v>
      </c>
      <c r="L4" s="9">
        <f>IF('Master Sheet'!C5="Area 1 (Meenu S)",'Master Sheet'!L5,"")</f>
        <v>0</v>
      </c>
      <c r="M4" s="9">
        <f>IF('Master Sheet'!C5="Area 1 (Meenu S)",'Master Sheet'!M5,"")</f>
        <v>0</v>
      </c>
      <c r="N4" s="9">
        <f>IF('Master Sheet'!C5="Area 1 (Meenu S)",'Master Sheet'!N5,"")</f>
        <v>0</v>
      </c>
      <c r="O4" s="23">
        <f>IF('Master Sheet'!C5="Area 1 (Meenu S)",'Master Sheet'!O5,"")</f>
        <v>3500</v>
      </c>
      <c r="P4" s="9" t="str">
        <f>IF('Master Sheet'!C5="Area 1 (Meenu S)",'Master Sheet'!P5,"")</f>
        <v>Pending</v>
      </c>
    </row>
    <row r="5" spans="1:16" s="8" customFormat="1" ht="19.899999999999999" customHeight="1" x14ac:dyDescent="0.25">
      <c r="A5" s="7" t="str">
        <f>IF('Master Sheet'!C6="Area 1 (Meenu S)",'Master Sheet'!A6,"")</f>
        <v>P004</v>
      </c>
      <c r="B5" s="10" t="str">
        <f>IF('Master Sheet'!C6="Area 1 (Meenu S)",'Master Sheet'!B6,"")</f>
        <v>Saratha Sasikumar, Varayannur</v>
      </c>
      <c r="C5" s="7" t="s">
        <v>4</v>
      </c>
      <c r="D5" s="9">
        <f>IF('Master Sheet'!C6="Area 1 (Meenu S)",'Master Sheet'!D6,"")</f>
        <v>500</v>
      </c>
      <c r="E5" s="9">
        <f>IF('Master Sheet'!C6="Area 1 (Meenu S)",'Master Sheet'!E6,"")</f>
        <v>0</v>
      </c>
      <c r="F5" s="9">
        <f>IF('Master Sheet'!C6="Area 1 (Meenu S)",'Master Sheet'!F6,"")</f>
        <v>0</v>
      </c>
      <c r="G5" s="9">
        <f>IF('Master Sheet'!C6="Area 1 (Meenu S)",'Master Sheet'!G6,"")</f>
        <v>500</v>
      </c>
      <c r="H5" s="9">
        <f>IF('Master Sheet'!C6="Area 1 (Meenu S)",'Master Sheet'!H6,"")</f>
        <v>0</v>
      </c>
      <c r="I5" s="9">
        <f>IF('Master Sheet'!C6="Area 1 (Meenu S)",'Master Sheet'!I6,"")</f>
        <v>0</v>
      </c>
      <c r="J5" s="9">
        <f>IF('Master Sheet'!C6="Area 1 (Meenu S)",'Master Sheet'!J6,"")</f>
        <v>0</v>
      </c>
      <c r="K5" s="9">
        <f>IF('Master Sheet'!C6="Area 1 (Meenu S)",'Master Sheet'!K6,"")</f>
        <v>0</v>
      </c>
      <c r="L5" s="9">
        <f>IF('Master Sheet'!C6="Area 1 (Meenu S)",'Master Sheet'!L6,"")</f>
        <v>0</v>
      </c>
      <c r="M5" s="9">
        <f>IF('Master Sheet'!C6="Area 1 (Meenu S)",'Master Sheet'!M6,"")</f>
        <v>0</v>
      </c>
      <c r="N5" s="9">
        <f>IF('Master Sheet'!C6="Area 1 (Meenu S)",'Master Sheet'!N6,"")</f>
        <v>1000</v>
      </c>
      <c r="O5" s="23">
        <f>IF('Master Sheet'!C6="Area 1 (Meenu S)",'Master Sheet'!O6,"")</f>
        <v>2500</v>
      </c>
      <c r="P5" s="9" t="str">
        <f>IF('Master Sheet'!C6="Area 1 (Meenu S)",'Master Sheet'!P6,"")</f>
        <v>Pending</v>
      </c>
    </row>
    <row r="6" spans="1:16" s="8" customFormat="1" ht="19.899999999999999" customHeight="1" x14ac:dyDescent="0.25">
      <c r="A6" s="7" t="str">
        <f>IF('Master Sheet'!C7="Area 1 (Meenu S)",'Master Sheet'!A7,"")</f>
        <v>P005</v>
      </c>
      <c r="B6" s="10" t="str">
        <f>IF('Master Sheet'!C7="Area 1 (Meenu S)",'Master Sheet'!B7,"")</f>
        <v>Gokul , Poovathur</v>
      </c>
      <c r="C6" s="7" t="s">
        <v>4</v>
      </c>
      <c r="D6" s="9">
        <f>IF('Master Sheet'!C7="Area 1 (Meenu S)",'Master Sheet'!D7,"")</f>
        <v>0</v>
      </c>
      <c r="E6" s="9">
        <f>IF('Master Sheet'!C7="Area 1 (Meenu S)",'Master Sheet'!E7,"")</f>
        <v>0</v>
      </c>
      <c r="F6" s="9">
        <f>IF('Master Sheet'!C7="Area 1 (Meenu S)",'Master Sheet'!F7,"")</f>
        <v>0</v>
      </c>
      <c r="G6" s="9">
        <f>IF('Master Sheet'!C7="Area 1 (Meenu S)",'Master Sheet'!G7,"")</f>
        <v>2000</v>
      </c>
      <c r="H6" s="9">
        <f>IF('Master Sheet'!C7="Area 1 (Meenu S)",'Master Sheet'!H7,"")</f>
        <v>0</v>
      </c>
      <c r="I6" s="9">
        <f>IF('Master Sheet'!C7="Area 1 (Meenu S)",'Master Sheet'!I7,"")</f>
        <v>0</v>
      </c>
      <c r="J6" s="9">
        <f>IF('Master Sheet'!C7="Area 1 (Meenu S)",'Master Sheet'!J7,"")</f>
        <v>0</v>
      </c>
      <c r="K6" s="9">
        <f>IF('Master Sheet'!C7="Area 1 (Meenu S)",'Master Sheet'!K7,"")</f>
        <v>0</v>
      </c>
      <c r="L6" s="9">
        <f>IF('Master Sheet'!C7="Area 1 (Meenu S)",'Master Sheet'!L7,"")</f>
        <v>0</v>
      </c>
      <c r="M6" s="9">
        <f>IF('Master Sheet'!C7="Area 1 (Meenu S)",'Master Sheet'!M7,"")</f>
        <v>0</v>
      </c>
      <c r="N6" s="9">
        <f>IF('Master Sheet'!C7="Area 1 (Meenu S)",'Master Sheet'!N7,"")</f>
        <v>2000</v>
      </c>
      <c r="O6" s="23">
        <f>IF('Master Sheet'!C7="Area 1 (Meenu S)",'Master Sheet'!O7,"")</f>
        <v>1500</v>
      </c>
      <c r="P6" s="9" t="str">
        <f>IF('Master Sheet'!C7="Area 1 (Meenu S)",'Master Sheet'!P7,"")</f>
        <v>Pending</v>
      </c>
    </row>
    <row r="7" spans="1:16" s="8" customFormat="1" ht="19.899999999999999" customHeight="1" x14ac:dyDescent="0.25">
      <c r="A7" s="7" t="str">
        <f>IF('Master Sheet'!C8="Area 1 (Meenu S)",'Master Sheet'!A8,"")</f>
        <v>P006</v>
      </c>
      <c r="B7" s="10" t="str">
        <f>IF('Master Sheet'!C8="Area 1 (Meenu S)",'Master Sheet'!B8,"")</f>
        <v>Latha , Vrayannur</v>
      </c>
      <c r="C7" s="7" t="s">
        <v>4</v>
      </c>
      <c r="D7" s="9">
        <f>IF('Master Sheet'!C8="Area 1 (Meenu S)",'Master Sheet'!D8,"")</f>
        <v>250</v>
      </c>
      <c r="E7" s="9">
        <f>IF('Master Sheet'!C8="Area 1 (Meenu S)",'Master Sheet'!E8,"")</f>
        <v>0</v>
      </c>
      <c r="F7" s="9">
        <f>IF('Master Sheet'!C8="Area 1 (Meenu S)",'Master Sheet'!F8,"")</f>
        <v>0</v>
      </c>
      <c r="G7" s="9">
        <f>IF('Master Sheet'!C8="Area 1 (Meenu S)",'Master Sheet'!G8,"")</f>
        <v>500</v>
      </c>
      <c r="H7" s="9">
        <f>IF('Master Sheet'!C8="Area 1 (Meenu S)",'Master Sheet'!H8,"")</f>
        <v>0</v>
      </c>
      <c r="I7" s="9">
        <f>IF('Master Sheet'!C8="Area 1 (Meenu S)",'Master Sheet'!I8,"")</f>
        <v>0</v>
      </c>
      <c r="J7" s="9" t="str">
        <f>IF('Master Sheet'!C8="Area 1 (Meenu S)",'Master Sheet'!J8,"")</f>
        <v>t</v>
      </c>
      <c r="K7" s="9">
        <f>IF('Master Sheet'!C8="Area 1 (Meenu S)",'Master Sheet'!K8,"")</f>
        <v>0</v>
      </c>
      <c r="L7" s="9">
        <f>IF('Master Sheet'!C8="Area 1 (Meenu S)",'Master Sheet'!L8,"")</f>
        <v>0</v>
      </c>
      <c r="M7" s="9">
        <f>IF('Master Sheet'!C8="Area 1 (Meenu S)",'Master Sheet'!M8,"")</f>
        <v>0</v>
      </c>
      <c r="N7" s="9">
        <f>IF('Master Sheet'!C8="Area 1 (Meenu S)",'Master Sheet'!N8,"")</f>
        <v>750</v>
      </c>
      <c r="O7" s="23">
        <f>IF('Master Sheet'!C8="Area 1 (Meenu S)",'Master Sheet'!O8,"")</f>
        <v>2750</v>
      </c>
      <c r="P7" s="9" t="str">
        <f>IF('Master Sheet'!C8="Area 1 (Meenu S)",'Master Sheet'!P8,"")</f>
        <v>Pending</v>
      </c>
    </row>
    <row r="8" spans="1:16" s="8" customFormat="1" ht="19.899999999999999" customHeight="1" x14ac:dyDescent="0.25">
      <c r="A8" s="7" t="str">
        <f>IF('Master Sheet'!C9="Area 1 (Meenu S)",'Master Sheet'!A9,"")</f>
        <v>P007</v>
      </c>
      <c r="B8" s="10" t="str">
        <f>IF('Master Sheet'!C9="Area 1 (Meenu S)",'Master Sheet'!B9,"")</f>
        <v>Viswapriya , Varayannur</v>
      </c>
      <c r="C8" s="7" t="s">
        <v>4</v>
      </c>
      <c r="D8" s="9">
        <f>IF('Master Sheet'!C9="Area 1 (Meenu S)",'Master Sheet'!D9,"")</f>
        <v>250</v>
      </c>
      <c r="E8" s="9">
        <f>IF('Master Sheet'!C9="Area 1 (Meenu S)",'Master Sheet'!E9,"")</f>
        <v>0</v>
      </c>
      <c r="F8" s="9">
        <f>IF('Master Sheet'!C9="Area 1 (Meenu S)",'Master Sheet'!F9,"")</f>
        <v>0</v>
      </c>
      <c r="G8" s="9">
        <f>IF('Master Sheet'!C9="Area 1 (Meenu S)",'Master Sheet'!G9,"")</f>
        <v>0</v>
      </c>
      <c r="H8" s="9">
        <f>IF('Master Sheet'!C9="Area 1 (Meenu S)",'Master Sheet'!H9,"")</f>
        <v>0</v>
      </c>
      <c r="I8" s="9">
        <f>IF('Master Sheet'!C9="Area 1 (Meenu S)",'Master Sheet'!I9,"")</f>
        <v>0</v>
      </c>
      <c r="J8" s="9">
        <f>IF('Master Sheet'!C9="Area 1 (Meenu S)",'Master Sheet'!J9,"")</f>
        <v>0</v>
      </c>
      <c r="K8" s="9">
        <f>IF('Master Sheet'!C9="Area 1 (Meenu S)",'Master Sheet'!K9,"")</f>
        <v>0</v>
      </c>
      <c r="L8" s="9">
        <f>IF('Master Sheet'!C9="Area 1 (Meenu S)",'Master Sheet'!L9,"")</f>
        <v>0</v>
      </c>
      <c r="M8" s="9">
        <f>IF('Master Sheet'!C9="Area 1 (Meenu S)",'Master Sheet'!M9,"")</f>
        <v>0</v>
      </c>
      <c r="N8" s="9">
        <f>IF('Master Sheet'!C9="Area 1 (Meenu S)",'Master Sheet'!N9,"")</f>
        <v>250</v>
      </c>
      <c r="O8" s="23">
        <f>IF('Master Sheet'!C9="Area 1 (Meenu S)",'Master Sheet'!O9,"")</f>
        <v>3250</v>
      </c>
      <c r="P8" s="9" t="str">
        <f>IF('Master Sheet'!C9="Area 1 (Meenu S)",'Master Sheet'!P9,"")</f>
        <v>Pending</v>
      </c>
    </row>
    <row r="9" spans="1:16" s="8" customFormat="1" ht="19.899999999999999" customHeight="1" x14ac:dyDescent="0.25">
      <c r="A9" s="7" t="str">
        <f>IF('Master Sheet'!C10="Area 1 (Meenu S)",'Master Sheet'!A10,"")</f>
        <v>P008</v>
      </c>
      <c r="B9" s="10" t="str">
        <f>IF('Master Sheet'!C10="Area 1 (Meenu S)",'Master Sheet'!B10,"")</f>
        <v>Ambili Varayannur</v>
      </c>
      <c r="C9" s="7" t="s">
        <v>4</v>
      </c>
      <c r="D9" s="9">
        <f>IF('Master Sheet'!C10="Area 1 (Meenu S)",'Master Sheet'!D10,"")</f>
        <v>250</v>
      </c>
      <c r="E9" s="9">
        <f>IF('Master Sheet'!C10="Area 1 (Meenu S)",'Master Sheet'!E10,"")</f>
        <v>0</v>
      </c>
      <c r="F9" s="9">
        <f>IF('Master Sheet'!C10="Area 1 (Meenu S)",'Master Sheet'!F10,"")</f>
        <v>0</v>
      </c>
      <c r="G9" s="9">
        <f>IF('Master Sheet'!C10="Area 1 (Meenu S)",'Master Sheet'!G10,"")</f>
        <v>500</v>
      </c>
      <c r="H9" s="9">
        <f>IF('Master Sheet'!C10="Area 1 (Meenu S)",'Master Sheet'!H10,"")</f>
        <v>0</v>
      </c>
      <c r="I9" s="9">
        <f>IF('Master Sheet'!C10="Area 1 (Meenu S)",'Master Sheet'!I10,"")</f>
        <v>0</v>
      </c>
      <c r="J9" s="9">
        <f>IF('Master Sheet'!C10="Area 1 (Meenu S)",'Master Sheet'!J10,"")</f>
        <v>0</v>
      </c>
      <c r="K9" s="9">
        <f>IF('Master Sheet'!C10="Area 1 (Meenu S)",'Master Sheet'!K10,"")</f>
        <v>0</v>
      </c>
      <c r="L9" s="9">
        <f>IF('Master Sheet'!C10="Area 1 (Meenu S)",'Master Sheet'!L10,"")</f>
        <v>0</v>
      </c>
      <c r="M9" s="9">
        <f>IF('Master Sheet'!C10="Area 1 (Meenu S)",'Master Sheet'!M10,"")</f>
        <v>0</v>
      </c>
      <c r="N9" s="9">
        <f>IF('Master Sheet'!C10="Area 1 (Meenu S)",'Master Sheet'!N10,"")</f>
        <v>750</v>
      </c>
      <c r="O9" s="23">
        <f>IF('Master Sheet'!C10="Area 1 (Meenu S)",'Master Sheet'!O10,"")</f>
        <v>2750</v>
      </c>
      <c r="P9" s="9" t="str">
        <f>IF('Master Sheet'!C10="Area 1 (Meenu S)",'Master Sheet'!P10,"")</f>
        <v>Pending</v>
      </c>
    </row>
    <row r="10" spans="1:16" s="8" customFormat="1" ht="19.899999999999999" customHeight="1" x14ac:dyDescent="0.25">
      <c r="A10" s="7" t="str">
        <f>IF('Master Sheet'!C11="Area 1 (Meenu S)",'Master Sheet'!A11,"")</f>
        <v>P009</v>
      </c>
      <c r="B10" s="10" t="str">
        <f>IF('Master Sheet'!C11="Area 1 (Meenu S)",'Master Sheet'!B11,"")</f>
        <v>Ambili Varayannur</v>
      </c>
      <c r="C10" s="7" t="s">
        <v>4</v>
      </c>
      <c r="D10" s="9">
        <f>IF('Master Sheet'!C11="Area 1 (Meenu S)",'Master Sheet'!D11,"")</f>
        <v>250</v>
      </c>
      <c r="E10" s="9">
        <f>IF('Master Sheet'!C11="Area 1 (Meenu S)",'Master Sheet'!E11,"")</f>
        <v>0</v>
      </c>
      <c r="F10" s="9">
        <f>IF('Master Sheet'!C11="Area 1 (Meenu S)",'Master Sheet'!F11,"")</f>
        <v>0</v>
      </c>
      <c r="G10" s="9">
        <f>IF('Master Sheet'!C11="Area 1 (Meenu S)",'Master Sheet'!G11,"")</f>
        <v>0</v>
      </c>
      <c r="H10" s="9">
        <f>IF('Master Sheet'!C11="Area 1 (Meenu S)",'Master Sheet'!H11,"")</f>
        <v>0</v>
      </c>
      <c r="I10" s="9">
        <f>IF('Master Sheet'!C11="Area 1 (Meenu S)",'Master Sheet'!I11,"")</f>
        <v>0</v>
      </c>
      <c r="J10" s="9">
        <f>IF('Master Sheet'!C11="Area 1 (Meenu S)",'Master Sheet'!J11,"")</f>
        <v>0</v>
      </c>
      <c r="K10" s="9">
        <f>IF('Master Sheet'!C11="Area 1 (Meenu S)",'Master Sheet'!K11,"")</f>
        <v>0</v>
      </c>
      <c r="L10" s="9">
        <f>IF('Master Sheet'!C11="Area 1 (Meenu S)",'Master Sheet'!L11,"")</f>
        <v>0</v>
      </c>
      <c r="M10" s="9">
        <f>IF('Master Sheet'!C11="Area 1 (Meenu S)",'Master Sheet'!M11,"")</f>
        <v>0</v>
      </c>
      <c r="N10" s="9">
        <f>IF('Master Sheet'!C11="Area 1 (Meenu S)",'Master Sheet'!N11,"")</f>
        <v>250</v>
      </c>
      <c r="O10" s="23">
        <f>IF('Master Sheet'!C11="Area 1 (Meenu S)",'Master Sheet'!O11,"")</f>
        <v>3250</v>
      </c>
      <c r="P10" s="9" t="str">
        <f>IF('Master Sheet'!C11="Area 1 (Meenu S)",'Master Sheet'!P11,"")</f>
        <v>Pending</v>
      </c>
    </row>
    <row r="11" spans="1:16" s="8" customFormat="1" ht="19.899999999999999" customHeight="1" x14ac:dyDescent="0.25">
      <c r="A11" s="7" t="str">
        <f>IF('Master Sheet'!C12="Area 1 (Meenu S)",'Master Sheet'!A12,"")</f>
        <v>P010</v>
      </c>
      <c r="B11" s="10" t="str">
        <f>IF('Master Sheet'!C12="Area 1 (Meenu S)",'Master Sheet'!B12,"")</f>
        <v>Lakshmi Ajeesh , Poovathur</v>
      </c>
      <c r="C11" s="7" t="s">
        <v>4</v>
      </c>
      <c r="D11" s="9">
        <f>IF('Master Sheet'!C12="Area 1 (Meenu S)",'Master Sheet'!D12,"")</f>
        <v>0</v>
      </c>
      <c r="E11" s="9">
        <f>IF('Master Sheet'!C12="Area 1 (Meenu S)",'Master Sheet'!E12,"")</f>
        <v>0</v>
      </c>
      <c r="F11" s="9">
        <f>IF('Master Sheet'!C12="Area 1 (Meenu S)",'Master Sheet'!F12,"")</f>
        <v>0</v>
      </c>
      <c r="G11" s="9">
        <f>IF('Master Sheet'!C12="Area 1 (Meenu S)",'Master Sheet'!G12,"")</f>
        <v>0</v>
      </c>
      <c r="H11" s="9">
        <f>IF('Master Sheet'!C12="Area 1 (Meenu S)",'Master Sheet'!H12,"")</f>
        <v>0</v>
      </c>
      <c r="I11" s="9">
        <f>IF('Master Sheet'!C12="Area 1 (Meenu S)",'Master Sheet'!I12,"")</f>
        <v>0</v>
      </c>
      <c r="J11" s="9">
        <f>IF('Master Sheet'!C12="Area 1 (Meenu S)",'Master Sheet'!J12,"")</f>
        <v>0</v>
      </c>
      <c r="K11" s="9">
        <f>IF('Master Sheet'!C12="Area 1 (Meenu S)",'Master Sheet'!K12,"")</f>
        <v>0</v>
      </c>
      <c r="L11" s="9">
        <f>IF('Master Sheet'!C12="Area 1 (Meenu S)",'Master Sheet'!L12,"")</f>
        <v>0</v>
      </c>
      <c r="M11" s="9">
        <f>IF('Master Sheet'!C12="Area 1 (Meenu S)",'Master Sheet'!M12,"")</f>
        <v>0</v>
      </c>
      <c r="N11" s="9">
        <f>IF('Master Sheet'!C12="Area 1 (Meenu S)",'Master Sheet'!N12,"")</f>
        <v>0</v>
      </c>
      <c r="O11" s="23">
        <f>IF('Master Sheet'!C12="Area 1 (Meenu S)",'Master Sheet'!O12,"")</f>
        <v>3500</v>
      </c>
      <c r="P11" s="9" t="str">
        <f>IF('Master Sheet'!C12="Area 1 (Meenu S)",'Master Sheet'!P12,"")</f>
        <v>Pending</v>
      </c>
    </row>
    <row r="12" spans="1:16" s="8" customFormat="1" ht="19.899999999999999" customHeight="1" x14ac:dyDescent="0.25">
      <c r="A12" s="7" t="str">
        <f>IF('Master Sheet'!C13="Area 1 (Meenu S)",'Master Sheet'!A13,"")</f>
        <v>P011</v>
      </c>
      <c r="B12" s="10" t="str">
        <f>IF('Master Sheet'!C13="Area 1 (Meenu S)",'Master Sheet'!B13,"")</f>
        <v>Seema Manoj , Poovathur</v>
      </c>
      <c r="C12" s="7" t="s">
        <v>4</v>
      </c>
      <c r="D12" s="9">
        <f>IF('Master Sheet'!C13="Area 1 (Meenu S)",'Master Sheet'!D13,"")</f>
        <v>0</v>
      </c>
      <c r="E12" s="9">
        <f>IF('Master Sheet'!C13="Area 1 (Meenu S)",'Master Sheet'!E13,"")</f>
        <v>0</v>
      </c>
      <c r="F12" s="9">
        <f>IF('Master Sheet'!C13="Area 1 (Meenu S)",'Master Sheet'!F13,"")</f>
        <v>0</v>
      </c>
      <c r="G12" s="9">
        <f>IF('Master Sheet'!C13="Area 1 (Meenu S)",'Master Sheet'!G13,"")</f>
        <v>0</v>
      </c>
      <c r="H12" s="9">
        <f>IF('Master Sheet'!C13="Area 1 (Meenu S)",'Master Sheet'!H13,"")</f>
        <v>0</v>
      </c>
      <c r="I12" s="9">
        <f>IF('Master Sheet'!C13="Area 1 (Meenu S)",'Master Sheet'!I13,"")</f>
        <v>0</v>
      </c>
      <c r="J12" s="9">
        <f>IF('Master Sheet'!C13="Area 1 (Meenu S)",'Master Sheet'!J13,"")</f>
        <v>0</v>
      </c>
      <c r="K12" s="9">
        <f>IF('Master Sheet'!C13="Area 1 (Meenu S)",'Master Sheet'!K13,"")</f>
        <v>0</v>
      </c>
      <c r="L12" s="9">
        <f>IF('Master Sheet'!C13="Area 1 (Meenu S)",'Master Sheet'!L13,"")</f>
        <v>0</v>
      </c>
      <c r="M12" s="9">
        <f>IF('Master Sheet'!C13="Area 1 (Meenu S)",'Master Sheet'!M13,"")</f>
        <v>0</v>
      </c>
      <c r="N12" s="9">
        <f>IF('Master Sheet'!C13="Area 1 (Meenu S)",'Master Sheet'!N13,"")</f>
        <v>0</v>
      </c>
      <c r="O12" s="23">
        <f>IF('Master Sheet'!C13="Area 1 (Meenu S)",'Master Sheet'!O13,"")</f>
        <v>3500</v>
      </c>
      <c r="P12" s="9" t="str">
        <f>IF('Master Sheet'!C13="Area 1 (Meenu S)",'Master Sheet'!P13,"")</f>
        <v>Pending</v>
      </c>
    </row>
    <row r="13" spans="1:16" s="8" customFormat="1" ht="19.899999999999999" customHeight="1" x14ac:dyDescent="0.25">
      <c r="A13" s="7" t="str">
        <f>IF('Master Sheet'!C14="Area 1 (Meenu S)",'Master Sheet'!A14,"")</f>
        <v>P012</v>
      </c>
      <c r="B13" s="10" t="str">
        <f>IF('Master Sheet'!C14="Area 1 (Meenu S)",'Master Sheet'!B14,"")</f>
        <v>Seema Manoj , Poovathur</v>
      </c>
      <c r="C13" s="7" t="s">
        <v>4</v>
      </c>
      <c r="D13" s="9">
        <f>IF('Master Sheet'!C14="Area 1 (Meenu S)",'Master Sheet'!D14,"")</f>
        <v>0</v>
      </c>
      <c r="E13" s="9">
        <f>IF('Master Sheet'!C14="Area 1 (Meenu S)",'Master Sheet'!E14,"")</f>
        <v>0</v>
      </c>
      <c r="F13" s="9">
        <f>IF('Master Sheet'!C14="Area 1 (Meenu S)",'Master Sheet'!F14,"")</f>
        <v>0</v>
      </c>
      <c r="G13" s="9">
        <f>IF('Master Sheet'!C14="Area 1 (Meenu S)",'Master Sheet'!G14,"")</f>
        <v>0</v>
      </c>
      <c r="H13" s="9">
        <f>IF('Master Sheet'!C14="Area 1 (Meenu S)",'Master Sheet'!H14,"")</f>
        <v>0</v>
      </c>
      <c r="I13" s="9">
        <f>IF('Master Sheet'!C14="Area 1 (Meenu S)",'Master Sheet'!I14,"")</f>
        <v>0</v>
      </c>
      <c r="J13" s="9">
        <f>IF('Master Sheet'!C14="Area 1 (Meenu S)",'Master Sheet'!J14,"")</f>
        <v>0</v>
      </c>
      <c r="K13" s="9">
        <f>IF('Master Sheet'!C14="Area 1 (Meenu S)",'Master Sheet'!K14,"")</f>
        <v>0</v>
      </c>
      <c r="L13" s="9">
        <f>IF('Master Sheet'!C14="Area 1 (Meenu S)",'Master Sheet'!L14,"")</f>
        <v>0</v>
      </c>
      <c r="M13" s="9">
        <f>IF('Master Sheet'!C14="Area 1 (Meenu S)",'Master Sheet'!M14,"")</f>
        <v>0</v>
      </c>
      <c r="N13" s="9">
        <f>IF('Master Sheet'!C14="Area 1 (Meenu S)",'Master Sheet'!N14,"")</f>
        <v>0</v>
      </c>
      <c r="O13" s="23">
        <f>IF('Master Sheet'!C14="Area 1 (Meenu S)",'Master Sheet'!O14,"")</f>
        <v>3500</v>
      </c>
      <c r="P13" s="9" t="str">
        <f>IF('Master Sheet'!C14="Area 1 (Meenu S)",'Master Sheet'!P14,"")</f>
        <v>Pending</v>
      </c>
    </row>
    <row r="14" spans="1:16" s="8" customFormat="1" ht="19.899999999999999" customHeight="1" x14ac:dyDescent="0.25">
      <c r="A14" s="7" t="str">
        <f>IF('Master Sheet'!C15="Area 1 (Meenu S)",'Master Sheet'!A15,"")</f>
        <v>P013</v>
      </c>
      <c r="B14" s="10" t="str">
        <f>IF('Master Sheet'!C15="Area 1 (Meenu S)",'Master Sheet'!B15,"")</f>
        <v>Shyla Pradeep , Poovathur</v>
      </c>
      <c r="C14" s="7" t="s">
        <v>4</v>
      </c>
      <c r="D14" s="9">
        <f>IF('Master Sheet'!C15="Area 1 (Meenu S)",'Master Sheet'!D15,"")</f>
        <v>0</v>
      </c>
      <c r="E14" s="9">
        <f>IF('Master Sheet'!C15="Area 1 (Meenu S)",'Master Sheet'!E15,"")</f>
        <v>0</v>
      </c>
      <c r="F14" s="9">
        <f>IF('Master Sheet'!C15="Area 1 (Meenu S)",'Master Sheet'!F15,"")</f>
        <v>0</v>
      </c>
      <c r="G14" s="9">
        <f>IF('Master Sheet'!C15="Area 1 (Meenu S)",'Master Sheet'!G15,"")</f>
        <v>0</v>
      </c>
      <c r="H14" s="9">
        <f>IF('Master Sheet'!C15="Area 1 (Meenu S)",'Master Sheet'!H15,"")</f>
        <v>0</v>
      </c>
      <c r="I14" s="9">
        <f>IF('Master Sheet'!C15="Area 1 (Meenu S)",'Master Sheet'!I15,"")</f>
        <v>0</v>
      </c>
      <c r="J14" s="9">
        <f>IF('Master Sheet'!C15="Area 1 (Meenu S)",'Master Sheet'!J15,"")</f>
        <v>0</v>
      </c>
      <c r="K14" s="9">
        <f>IF('Master Sheet'!C15="Area 1 (Meenu S)",'Master Sheet'!K15,"")</f>
        <v>0</v>
      </c>
      <c r="L14" s="9">
        <f>IF('Master Sheet'!C15="Area 1 (Meenu S)",'Master Sheet'!L15,"")</f>
        <v>0</v>
      </c>
      <c r="M14" s="9">
        <f>IF('Master Sheet'!C15="Area 1 (Meenu S)",'Master Sheet'!M15,"")</f>
        <v>0</v>
      </c>
      <c r="N14" s="9">
        <f>IF('Master Sheet'!C15="Area 1 (Meenu S)",'Master Sheet'!N15,"")</f>
        <v>0</v>
      </c>
      <c r="O14" s="23">
        <f>IF('Master Sheet'!C15="Area 1 (Meenu S)",'Master Sheet'!O15,"")</f>
        <v>3500</v>
      </c>
      <c r="P14" s="9" t="str">
        <f>IF('Master Sheet'!C15="Area 1 (Meenu S)",'Master Sheet'!P15,"")</f>
        <v>Pending</v>
      </c>
    </row>
    <row r="15" spans="1:16" s="8" customFormat="1" ht="19.899999999999999" customHeight="1" x14ac:dyDescent="0.25">
      <c r="A15" s="7" t="str">
        <f>IF('Master Sheet'!C16="Area 1 (Meenu S)",'Master Sheet'!A16,"")</f>
        <v>P014</v>
      </c>
      <c r="B15" s="10" t="str">
        <f>IF('Master Sheet'!C16="Area 1 (Meenu S)",'Master Sheet'!B16,"")</f>
        <v>Sreeja , Poovathur</v>
      </c>
      <c r="C15" s="7" t="s">
        <v>4</v>
      </c>
      <c r="D15" s="9">
        <f>IF('Master Sheet'!C16="Area 1 (Meenu S)",'Master Sheet'!D16,"")</f>
        <v>0</v>
      </c>
      <c r="E15" s="9">
        <f>IF('Master Sheet'!C16="Area 1 (Meenu S)",'Master Sheet'!E16,"")</f>
        <v>0</v>
      </c>
      <c r="F15" s="9">
        <f>IF('Master Sheet'!C16="Area 1 (Meenu S)",'Master Sheet'!F16,"")</f>
        <v>350</v>
      </c>
      <c r="G15" s="9">
        <f>IF('Master Sheet'!C16="Area 1 (Meenu S)",'Master Sheet'!G16,"")</f>
        <v>0</v>
      </c>
      <c r="H15" s="9">
        <f>IF('Master Sheet'!C16="Area 1 (Meenu S)",'Master Sheet'!H16,"")</f>
        <v>0</v>
      </c>
      <c r="I15" s="9">
        <f>IF('Master Sheet'!C16="Area 1 (Meenu S)",'Master Sheet'!I16,"")</f>
        <v>0</v>
      </c>
      <c r="J15" s="9">
        <f>IF('Master Sheet'!C16="Area 1 (Meenu S)",'Master Sheet'!J16,"")</f>
        <v>0</v>
      </c>
      <c r="K15" s="9">
        <f>IF('Master Sheet'!C16="Area 1 (Meenu S)",'Master Sheet'!K16,"")</f>
        <v>0</v>
      </c>
      <c r="L15" s="9">
        <f>IF('Master Sheet'!C16="Area 1 (Meenu S)",'Master Sheet'!L16,"")</f>
        <v>0</v>
      </c>
      <c r="M15" s="9">
        <f>IF('Master Sheet'!C16="Area 1 (Meenu S)",'Master Sheet'!M16,"")</f>
        <v>0</v>
      </c>
      <c r="N15" s="9">
        <f>IF('Master Sheet'!C16="Area 1 (Meenu S)",'Master Sheet'!N16,"")</f>
        <v>350</v>
      </c>
      <c r="O15" s="23">
        <f>IF('Master Sheet'!C16="Area 1 (Meenu S)",'Master Sheet'!O16,"")</f>
        <v>3150</v>
      </c>
      <c r="P15" s="9" t="str">
        <f>IF('Master Sheet'!C16="Area 1 (Meenu S)",'Master Sheet'!P16,"")</f>
        <v>Pending</v>
      </c>
    </row>
    <row r="16" spans="1:16" s="8" customFormat="1" ht="19.899999999999999" customHeight="1" x14ac:dyDescent="0.25">
      <c r="A16" s="7" t="str">
        <f>IF('Master Sheet'!C17="Area 1 (Meenu S)",'Master Sheet'!A17,"")</f>
        <v>P015</v>
      </c>
      <c r="B16" s="10" t="str">
        <f>IF('Master Sheet'!C17="Area 1 (Meenu S)",'Master Sheet'!B17,"")</f>
        <v>Ambika , Poovathur</v>
      </c>
      <c r="C16" s="7" t="s">
        <v>4</v>
      </c>
      <c r="D16" s="9">
        <f>IF('Master Sheet'!C17="Area 1 (Meenu S)",'Master Sheet'!D17,"")</f>
        <v>0</v>
      </c>
      <c r="E16" s="9">
        <f>IF('Master Sheet'!C17="Area 1 (Meenu S)",'Master Sheet'!E17,"")</f>
        <v>0</v>
      </c>
      <c r="F16" s="9">
        <f>IF('Master Sheet'!C17="Area 1 (Meenu S)",'Master Sheet'!F17,"")</f>
        <v>0</v>
      </c>
      <c r="G16" s="9">
        <f>IF('Master Sheet'!C17="Area 1 (Meenu S)",'Master Sheet'!G17,"")</f>
        <v>0</v>
      </c>
      <c r="H16" s="9">
        <f>IF('Master Sheet'!C17="Area 1 (Meenu S)",'Master Sheet'!H17,"")</f>
        <v>0</v>
      </c>
      <c r="I16" s="9">
        <f>IF('Master Sheet'!C17="Area 1 (Meenu S)",'Master Sheet'!I17,"")</f>
        <v>0</v>
      </c>
      <c r="J16" s="9">
        <f>IF('Master Sheet'!C17="Area 1 (Meenu S)",'Master Sheet'!J17,"")</f>
        <v>0</v>
      </c>
      <c r="K16" s="9">
        <f>IF('Master Sheet'!C17="Area 1 (Meenu S)",'Master Sheet'!K17,"")</f>
        <v>0</v>
      </c>
      <c r="L16" s="9">
        <f>IF('Master Sheet'!C17="Area 1 (Meenu S)",'Master Sheet'!L17,"")</f>
        <v>0</v>
      </c>
      <c r="M16" s="9">
        <f>IF('Master Sheet'!C17="Area 1 (Meenu S)",'Master Sheet'!M17,"")</f>
        <v>0</v>
      </c>
      <c r="N16" s="9">
        <f>IF('Master Sheet'!C17="Area 1 (Meenu S)",'Master Sheet'!N17,"")</f>
        <v>0</v>
      </c>
      <c r="O16" s="23">
        <f>IF('Master Sheet'!C17="Area 1 (Meenu S)",'Master Sheet'!O17,"")</f>
        <v>3500</v>
      </c>
      <c r="P16" s="9" t="str">
        <f>IF('Master Sheet'!C17="Area 1 (Meenu S)",'Master Sheet'!P17,"")</f>
        <v>Pending</v>
      </c>
    </row>
    <row r="17" spans="1:16" s="8" customFormat="1" ht="19.899999999999999" customHeight="1" x14ac:dyDescent="0.25">
      <c r="A17" s="7" t="str">
        <f>IF('Master Sheet'!C18="Area 1 (Meenu S)",'Master Sheet'!A18,"")</f>
        <v>P016</v>
      </c>
      <c r="B17" s="10" t="str">
        <f>IF('Master Sheet'!C18="Area 1 (Meenu S)",'Master Sheet'!B18,"")</f>
        <v>Usha , Poovathur</v>
      </c>
      <c r="C17" s="7" t="s">
        <v>4</v>
      </c>
      <c r="D17" s="9">
        <f>IF('Master Sheet'!C18="Area 1 (Meenu S)",'Master Sheet'!D18,"")</f>
        <v>0</v>
      </c>
      <c r="E17" s="9">
        <f>IF('Master Sheet'!C18="Area 1 (Meenu S)",'Master Sheet'!E18,"")</f>
        <v>0</v>
      </c>
      <c r="F17" s="9">
        <f>IF('Master Sheet'!C18="Area 1 (Meenu S)",'Master Sheet'!F18,"")</f>
        <v>0</v>
      </c>
      <c r="G17" s="9">
        <f>IF('Master Sheet'!C18="Area 1 (Meenu S)",'Master Sheet'!G18,"")</f>
        <v>500</v>
      </c>
      <c r="H17" s="9">
        <f>IF('Master Sheet'!C18="Area 1 (Meenu S)",'Master Sheet'!H18,"")</f>
        <v>0</v>
      </c>
      <c r="I17" s="9">
        <f>IF('Master Sheet'!C18="Area 1 (Meenu S)",'Master Sheet'!I18,"")</f>
        <v>0</v>
      </c>
      <c r="J17" s="9">
        <f>IF('Master Sheet'!C18="Area 1 (Meenu S)",'Master Sheet'!J18,"")</f>
        <v>0</v>
      </c>
      <c r="K17" s="9">
        <f>IF('Master Sheet'!C18="Area 1 (Meenu S)",'Master Sheet'!K18,"")</f>
        <v>0</v>
      </c>
      <c r="L17" s="9">
        <f>IF('Master Sheet'!C18="Area 1 (Meenu S)",'Master Sheet'!L18,"")</f>
        <v>0</v>
      </c>
      <c r="M17" s="9">
        <f>IF('Master Sheet'!C18="Area 1 (Meenu S)",'Master Sheet'!M18,"")</f>
        <v>0</v>
      </c>
      <c r="N17" s="9">
        <f>IF('Master Sheet'!C18="Area 1 (Meenu S)",'Master Sheet'!N18,"")</f>
        <v>500</v>
      </c>
      <c r="O17" s="23">
        <f>IF('Master Sheet'!C18="Area 1 (Meenu S)",'Master Sheet'!O18,"")</f>
        <v>3000</v>
      </c>
      <c r="P17" s="9" t="str">
        <f>IF('Master Sheet'!C18="Area 1 (Meenu S)",'Master Sheet'!P18,"")</f>
        <v>Pending</v>
      </c>
    </row>
    <row r="18" spans="1:16" s="8" customFormat="1" ht="19.899999999999999" customHeight="1" x14ac:dyDescent="0.25">
      <c r="A18" s="7" t="str">
        <f>IF('Master Sheet'!C19="Area 1 (Meenu S)",'Master Sheet'!A19,"")</f>
        <v>P017</v>
      </c>
      <c r="B18" s="10" t="str">
        <f>IF('Master Sheet'!C19="Area 1 (Meenu S)",'Master Sheet'!B19,"")</f>
        <v>Latha Shaji , Poovathur</v>
      </c>
      <c r="C18" s="7" t="s">
        <v>4</v>
      </c>
      <c r="D18" s="9">
        <f>IF('Master Sheet'!C19="Area 1 (Meenu S)",'Master Sheet'!D19,"")</f>
        <v>0</v>
      </c>
      <c r="E18" s="9">
        <f>IF('Master Sheet'!C19="Area 1 (Meenu S)",'Master Sheet'!E19,"")</f>
        <v>0</v>
      </c>
      <c r="F18" s="9">
        <f>IF('Master Sheet'!C19="Area 1 (Meenu S)",'Master Sheet'!F19,"")</f>
        <v>0</v>
      </c>
      <c r="G18" s="9">
        <f>IF('Master Sheet'!C19="Area 1 (Meenu S)",'Master Sheet'!G19,"")</f>
        <v>0</v>
      </c>
      <c r="H18" s="9">
        <f>IF('Master Sheet'!C19="Area 1 (Meenu S)",'Master Sheet'!H19,"")</f>
        <v>0</v>
      </c>
      <c r="I18" s="9">
        <f>IF('Master Sheet'!C19="Area 1 (Meenu S)",'Master Sheet'!I19,"")</f>
        <v>0</v>
      </c>
      <c r="J18" s="9">
        <f>IF('Master Sheet'!C19="Area 1 (Meenu S)",'Master Sheet'!J19,"")</f>
        <v>0</v>
      </c>
      <c r="K18" s="9">
        <f>IF('Master Sheet'!C19="Area 1 (Meenu S)",'Master Sheet'!K19,"")</f>
        <v>0</v>
      </c>
      <c r="L18" s="9">
        <f>IF('Master Sheet'!C19="Area 1 (Meenu S)",'Master Sheet'!L19,"")</f>
        <v>0</v>
      </c>
      <c r="M18" s="9">
        <f>IF('Master Sheet'!C19="Area 1 (Meenu S)",'Master Sheet'!M19,"")</f>
        <v>0</v>
      </c>
      <c r="N18" s="9">
        <f>IF('Master Sheet'!C19="Area 1 (Meenu S)",'Master Sheet'!N19,"")</f>
        <v>0</v>
      </c>
      <c r="O18" s="23">
        <f>IF('Master Sheet'!C19="Area 1 (Meenu S)",'Master Sheet'!O19,"")</f>
        <v>3500</v>
      </c>
      <c r="P18" s="9" t="str">
        <f>IF('Master Sheet'!C19="Area 1 (Meenu S)",'Master Sheet'!P19,"")</f>
        <v>Pending</v>
      </c>
    </row>
    <row r="19" spans="1:16" s="8" customFormat="1" ht="19.899999999999999" customHeight="1" x14ac:dyDescent="0.25">
      <c r="A19" s="7" t="str">
        <f>IF('Master Sheet'!C20="Area 1 (Meenu S)",'Master Sheet'!A20,"")</f>
        <v>P018</v>
      </c>
      <c r="B19" s="10" t="str">
        <f>IF('Master Sheet'!C20="Area 1 (Meenu S)",'Master Sheet'!B20,"")</f>
        <v>Smitha ,Poovathur</v>
      </c>
      <c r="C19" s="7" t="s">
        <v>4</v>
      </c>
      <c r="D19" s="9">
        <f>IF('Master Sheet'!C20="Area 1 (Meenu S)",'Master Sheet'!D20,"")</f>
        <v>1000</v>
      </c>
      <c r="E19" s="9">
        <f>IF('Master Sheet'!C20="Area 1 (Meenu S)",'Master Sheet'!E20,"")</f>
        <v>0</v>
      </c>
      <c r="F19" s="9">
        <f>IF('Master Sheet'!C20="Area 1 (Meenu S)",'Master Sheet'!F20,"")</f>
        <v>0</v>
      </c>
      <c r="G19" s="9">
        <f>IF('Master Sheet'!C20="Area 1 (Meenu S)",'Master Sheet'!G20,"")</f>
        <v>0</v>
      </c>
      <c r="H19" s="9">
        <f>IF('Master Sheet'!C20="Area 1 (Meenu S)",'Master Sheet'!H20,"")</f>
        <v>0</v>
      </c>
      <c r="I19" s="9">
        <f>IF('Master Sheet'!C20="Area 1 (Meenu S)",'Master Sheet'!I20,"")</f>
        <v>0</v>
      </c>
      <c r="J19" s="9">
        <f>IF('Master Sheet'!C20="Area 1 (Meenu S)",'Master Sheet'!J20,"")</f>
        <v>0</v>
      </c>
      <c r="K19" s="9">
        <f>IF('Master Sheet'!C20="Area 1 (Meenu S)",'Master Sheet'!K20,"")</f>
        <v>0</v>
      </c>
      <c r="L19" s="9">
        <f>IF('Master Sheet'!C20="Area 1 (Meenu S)",'Master Sheet'!L20,"")</f>
        <v>0</v>
      </c>
      <c r="M19" s="9">
        <f>IF('Master Sheet'!C20="Area 1 (Meenu S)",'Master Sheet'!M20,"")</f>
        <v>0</v>
      </c>
      <c r="N19" s="9">
        <f>IF('Master Sheet'!C20="Area 1 (Meenu S)",'Master Sheet'!N20,"")</f>
        <v>1000</v>
      </c>
      <c r="O19" s="23">
        <f>IF('Master Sheet'!C20="Area 1 (Meenu S)",'Master Sheet'!O20,"")</f>
        <v>2500</v>
      </c>
      <c r="P19" s="9" t="str">
        <f>IF('Master Sheet'!C20="Area 1 (Meenu S)",'Master Sheet'!P20,"")</f>
        <v>Pending</v>
      </c>
    </row>
    <row r="20" spans="1:16" s="8" customFormat="1" ht="19.899999999999999" customHeight="1" x14ac:dyDescent="0.25">
      <c r="A20" s="7" t="str">
        <f>IF('Master Sheet'!C21="Area 1 (Meenu S)",'Master Sheet'!A21,"")</f>
        <v>P019</v>
      </c>
      <c r="B20" s="10" t="str">
        <f>IF('Master Sheet'!C21="Area 1 (Meenu S)",'Master Sheet'!B21,"")</f>
        <v>Harish , Chengannur</v>
      </c>
      <c r="C20" s="7" t="s">
        <v>4</v>
      </c>
      <c r="D20" s="9">
        <f>IF('Master Sheet'!C21="Area 1 (Meenu S)",'Master Sheet'!D21,"")</f>
        <v>0</v>
      </c>
      <c r="E20" s="9">
        <f>IF('Master Sheet'!C21="Area 1 (Meenu S)",'Master Sheet'!E21,"")</f>
        <v>0</v>
      </c>
      <c r="F20" s="9">
        <f>IF('Master Sheet'!C21="Area 1 (Meenu S)",'Master Sheet'!F21,"")</f>
        <v>0</v>
      </c>
      <c r="G20" s="9">
        <f>IF('Master Sheet'!C21="Area 1 (Meenu S)",'Master Sheet'!G21,"")</f>
        <v>1000</v>
      </c>
      <c r="H20" s="9">
        <f>IF('Master Sheet'!C21="Area 1 (Meenu S)",'Master Sheet'!H21,"")</f>
        <v>0</v>
      </c>
      <c r="I20" s="9">
        <f>IF('Master Sheet'!C21="Area 1 (Meenu S)",'Master Sheet'!I21,"")</f>
        <v>0</v>
      </c>
      <c r="J20" s="9">
        <f>IF('Master Sheet'!C21="Area 1 (Meenu S)",'Master Sheet'!J21,"")</f>
        <v>0</v>
      </c>
      <c r="K20" s="9">
        <f>IF('Master Sheet'!C21="Area 1 (Meenu S)",'Master Sheet'!K21,"")</f>
        <v>0</v>
      </c>
      <c r="L20" s="9">
        <f>IF('Master Sheet'!C21="Area 1 (Meenu S)",'Master Sheet'!L21,"")</f>
        <v>0</v>
      </c>
      <c r="M20" s="9">
        <f>IF('Master Sheet'!C21="Area 1 (Meenu S)",'Master Sheet'!M21,"")</f>
        <v>0</v>
      </c>
      <c r="N20" s="9">
        <f>IF('Master Sheet'!C21="Area 1 (Meenu S)",'Master Sheet'!N21,"")</f>
        <v>1000</v>
      </c>
      <c r="O20" s="23">
        <f>IF('Master Sheet'!C21="Area 1 (Meenu S)",'Master Sheet'!O21,"")</f>
        <v>2500</v>
      </c>
      <c r="P20" s="9" t="str">
        <f>IF('Master Sheet'!C21="Area 1 (Meenu S)",'Master Sheet'!P21,"")</f>
        <v>Pending</v>
      </c>
    </row>
    <row r="21" spans="1:16" s="8" customFormat="1" ht="19.899999999999999" customHeight="1" x14ac:dyDescent="0.25">
      <c r="A21" s="7" t="str">
        <f>IF('Master Sheet'!C22="Area 1 (Meenu S)",'Master Sheet'!A22,"")</f>
        <v>P020</v>
      </c>
      <c r="B21" s="10" t="str">
        <f>IF('Master Sheet'!C22="Area 1 (Meenu S)",'Master Sheet'!B22,"")</f>
        <v>Bhaskaran Nukathala</v>
      </c>
      <c r="C21" s="7" t="s">
        <v>4</v>
      </c>
      <c r="D21" s="9">
        <f>IF('Master Sheet'!C22="Area 1 (Meenu S)",'Master Sheet'!D22,"")</f>
        <v>0</v>
      </c>
      <c r="E21" s="9">
        <f>IF('Master Sheet'!C22="Area 1 (Meenu S)",'Master Sheet'!E22,"")</f>
        <v>0</v>
      </c>
      <c r="F21" s="9">
        <f>IF('Master Sheet'!C22="Area 1 (Meenu S)",'Master Sheet'!F22,"")</f>
        <v>500</v>
      </c>
      <c r="G21" s="9">
        <f>IF('Master Sheet'!C22="Area 1 (Meenu S)",'Master Sheet'!G22,"")</f>
        <v>0</v>
      </c>
      <c r="H21" s="9">
        <f>IF('Master Sheet'!C22="Area 1 (Meenu S)",'Master Sheet'!H22,"")</f>
        <v>0</v>
      </c>
      <c r="I21" s="9">
        <f>IF('Master Sheet'!C22="Area 1 (Meenu S)",'Master Sheet'!I22,"")</f>
        <v>0</v>
      </c>
      <c r="J21" s="9">
        <f>IF('Master Sheet'!C22="Area 1 (Meenu S)",'Master Sheet'!J22,"")</f>
        <v>0</v>
      </c>
      <c r="K21" s="9">
        <f>IF('Master Sheet'!C22="Area 1 (Meenu S)",'Master Sheet'!K22,"")</f>
        <v>0</v>
      </c>
      <c r="L21" s="9">
        <f>IF('Master Sheet'!C22="Area 1 (Meenu S)",'Master Sheet'!L22,"")</f>
        <v>0</v>
      </c>
      <c r="M21" s="9">
        <f>IF('Master Sheet'!C22="Area 1 (Meenu S)",'Master Sheet'!M22,"")</f>
        <v>0</v>
      </c>
      <c r="N21" s="9">
        <f>IF('Master Sheet'!C22="Area 1 (Meenu S)",'Master Sheet'!N22,"")</f>
        <v>500</v>
      </c>
      <c r="O21" s="23">
        <f>IF('Master Sheet'!C22="Area 1 (Meenu S)",'Master Sheet'!O22,"")</f>
        <v>3000</v>
      </c>
      <c r="P21" s="9" t="str">
        <f>IF('Master Sheet'!C22="Area 1 (Meenu S)",'Master Sheet'!P22,"")</f>
        <v>Pending</v>
      </c>
    </row>
    <row r="22" spans="1:16" s="8" customFormat="1" ht="19.899999999999999" customHeight="1" x14ac:dyDescent="0.25">
      <c r="A22" s="7" t="str">
        <f>IF('Master Sheet'!C23="Area 1 (Meenu S)",'Master Sheet'!A23,"")</f>
        <v>P021</v>
      </c>
      <c r="B22" s="10" t="str">
        <f>IF('Master Sheet'!C23="Area 1 (Meenu S)",'Master Sheet'!B23,"")</f>
        <v>Sukumaran Nukathala</v>
      </c>
      <c r="C22" s="7" t="s">
        <v>4</v>
      </c>
      <c r="D22" s="9">
        <f>IF('Master Sheet'!C23="Area 1 (Meenu S)",'Master Sheet'!D23,"")</f>
        <v>0</v>
      </c>
      <c r="E22" s="9">
        <f>IF('Master Sheet'!C23="Area 1 (Meenu S)",'Master Sheet'!E23,"")</f>
        <v>0</v>
      </c>
      <c r="F22" s="9">
        <f>IF('Master Sheet'!C23="Area 1 (Meenu S)",'Master Sheet'!F23,"")</f>
        <v>200</v>
      </c>
      <c r="G22" s="9">
        <f>IF('Master Sheet'!C23="Area 1 (Meenu S)",'Master Sheet'!G23,"")</f>
        <v>100</v>
      </c>
      <c r="H22" s="9">
        <f>IF('Master Sheet'!C23="Area 1 (Meenu S)",'Master Sheet'!H23,"")</f>
        <v>0</v>
      </c>
      <c r="I22" s="9">
        <f>IF('Master Sheet'!C23="Area 1 (Meenu S)",'Master Sheet'!I23,"")</f>
        <v>0</v>
      </c>
      <c r="J22" s="9">
        <f>IF('Master Sheet'!C23="Area 1 (Meenu S)",'Master Sheet'!J23,"")</f>
        <v>0</v>
      </c>
      <c r="K22" s="9">
        <f>IF('Master Sheet'!C23="Area 1 (Meenu S)",'Master Sheet'!K23,"")</f>
        <v>0</v>
      </c>
      <c r="L22" s="9">
        <f>IF('Master Sheet'!C23="Area 1 (Meenu S)",'Master Sheet'!L23,"")</f>
        <v>0</v>
      </c>
      <c r="M22" s="9">
        <f>IF('Master Sheet'!C23="Area 1 (Meenu S)",'Master Sheet'!M23,"")</f>
        <v>0</v>
      </c>
      <c r="N22" s="9">
        <f>IF('Master Sheet'!C23="Area 1 (Meenu S)",'Master Sheet'!N23,"")</f>
        <v>300</v>
      </c>
      <c r="O22" s="23">
        <f>IF('Master Sheet'!C23="Area 1 (Meenu S)",'Master Sheet'!O23,"")</f>
        <v>3200</v>
      </c>
      <c r="P22" s="9" t="str">
        <f>IF('Master Sheet'!C23="Area 1 (Meenu S)",'Master Sheet'!P23,"")</f>
        <v>Pending</v>
      </c>
    </row>
    <row r="23" spans="1:16" s="8" customFormat="1" ht="19.899999999999999" customHeight="1" x14ac:dyDescent="0.25">
      <c r="A23" s="7" t="str">
        <f>IF('Master Sheet'!C24="Area 1 (Meenu S)",'Master Sheet'!A24,"")</f>
        <v>P022</v>
      </c>
      <c r="B23" s="10" t="str">
        <f>IF('Master Sheet'!C24="Area 1 (Meenu S)",'Master Sheet'!B24,"")</f>
        <v>Dhanalekshmi Thettupara</v>
      </c>
      <c r="C23" s="7" t="s">
        <v>4</v>
      </c>
      <c r="D23" s="9">
        <f>IF('Master Sheet'!C24="Area 1 (Meenu S)",'Master Sheet'!D24,"")</f>
        <v>500</v>
      </c>
      <c r="E23" s="9">
        <f>IF('Master Sheet'!C24="Area 1 (Meenu S)",'Master Sheet'!E24,"")</f>
        <v>0</v>
      </c>
      <c r="F23" s="9">
        <f>IF('Master Sheet'!C24="Area 1 (Meenu S)",'Master Sheet'!F24,"")</f>
        <v>300</v>
      </c>
      <c r="G23" s="9">
        <f>IF('Master Sheet'!C24="Area 1 (Meenu S)",'Master Sheet'!G24,"")</f>
        <v>0</v>
      </c>
      <c r="H23" s="9">
        <f>IF('Master Sheet'!C24="Area 1 (Meenu S)",'Master Sheet'!H24,"")</f>
        <v>0</v>
      </c>
      <c r="I23" s="9">
        <f>IF('Master Sheet'!C24="Area 1 (Meenu S)",'Master Sheet'!I24,"")</f>
        <v>0</v>
      </c>
      <c r="J23" s="9">
        <f>IF('Master Sheet'!C24="Area 1 (Meenu S)",'Master Sheet'!J24,"")</f>
        <v>0</v>
      </c>
      <c r="K23" s="9">
        <f>IF('Master Sheet'!C24="Area 1 (Meenu S)",'Master Sheet'!K24,"")</f>
        <v>0</v>
      </c>
      <c r="L23" s="9">
        <f>IF('Master Sheet'!C24="Area 1 (Meenu S)",'Master Sheet'!L24,"")</f>
        <v>0</v>
      </c>
      <c r="M23" s="9">
        <f>IF('Master Sheet'!C24="Area 1 (Meenu S)",'Master Sheet'!M24,"")</f>
        <v>0</v>
      </c>
      <c r="N23" s="9">
        <f>IF('Master Sheet'!C24="Area 1 (Meenu S)",'Master Sheet'!N24,"")</f>
        <v>800</v>
      </c>
      <c r="O23" s="23">
        <f>IF('Master Sheet'!C24="Area 1 (Meenu S)",'Master Sheet'!O24,"")</f>
        <v>2700</v>
      </c>
      <c r="P23" s="9" t="str">
        <f>IF('Master Sheet'!C24="Area 1 (Meenu S)",'Master Sheet'!P24,"")</f>
        <v>Pending</v>
      </c>
    </row>
    <row r="24" spans="1:16" s="8" customFormat="1" ht="19.899999999999999" customHeight="1" x14ac:dyDescent="0.25">
      <c r="A24" s="7" t="str">
        <f>IF('Master Sheet'!C25="Area 1 (Meenu S)",'Master Sheet'!A25,"")</f>
        <v>P023</v>
      </c>
      <c r="B24" s="10" t="str">
        <f>IF('Master Sheet'!C25="Area 1 (Meenu S)",'Master Sheet'!B25,"")</f>
        <v>Meenu ,Poovathur</v>
      </c>
      <c r="C24" s="7" t="s">
        <v>4</v>
      </c>
      <c r="D24" s="9">
        <f>IF('Master Sheet'!C25="Area 1 (Meenu S)",'Master Sheet'!D25,"")</f>
        <v>0</v>
      </c>
      <c r="E24" s="9">
        <f>IF('Master Sheet'!C25="Area 1 (Meenu S)",'Master Sheet'!E25,"")</f>
        <v>0</v>
      </c>
      <c r="F24" s="9">
        <f>IF('Master Sheet'!C25="Area 1 (Meenu S)",'Master Sheet'!F25,"")</f>
        <v>0</v>
      </c>
      <c r="G24" s="9">
        <f>IF('Master Sheet'!C25="Area 1 (Meenu S)",'Master Sheet'!G25,"")</f>
        <v>0</v>
      </c>
      <c r="H24" s="9">
        <f>IF('Master Sheet'!C25="Area 1 (Meenu S)",'Master Sheet'!H25,"")</f>
        <v>0</v>
      </c>
      <c r="I24" s="9">
        <f>IF('Master Sheet'!C25="Area 1 (Meenu S)",'Master Sheet'!I25,"")</f>
        <v>0</v>
      </c>
      <c r="J24" s="9">
        <f>IF('Master Sheet'!C25="Area 1 (Meenu S)",'Master Sheet'!J25,"")</f>
        <v>0</v>
      </c>
      <c r="K24" s="9">
        <f>IF('Master Sheet'!C25="Area 1 (Meenu S)",'Master Sheet'!K25,"")</f>
        <v>0</v>
      </c>
      <c r="L24" s="9">
        <f>IF('Master Sheet'!C25="Area 1 (Meenu S)",'Master Sheet'!L25,"")</f>
        <v>0</v>
      </c>
      <c r="M24" s="9">
        <f>IF('Master Sheet'!C25="Area 1 (Meenu S)",'Master Sheet'!M25,"")</f>
        <v>0</v>
      </c>
      <c r="N24" s="9">
        <f>IF('Master Sheet'!C25="Area 1 (Meenu S)",'Master Sheet'!N25,"")</f>
        <v>0</v>
      </c>
      <c r="O24" s="23">
        <f>IF('Master Sheet'!C25="Area 1 (Meenu S)",'Master Sheet'!O25,"")</f>
        <v>3500</v>
      </c>
      <c r="P24" s="9" t="str">
        <f>IF('Master Sheet'!C25="Area 1 (Meenu S)",'Master Sheet'!P25,"")</f>
        <v>Pending</v>
      </c>
    </row>
    <row r="25" spans="1:16" s="8" customFormat="1" ht="19.899999999999999" customHeight="1" x14ac:dyDescent="0.25">
      <c r="A25" s="7" t="str">
        <f>IF('Master Sheet'!C26="Area 1 (Meenu S)",'Master Sheet'!A26,"")</f>
        <v>P024</v>
      </c>
      <c r="B25" s="10" t="str">
        <f>IF('Master Sheet'!C26="Area 1 (Meenu S)",'Master Sheet'!B26,"")</f>
        <v>Remya Dinesh , Poovathur</v>
      </c>
      <c r="C25" s="7" t="s">
        <v>4</v>
      </c>
      <c r="D25" s="9">
        <f>IF('Master Sheet'!C26="Area 1 (Meenu S)",'Master Sheet'!D26,"")</f>
        <v>0</v>
      </c>
      <c r="E25" s="9">
        <f>IF('Master Sheet'!C26="Area 1 (Meenu S)",'Master Sheet'!E26,"")</f>
        <v>0</v>
      </c>
      <c r="F25" s="9">
        <f>IF('Master Sheet'!C26="Area 1 (Meenu S)",'Master Sheet'!F26,"")</f>
        <v>0</v>
      </c>
      <c r="G25" s="9">
        <f>IF('Master Sheet'!C26="Area 1 (Meenu S)",'Master Sheet'!G26,"")</f>
        <v>0</v>
      </c>
      <c r="H25" s="9">
        <f>IF('Master Sheet'!C26="Area 1 (Meenu S)",'Master Sheet'!H26,"")</f>
        <v>0</v>
      </c>
      <c r="I25" s="9">
        <f>IF('Master Sheet'!C26="Area 1 (Meenu S)",'Master Sheet'!I26,"")</f>
        <v>0</v>
      </c>
      <c r="J25" s="9">
        <f>IF('Master Sheet'!C26="Area 1 (Meenu S)",'Master Sheet'!J26,"")</f>
        <v>0</v>
      </c>
      <c r="K25" s="9">
        <f>IF('Master Sheet'!C26="Area 1 (Meenu S)",'Master Sheet'!K26,"")</f>
        <v>0</v>
      </c>
      <c r="L25" s="9">
        <f>IF('Master Sheet'!C26="Area 1 (Meenu S)",'Master Sheet'!L26,"")</f>
        <v>0</v>
      </c>
      <c r="M25" s="9">
        <f>IF('Master Sheet'!C26="Area 1 (Meenu S)",'Master Sheet'!M26,"")</f>
        <v>0</v>
      </c>
      <c r="N25" s="9">
        <f>IF('Master Sheet'!C26="Area 1 (Meenu S)",'Master Sheet'!N26,"")</f>
        <v>0</v>
      </c>
      <c r="O25" s="23">
        <f>IF('Master Sheet'!C26="Area 1 (Meenu S)",'Master Sheet'!O26,"")</f>
        <v>3500</v>
      </c>
      <c r="P25" s="9" t="str">
        <f>IF('Master Sheet'!C26="Area 1 (Meenu S)",'Master Sheet'!P26,"")</f>
        <v>Pending</v>
      </c>
    </row>
    <row r="26" spans="1:16" s="8" customFormat="1" ht="19.899999999999999" customHeight="1" x14ac:dyDescent="0.25">
      <c r="A26" s="7" t="str">
        <f>IF('Master Sheet'!C27="Area 1 (Meenu S)",'Master Sheet'!A27,"")</f>
        <v>P025</v>
      </c>
      <c r="B26" s="10" t="str">
        <f>IF('Master Sheet'!C27="Area 1 (Meenu S)",'Master Sheet'!B27,"")</f>
        <v xml:space="preserve">Geethu Mohan </v>
      </c>
      <c r="C26" s="7" t="s">
        <v>4</v>
      </c>
      <c r="D26" s="9">
        <f>IF('Master Sheet'!C27="Area 1 (Meenu S)",'Master Sheet'!D27,"")</f>
        <v>0</v>
      </c>
      <c r="E26" s="9">
        <f>IF('Master Sheet'!C27="Area 1 (Meenu S)",'Master Sheet'!E27,"")</f>
        <v>0</v>
      </c>
      <c r="F26" s="9">
        <f>IF('Master Sheet'!C27="Area 1 (Meenu S)",'Master Sheet'!F27,"")</f>
        <v>0</v>
      </c>
      <c r="G26" s="9">
        <f>IF('Master Sheet'!C27="Area 1 (Meenu S)",'Master Sheet'!G27,"")</f>
        <v>0</v>
      </c>
      <c r="H26" s="9">
        <f>IF('Master Sheet'!C27="Area 1 (Meenu S)",'Master Sheet'!H27,"")</f>
        <v>0</v>
      </c>
      <c r="I26" s="9">
        <f>IF('Master Sheet'!C27="Area 1 (Meenu S)",'Master Sheet'!I27,"")</f>
        <v>0</v>
      </c>
      <c r="J26" s="9">
        <f>IF('Master Sheet'!C27="Area 1 (Meenu S)",'Master Sheet'!J27,"")</f>
        <v>0</v>
      </c>
      <c r="K26" s="9">
        <f>IF('Master Sheet'!C27="Area 1 (Meenu S)",'Master Sheet'!K27,"")</f>
        <v>0</v>
      </c>
      <c r="L26" s="9">
        <f>IF('Master Sheet'!C27="Area 1 (Meenu S)",'Master Sheet'!L27,"")</f>
        <v>0</v>
      </c>
      <c r="M26" s="9">
        <f>IF('Master Sheet'!C27="Area 1 (Meenu S)",'Master Sheet'!M27,"")</f>
        <v>0</v>
      </c>
      <c r="N26" s="9">
        <f>IF('Master Sheet'!C27="Area 1 (Meenu S)",'Master Sheet'!N27,"")</f>
        <v>0</v>
      </c>
      <c r="O26" s="23">
        <f>IF('Master Sheet'!C27="Area 1 (Meenu S)",'Master Sheet'!O27,"")</f>
        <v>3500</v>
      </c>
      <c r="P26" s="9" t="str">
        <f>IF('Master Sheet'!C27="Area 1 (Meenu S)",'Master Sheet'!P27,"")</f>
        <v>Pending</v>
      </c>
    </row>
    <row r="27" spans="1:16" s="8" customFormat="1" ht="19.899999999999999" customHeight="1" x14ac:dyDescent="0.25">
      <c r="A27" s="7" t="str">
        <f>IF('Master Sheet'!C28="Area 1 (Meenu S)",'Master Sheet'!A28,"")</f>
        <v>P026</v>
      </c>
      <c r="B27" s="10" t="str">
        <f>IF('Master Sheet'!C28="Area 1 (Meenu S)",'Master Sheet'!B28,"")</f>
        <v>Sreeja Teacher , Kuttur</v>
      </c>
      <c r="C27" s="7" t="s">
        <v>4</v>
      </c>
      <c r="D27" s="9">
        <f>IF('Master Sheet'!C28="Area 1 (Meenu S)",'Master Sheet'!D28,"")</f>
        <v>750</v>
      </c>
      <c r="E27" s="9">
        <f>IF('Master Sheet'!C28="Area 1 (Meenu S)",'Master Sheet'!E28,"")</f>
        <v>0</v>
      </c>
      <c r="F27" s="9">
        <f>IF('Master Sheet'!C28="Area 1 (Meenu S)",'Master Sheet'!F28,"")</f>
        <v>0</v>
      </c>
      <c r="G27" s="9">
        <f>IF('Master Sheet'!C28="Area 1 (Meenu S)",'Master Sheet'!G28,"")</f>
        <v>0</v>
      </c>
      <c r="H27" s="9">
        <f>IF('Master Sheet'!C28="Area 1 (Meenu S)",'Master Sheet'!H28,"")</f>
        <v>0</v>
      </c>
      <c r="I27" s="9">
        <f>IF('Master Sheet'!C28="Area 1 (Meenu S)",'Master Sheet'!I28,"")</f>
        <v>0</v>
      </c>
      <c r="J27" s="9">
        <f>IF('Master Sheet'!C28="Area 1 (Meenu S)",'Master Sheet'!J28,"")</f>
        <v>0</v>
      </c>
      <c r="K27" s="9">
        <f>IF('Master Sheet'!C28="Area 1 (Meenu S)",'Master Sheet'!K28,"")</f>
        <v>0</v>
      </c>
      <c r="L27" s="9">
        <f>IF('Master Sheet'!C28="Area 1 (Meenu S)",'Master Sheet'!L28,"")</f>
        <v>0</v>
      </c>
      <c r="M27" s="9">
        <f>IF('Master Sheet'!C28="Area 1 (Meenu S)",'Master Sheet'!M28,"")</f>
        <v>0</v>
      </c>
      <c r="N27" s="9">
        <f>IF('Master Sheet'!C28="Area 1 (Meenu S)",'Master Sheet'!N28,"")</f>
        <v>750</v>
      </c>
      <c r="O27" s="23">
        <f>IF('Master Sheet'!C28="Area 1 (Meenu S)",'Master Sheet'!O28,"")</f>
        <v>2750</v>
      </c>
      <c r="P27" s="9" t="str">
        <f>IF('Master Sheet'!C28="Area 1 (Meenu S)",'Master Sheet'!P28,"")</f>
        <v>Pending</v>
      </c>
    </row>
    <row r="28" spans="1:16" s="8" customFormat="1" ht="19.899999999999999" customHeight="1" x14ac:dyDescent="0.25">
      <c r="A28" s="7" t="str">
        <f>IF('Master Sheet'!C29="Area 1 (Meenu S)",'Master Sheet'!A29,"")</f>
        <v>P027</v>
      </c>
      <c r="B28" s="10" t="str">
        <f>IF('Master Sheet'!C29="Area 1 (Meenu S)",'Master Sheet'!B29,"")</f>
        <v>Sreeja Teacher , Kuttur</v>
      </c>
      <c r="C28" s="7" t="s">
        <v>4</v>
      </c>
      <c r="D28" s="9">
        <f>IF('Master Sheet'!C29="Area 1 (Meenu S)",'Master Sheet'!D29,"")</f>
        <v>0</v>
      </c>
      <c r="E28" s="9">
        <f>IF('Master Sheet'!C29="Area 1 (Meenu S)",'Master Sheet'!E29,"")</f>
        <v>0</v>
      </c>
      <c r="F28" s="9">
        <f>IF('Master Sheet'!C29="Area 1 (Meenu S)",'Master Sheet'!F29,"")</f>
        <v>0</v>
      </c>
      <c r="G28" s="9">
        <f>IF('Master Sheet'!C29="Area 1 (Meenu S)",'Master Sheet'!G29,"")</f>
        <v>0</v>
      </c>
      <c r="H28" s="9">
        <f>IF('Master Sheet'!C29="Area 1 (Meenu S)",'Master Sheet'!H29,"")</f>
        <v>0</v>
      </c>
      <c r="I28" s="9">
        <f>IF('Master Sheet'!C29="Area 1 (Meenu S)",'Master Sheet'!I29,"")</f>
        <v>0</v>
      </c>
      <c r="J28" s="9">
        <f>IF('Master Sheet'!C29="Area 1 (Meenu S)",'Master Sheet'!J29,"")</f>
        <v>0</v>
      </c>
      <c r="K28" s="9">
        <f>IF('Master Sheet'!C29="Area 1 (Meenu S)",'Master Sheet'!K29,"")</f>
        <v>0</v>
      </c>
      <c r="L28" s="9">
        <f>IF('Master Sheet'!C29="Area 1 (Meenu S)",'Master Sheet'!L29,"")</f>
        <v>0</v>
      </c>
      <c r="M28" s="9">
        <f>IF('Master Sheet'!C29="Area 1 (Meenu S)",'Master Sheet'!M29,"")</f>
        <v>0</v>
      </c>
      <c r="N28" s="9">
        <f>IF('Master Sheet'!C29="Area 1 (Meenu S)",'Master Sheet'!N29,"")</f>
        <v>0</v>
      </c>
      <c r="O28" s="23">
        <f>IF('Master Sheet'!C29="Area 1 (Meenu S)",'Master Sheet'!O29,"")</f>
        <v>3500</v>
      </c>
      <c r="P28" s="9" t="str">
        <f>IF('Master Sheet'!C29="Area 1 (Meenu S)",'Master Sheet'!P29,"")</f>
        <v>Pending</v>
      </c>
    </row>
    <row r="29" spans="1:16" s="8" customFormat="1" ht="19.899999999999999" customHeight="1" x14ac:dyDescent="0.25">
      <c r="A29" s="7" t="str">
        <f>IF('Master Sheet'!C30="Area 1 (Meenu S)",'Master Sheet'!A30,"")</f>
        <v>P028</v>
      </c>
      <c r="B29" s="10" t="str">
        <f>IF('Master Sheet'!C30="Area 1 (Meenu S)",'Master Sheet'!B30,"")</f>
        <v>Jaya , Chengannur</v>
      </c>
      <c r="C29" s="7" t="s">
        <v>4</v>
      </c>
      <c r="D29" s="9">
        <f>IF('Master Sheet'!C30="Area 1 (Meenu S)",'Master Sheet'!D30,"")</f>
        <v>0</v>
      </c>
      <c r="E29" s="9">
        <f>IF('Master Sheet'!C30="Area 1 (Meenu S)",'Master Sheet'!E30,"")</f>
        <v>0</v>
      </c>
      <c r="F29" s="9">
        <f>IF('Master Sheet'!C30="Area 1 (Meenu S)",'Master Sheet'!F30,"")</f>
        <v>0</v>
      </c>
      <c r="G29" s="9">
        <f>IF('Master Sheet'!C30="Area 1 (Meenu S)",'Master Sheet'!G30,"")</f>
        <v>0</v>
      </c>
      <c r="H29" s="9">
        <f>IF('Master Sheet'!C30="Area 1 (Meenu S)",'Master Sheet'!H30,"")</f>
        <v>0</v>
      </c>
      <c r="I29" s="9">
        <f>IF('Master Sheet'!C30="Area 1 (Meenu S)",'Master Sheet'!I30,"")</f>
        <v>0</v>
      </c>
      <c r="J29" s="9">
        <f>IF('Master Sheet'!C30="Area 1 (Meenu S)",'Master Sheet'!J30,"")</f>
        <v>0</v>
      </c>
      <c r="K29" s="9">
        <f>IF('Master Sheet'!C30="Area 1 (Meenu S)",'Master Sheet'!K30,"")</f>
        <v>0</v>
      </c>
      <c r="L29" s="9">
        <f>IF('Master Sheet'!C30="Area 1 (Meenu S)",'Master Sheet'!L30,"")</f>
        <v>0</v>
      </c>
      <c r="M29" s="9">
        <f>IF('Master Sheet'!C30="Area 1 (Meenu S)",'Master Sheet'!M30,"")</f>
        <v>0</v>
      </c>
      <c r="N29" s="9">
        <f>IF('Master Sheet'!C30="Area 1 (Meenu S)",'Master Sheet'!N30,"")</f>
        <v>0</v>
      </c>
      <c r="O29" s="23">
        <f>IF('Master Sheet'!C30="Area 1 (Meenu S)",'Master Sheet'!O30,"")</f>
        <v>3500</v>
      </c>
      <c r="P29" s="9" t="str">
        <f>IF('Master Sheet'!C30="Area 1 (Meenu S)",'Master Sheet'!P30,"")</f>
        <v>Pending</v>
      </c>
    </row>
    <row r="30" spans="1:16" s="8" customFormat="1" ht="19.899999999999999" customHeight="1" x14ac:dyDescent="0.25">
      <c r="A30" s="7" t="str">
        <f>IF('Master Sheet'!C31="Area 1 (Meenu S)",'Master Sheet'!A31,"")</f>
        <v>P029</v>
      </c>
      <c r="B30" s="10" t="str">
        <f>IF('Master Sheet'!C31="Area 1 (Meenu S)",'Master Sheet'!B31,"")</f>
        <v>SatheeshKumar , Pullad</v>
      </c>
      <c r="C30" s="7" t="s">
        <v>4</v>
      </c>
      <c r="D30" s="9">
        <f>IF('Master Sheet'!C31="Area 1 (Meenu S)",'Master Sheet'!D31,"")</f>
        <v>500</v>
      </c>
      <c r="E30" s="9">
        <f>IF('Master Sheet'!C31="Area 1 (Meenu S)",'Master Sheet'!E31,"")</f>
        <v>500</v>
      </c>
      <c r="F30" s="9">
        <f>IF('Master Sheet'!C31="Area 1 (Meenu S)",'Master Sheet'!F31,"")</f>
        <v>500</v>
      </c>
      <c r="G30" s="9">
        <f>IF('Master Sheet'!C31="Area 1 (Meenu S)",'Master Sheet'!G31,"")</f>
        <v>0</v>
      </c>
      <c r="H30" s="9">
        <f>IF('Master Sheet'!C31="Area 1 (Meenu S)",'Master Sheet'!H31,"")</f>
        <v>0</v>
      </c>
      <c r="I30" s="9">
        <f>IF('Master Sheet'!C31="Area 1 (Meenu S)",'Master Sheet'!I31,"")</f>
        <v>0</v>
      </c>
      <c r="J30" s="9">
        <f>IF('Master Sheet'!C31="Area 1 (Meenu S)",'Master Sheet'!J31,"")</f>
        <v>0</v>
      </c>
      <c r="K30" s="9">
        <f>IF('Master Sheet'!C31="Area 1 (Meenu S)",'Master Sheet'!K31,"")</f>
        <v>0</v>
      </c>
      <c r="L30" s="9">
        <f>IF('Master Sheet'!C31="Area 1 (Meenu S)",'Master Sheet'!L31,"")</f>
        <v>0</v>
      </c>
      <c r="M30" s="9">
        <f>IF('Master Sheet'!C31="Area 1 (Meenu S)",'Master Sheet'!M31,"")</f>
        <v>0</v>
      </c>
      <c r="N30" s="9">
        <f>IF('Master Sheet'!C31="Area 1 (Meenu S)",'Master Sheet'!N31,"")</f>
        <v>1500</v>
      </c>
      <c r="O30" s="23">
        <f>IF('Master Sheet'!C31="Area 1 (Meenu S)",'Master Sheet'!O31,"")</f>
        <v>2000</v>
      </c>
      <c r="P30" s="9" t="str">
        <f>IF('Master Sheet'!C31="Area 1 (Meenu S)",'Master Sheet'!P31,"")</f>
        <v>Pending</v>
      </c>
    </row>
    <row r="31" spans="1:16" s="8" customFormat="1" ht="19.899999999999999" customHeight="1" x14ac:dyDescent="0.25">
      <c r="A31" s="7" t="str">
        <f>IF('Master Sheet'!C32="Area 1 (Meenu S)",'Master Sheet'!A32,"")</f>
        <v>P030</v>
      </c>
      <c r="B31" s="10" t="str">
        <f>IF('Master Sheet'!C32="Area 1 (Meenu S)",'Master Sheet'!B32,"")</f>
        <v>Subash , Nukathala</v>
      </c>
      <c r="C31" s="7" t="s">
        <v>4</v>
      </c>
      <c r="D31" s="9">
        <f>IF('Master Sheet'!C32="Area 1 (Meenu S)",'Master Sheet'!D32,"")</f>
        <v>0</v>
      </c>
      <c r="E31" s="9">
        <f>IF('Master Sheet'!C32="Area 1 (Meenu S)",'Master Sheet'!E32,"")</f>
        <v>0</v>
      </c>
      <c r="F31" s="9">
        <f>IF('Master Sheet'!C32="Area 1 (Meenu S)",'Master Sheet'!F32,"")</f>
        <v>0</v>
      </c>
      <c r="G31" s="9">
        <f>IF('Master Sheet'!C32="Area 1 (Meenu S)",'Master Sheet'!G32,"")</f>
        <v>0</v>
      </c>
      <c r="H31" s="9">
        <f>IF('Master Sheet'!C32="Area 1 (Meenu S)",'Master Sheet'!H32,"")</f>
        <v>0</v>
      </c>
      <c r="I31" s="9">
        <f>IF('Master Sheet'!C32="Area 1 (Meenu S)",'Master Sheet'!I32,"")</f>
        <v>0</v>
      </c>
      <c r="J31" s="9">
        <f>IF('Master Sheet'!C32="Area 1 (Meenu S)",'Master Sheet'!J32,"")</f>
        <v>0</v>
      </c>
      <c r="K31" s="9">
        <f>IF('Master Sheet'!C32="Area 1 (Meenu S)",'Master Sheet'!K32,"")</f>
        <v>0</v>
      </c>
      <c r="L31" s="9">
        <f>IF('Master Sheet'!C32="Area 1 (Meenu S)",'Master Sheet'!L32,"")</f>
        <v>0</v>
      </c>
      <c r="M31" s="9">
        <f>IF('Master Sheet'!C32="Area 1 (Meenu S)",'Master Sheet'!M32,"")</f>
        <v>0</v>
      </c>
      <c r="N31" s="9">
        <f>IF('Master Sheet'!C32="Area 1 (Meenu S)",'Master Sheet'!N32,"")</f>
        <v>0</v>
      </c>
      <c r="O31" s="23">
        <f>IF('Master Sheet'!C32="Area 1 (Meenu S)",'Master Sheet'!O32,"")</f>
        <v>3500</v>
      </c>
      <c r="P31" s="9" t="str">
        <f>IF('Master Sheet'!C32="Area 1 (Meenu S)",'Master Sheet'!P32,"")</f>
        <v>Pending</v>
      </c>
    </row>
    <row r="32" spans="1:16" s="8" customFormat="1" ht="19.899999999999999" customHeight="1" x14ac:dyDescent="0.25">
      <c r="A32" s="7" t="str">
        <f>IF('Master Sheet'!C33="Area 1 (Meenu S)",'Master Sheet'!A33,"")</f>
        <v>P031</v>
      </c>
      <c r="B32" s="10" t="str">
        <f>IF('Master Sheet'!C33="Area 1 (Meenu S)",'Master Sheet'!B33,"")</f>
        <v>Sreeja Varayannur</v>
      </c>
      <c r="C32" s="7" t="s">
        <v>4</v>
      </c>
      <c r="D32" s="9">
        <f>IF('Master Sheet'!C33="Area 1 (Meenu S)",'Master Sheet'!D33,"")</f>
        <v>0</v>
      </c>
      <c r="E32" s="9">
        <f>IF('Master Sheet'!C33="Area 1 (Meenu S)",'Master Sheet'!E33,"")</f>
        <v>0</v>
      </c>
      <c r="F32" s="9">
        <f>IF('Master Sheet'!C33="Area 1 (Meenu S)",'Master Sheet'!F33,"")</f>
        <v>500</v>
      </c>
      <c r="G32" s="9">
        <f>IF('Master Sheet'!C33="Area 1 (Meenu S)",'Master Sheet'!G33,"")</f>
        <v>1500</v>
      </c>
      <c r="H32" s="9">
        <f>IF('Master Sheet'!C33="Area 1 (Meenu S)",'Master Sheet'!H33,"")</f>
        <v>0</v>
      </c>
      <c r="I32" s="9">
        <f>IF('Master Sheet'!C33="Area 1 (Meenu S)",'Master Sheet'!I33,"")</f>
        <v>0</v>
      </c>
      <c r="J32" s="9">
        <f>IF('Master Sheet'!C33="Area 1 (Meenu S)",'Master Sheet'!J33,"")</f>
        <v>0</v>
      </c>
      <c r="K32" s="9">
        <f>IF('Master Sheet'!C33="Area 1 (Meenu S)",'Master Sheet'!K33,"")</f>
        <v>0</v>
      </c>
      <c r="L32" s="9">
        <f>IF('Master Sheet'!C33="Area 1 (Meenu S)",'Master Sheet'!L33,"")</f>
        <v>0</v>
      </c>
      <c r="M32" s="9">
        <f>IF('Master Sheet'!C33="Area 1 (Meenu S)",'Master Sheet'!M33,"")</f>
        <v>0</v>
      </c>
      <c r="N32" s="9">
        <f>IF('Master Sheet'!C33="Area 1 (Meenu S)",'Master Sheet'!N33,"")</f>
        <v>2000</v>
      </c>
      <c r="O32" s="23">
        <f>IF('Master Sheet'!C33="Area 1 (Meenu S)",'Master Sheet'!O33,"")</f>
        <v>1500</v>
      </c>
      <c r="P32" s="9" t="str">
        <f>IF('Master Sheet'!C33="Area 1 (Meenu S)",'Master Sheet'!P33,"")</f>
        <v>Pending</v>
      </c>
    </row>
    <row r="33" spans="1:16" hidden="1" x14ac:dyDescent="0.25">
      <c r="A33" t="str">
        <f>IF('Master Sheet'!C34="Area 1 (Meenu S)",'Master Sheet'!A34,"")</f>
        <v/>
      </c>
      <c r="B33" t="str">
        <f>IF('Master Sheet'!C34="Area 1 (Meenu S)",'Master Sheet'!B34,"")</f>
        <v/>
      </c>
      <c r="C33" t="s">
        <v>4</v>
      </c>
      <c r="D33" t="str">
        <f>IF('Master Sheet'!C34="Area 1 (Meenu S)",'Master Sheet'!D34,"")</f>
        <v/>
      </c>
      <c r="E33" t="str">
        <f>IF('Master Sheet'!C34="Area 1 (Meenu S)",'Master Sheet'!E34,"")</f>
        <v/>
      </c>
      <c r="F33" t="str">
        <f>IF('Master Sheet'!C34="Area 1 (Meenu S)",'Master Sheet'!F34,"")</f>
        <v/>
      </c>
      <c r="G33" t="str">
        <f>IF('Master Sheet'!C34="Area 1 (Meenu S)",'Master Sheet'!G34,"")</f>
        <v/>
      </c>
      <c r="H33" t="str">
        <f>IF('Master Sheet'!C34="Area 1 (Meenu S)",'Master Sheet'!H34,"")</f>
        <v/>
      </c>
      <c r="I33" t="str">
        <f>IF('Master Sheet'!C34="Area 1 (Meenu S)",'Master Sheet'!I34,"")</f>
        <v/>
      </c>
      <c r="J33" t="str">
        <f>IF('Master Sheet'!C34="Area 1 (Meenu S)",'Master Sheet'!J34,"")</f>
        <v/>
      </c>
      <c r="K33" t="str">
        <f>IF('Master Sheet'!C34="Area 1 (Meenu S)",'Master Sheet'!K34,"")</f>
        <v/>
      </c>
      <c r="L33" t="str">
        <f>IF('Master Sheet'!C34="Area 1 (Meenu S)",'Master Sheet'!L34,"")</f>
        <v/>
      </c>
      <c r="M33" t="str">
        <f>IF('Master Sheet'!C34="Area 1 (Meenu S)",'Master Sheet'!M34,"")</f>
        <v/>
      </c>
      <c r="N33" t="str">
        <f>IF('Master Sheet'!C34="Area 1 (Meenu S)",'Master Sheet'!N34,"")</f>
        <v/>
      </c>
      <c r="O33" t="str">
        <f>IF('Master Sheet'!C34="Area 1 (Meenu S)",'Master Sheet'!O34,"")</f>
        <v/>
      </c>
      <c r="P33" t="str">
        <f>IF('Master Sheet'!C34="Area 1 (Meenu S)",'Master Sheet'!P34,"")</f>
        <v/>
      </c>
    </row>
    <row r="34" spans="1:16" hidden="1" x14ac:dyDescent="0.25">
      <c r="A34" t="str">
        <f>IF('Master Sheet'!C35="Area 1 (Meenu S)",'Master Sheet'!A35,"")</f>
        <v/>
      </c>
      <c r="B34" t="str">
        <f>IF('Master Sheet'!C35="Area 1 (Meenu S)",'Master Sheet'!B35,"")</f>
        <v/>
      </c>
      <c r="C34" t="s">
        <v>4</v>
      </c>
      <c r="D34" t="str">
        <f>IF('Master Sheet'!C35="Area 1 (Meenu S)",'Master Sheet'!D35,"")</f>
        <v/>
      </c>
      <c r="E34" t="str">
        <f>IF('Master Sheet'!C35="Area 1 (Meenu S)",'Master Sheet'!E35,"")</f>
        <v/>
      </c>
      <c r="F34" t="str">
        <f>IF('Master Sheet'!C35="Area 1 (Meenu S)",'Master Sheet'!F35,"")</f>
        <v/>
      </c>
      <c r="G34" t="str">
        <f>IF('Master Sheet'!C35="Area 1 (Meenu S)",'Master Sheet'!G35,"")</f>
        <v/>
      </c>
      <c r="H34" t="str">
        <f>IF('Master Sheet'!C35="Area 1 (Meenu S)",'Master Sheet'!H35,"")</f>
        <v/>
      </c>
      <c r="I34" t="str">
        <f>IF('Master Sheet'!C35="Area 1 (Meenu S)",'Master Sheet'!I35,"")</f>
        <v/>
      </c>
      <c r="J34" t="str">
        <f>IF('Master Sheet'!C35="Area 1 (Meenu S)",'Master Sheet'!J35,"")</f>
        <v/>
      </c>
      <c r="K34" t="str">
        <f>IF('Master Sheet'!C35="Area 1 (Meenu S)",'Master Sheet'!K35,"")</f>
        <v/>
      </c>
      <c r="L34" t="str">
        <f>IF('Master Sheet'!C35="Area 1 (Meenu S)",'Master Sheet'!L35,"")</f>
        <v/>
      </c>
      <c r="M34" t="str">
        <f>IF('Master Sheet'!C35="Area 1 (Meenu S)",'Master Sheet'!M35,"")</f>
        <v/>
      </c>
      <c r="N34" t="str">
        <f>IF('Master Sheet'!C35="Area 1 (Meenu S)",'Master Sheet'!N35,"")</f>
        <v/>
      </c>
      <c r="O34" t="str">
        <f>IF('Master Sheet'!C35="Area 1 (Meenu S)",'Master Sheet'!O35,"")</f>
        <v/>
      </c>
      <c r="P34" t="str">
        <f>IF('Master Sheet'!C35="Area 1 (Meenu S)",'Master Sheet'!P35,"")</f>
        <v/>
      </c>
    </row>
    <row r="35" spans="1:16" hidden="1" x14ac:dyDescent="0.25">
      <c r="A35" t="str">
        <f>IF('Master Sheet'!C36="Area 1 (Meenu S)",'Master Sheet'!A36,"")</f>
        <v/>
      </c>
      <c r="B35" t="str">
        <f>IF('Master Sheet'!C36="Area 1 (Meenu S)",'Master Sheet'!B36,"")</f>
        <v/>
      </c>
      <c r="C35" t="s">
        <v>4</v>
      </c>
      <c r="D35" t="str">
        <f>IF('Master Sheet'!C36="Area 1 (Meenu S)",'Master Sheet'!D36,"")</f>
        <v/>
      </c>
      <c r="E35" t="str">
        <f>IF('Master Sheet'!C36="Area 1 (Meenu S)",'Master Sheet'!E36,"")</f>
        <v/>
      </c>
      <c r="F35" t="str">
        <f>IF('Master Sheet'!C36="Area 1 (Meenu S)",'Master Sheet'!F36,"")</f>
        <v/>
      </c>
      <c r="G35" t="str">
        <f>IF('Master Sheet'!C36="Area 1 (Meenu S)",'Master Sheet'!G36,"")</f>
        <v/>
      </c>
      <c r="H35" t="str">
        <f>IF('Master Sheet'!C36="Area 1 (Meenu S)",'Master Sheet'!H36,"")</f>
        <v/>
      </c>
      <c r="I35" t="str">
        <f>IF('Master Sheet'!C36="Area 1 (Meenu S)",'Master Sheet'!I36,"")</f>
        <v/>
      </c>
      <c r="J35" t="str">
        <f>IF('Master Sheet'!C36="Area 1 (Meenu S)",'Master Sheet'!J36,"")</f>
        <v/>
      </c>
      <c r="K35" t="str">
        <f>IF('Master Sheet'!C36="Area 1 (Meenu S)",'Master Sheet'!K36,"")</f>
        <v/>
      </c>
      <c r="L35" t="str">
        <f>IF('Master Sheet'!C36="Area 1 (Meenu S)",'Master Sheet'!L36,"")</f>
        <v/>
      </c>
      <c r="M35" t="str">
        <f>IF('Master Sheet'!C36="Area 1 (Meenu S)",'Master Sheet'!M36,"")</f>
        <v/>
      </c>
      <c r="N35" t="str">
        <f>IF('Master Sheet'!C36="Area 1 (Meenu S)",'Master Sheet'!N36,"")</f>
        <v/>
      </c>
      <c r="O35" t="str">
        <f>IF('Master Sheet'!C36="Area 1 (Meenu S)",'Master Sheet'!O36,"")</f>
        <v/>
      </c>
      <c r="P35" t="str">
        <f>IF('Master Sheet'!C36="Area 1 (Meenu S)",'Master Sheet'!P36,"")</f>
        <v/>
      </c>
    </row>
    <row r="36" spans="1:16" hidden="1" x14ac:dyDescent="0.25">
      <c r="A36" t="str">
        <f>IF('Master Sheet'!C37="Area 1 (Meenu S)",'Master Sheet'!A37,"")</f>
        <v/>
      </c>
      <c r="B36" t="str">
        <f>IF('Master Sheet'!C37="Area 1 (Meenu S)",'Master Sheet'!B37,"")</f>
        <v/>
      </c>
      <c r="C36" t="s">
        <v>4</v>
      </c>
      <c r="D36" t="str">
        <f>IF('Master Sheet'!C37="Area 1 (Meenu S)",'Master Sheet'!D37,"")</f>
        <v/>
      </c>
      <c r="E36" t="str">
        <f>IF('Master Sheet'!C37="Area 1 (Meenu S)",'Master Sheet'!E37,"")</f>
        <v/>
      </c>
      <c r="F36" t="str">
        <f>IF('Master Sheet'!C37="Area 1 (Meenu S)",'Master Sheet'!F37,"")</f>
        <v/>
      </c>
      <c r="G36" t="str">
        <f>IF('Master Sheet'!C37="Area 1 (Meenu S)",'Master Sheet'!G37,"")</f>
        <v/>
      </c>
      <c r="H36" t="str">
        <f>IF('Master Sheet'!C37="Area 1 (Meenu S)",'Master Sheet'!H37,"")</f>
        <v/>
      </c>
      <c r="I36" t="str">
        <f>IF('Master Sheet'!C37="Area 1 (Meenu S)",'Master Sheet'!I37,"")</f>
        <v/>
      </c>
      <c r="J36" t="str">
        <f>IF('Master Sheet'!C37="Area 1 (Meenu S)",'Master Sheet'!J37,"")</f>
        <v/>
      </c>
      <c r="K36" t="str">
        <f>IF('Master Sheet'!C37="Area 1 (Meenu S)",'Master Sheet'!K37,"")</f>
        <v/>
      </c>
      <c r="L36" t="str">
        <f>IF('Master Sheet'!C37="Area 1 (Meenu S)",'Master Sheet'!L37,"")</f>
        <v/>
      </c>
      <c r="M36" t="str">
        <f>IF('Master Sheet'!C37="Area 1 (Meenu S)",'Master Sheet'!M37,"")</f>
        <v/>
      </c>
      <c r="N36" t="str">
        <f>IF('Master Sheet'!C37="Area 1 (Meenu S)",'Master Sheet'!N37,"")</f>
        <v/>
      </c>
      <c r="O36" t="str">
        <f>IF('Master Sheet'!C37="Area 1 (Meenu S)",'Master Sheet'!O37,"")</f>
        <v/>
      </c>
      <c r="P36" t="str">
        <f>IF('Master Sheet'!C37="Area 1 (Meenu S)",'Master Sheet'!P37,"")</f>
        <v/>
      </c>
    </row>
    <row r="37" spans="1:16" hidden="1" x14ac:dyDescent="0.25">
      <c r="A37" t="str">
        <f>IF('Master Sheet'!C38="Area 1 (Meenu S)",'Master Sheet'!A38,"")</f>
        <v/>
      </c>
      <c r="B37" t="str">
        <f>IF('Master Sheet'!C38="Area 1 (Meenu S)",'Master Sheet'!B38,"")</f>
        <v/>
      </c>
      <c r="C37" t="s">
        <v>4</v>
      </c>
      <c r="D37" t="str">
        <f>IF('Master Sheet'!C38="Area 1 (Meenu S)",'Master Sheet'!D38,"")</f>
        <v/>
      </c>
      <c r="E37" t="str">
        <f>IF('Master Sheet'!C38="Area 1 (Meenu S)",'Master Sheet'!E38,"")</f>
        <v/>
      </c>
      <c r="F37" t="str">
        <f>IF('Master Sheet'!C38="Area 1 (Meenu S)",'Master Sheet'!F38,"")</f>
        <v/>
      </c>
      <c r="G37" t="str">
        <f>IF('Master Sheet'!C38="Area 1 (Meenu S)",'Master Sheet'!G38,"")</f>
        <v/>
      </c>
      <c r="H37" t="str">
        <f>IF('Master Sheet'!C38="Area 1 (Meenu S)",'Master Sheet'!H38,"")</f>
        <v/>
      </c>
      <c r="I37" t="str">
        <f>IF('Master Sheet'!C38="Area 1 (Meenu S)",'Master Sheet'!I38,"")</f>
        <v/>
      </c>
      <c r="J37" t="str">
        <f>IF('Master Sheet'!C38="Area 1 (Meenu S)",'Master Sheet'!J38,"")</f>
        <v/>
      </c>
      <c r="K37" t="str">
        <f>IF('Master Sheet'!C38="Area 1 (Meenu S)",'Master Sheet'!K38,"")</f>
        <v/>
      </c>
      <c r="L37" t="str">
        <f>IF('Master Sheet'!C38="Area 1 (Meenu S)",'Master Sheet'!L38,"")</f>
        <v/>
      </c>
      <c r="M37" t="str">
        <f>IF('Master Sheet'!C38="Area 1 (Meenu S)",'Master Sheet'!M38,"")</f>
        <v/>
      </c>
      <c r="N37" t="str">
        <f>IF('Master Sheet'!C38="Area 1 (Meenu S)",'Master Sheet'!N38,"")</f>
        <v/>
      </c>
      <c r="O37" t="str">
        <f>IF('Master Sheet'!C38="Area 1 (Meenu S)",'Master Sheet'!O38,"")</f>
        <v/>
      </c>
      <c r="P37" t="str">
        <f>IF('Master Sheet'!C38="Area 1 (Meenu S)",'Master Sheet'!P38,"")</f>
        <v/>
      </c>
    </row>
    <row r="38" spans="1:16" hidden="1" x14ac:dyDescent="0.25">
      <c r="A38" t="str">
        <f>IF('Master Sheet'!C39="Area 1 (Meenu S)",'Master Sheet'!A39,"")</f>
        <v/>
      </c>
      <c r="B38" t="str">
        <f>IF('Master Sheet'!C39="Area 1 (Meenu S)",'Master Sheet'!B39,"")</f>
        <v/>
      </c>
      <c r="C38" t="s">
        <v>4</v>
      </c>
      <c r="D38" t="str">
        <f>IF('Master Sheet'!C39="Area 1 (Meenu S)",'Master Sheet'!D39,"")</f>
        <v/>
      </c>
      <c r="E38" t="str">
        <f>IF('Master Sheet'!C39="Area 1 (Meenu S)",'Master Sheet'!E39,"")</f>
        <v/>
      </c>
      <c r="F38" t="str">
        <f>IF('Master Sheet'!C39="Area 1 (Meenu S)",'Master Sheet'!F39,"")</f>
        <v/>
      </c>
      <c r="G38" t="str">
        <f>IF('Master Sheet'!C39="Area 1 (Meenu S)",'Master Sheet'!G39,"")</f>
        <v/>
      </c>
      <c r="H38" t="str">
        <f>IF('Master Sheet'!C39="Area 1 (Meenu S)",'Master Sheet'!H39,"")</f>
        <v/>
      </c>
      <c r="I38" t="str">
        <f>IF('Master Sheet'!C39="Area 1 (Meenu S)",'Master Sheet'!I39,"")</f>
        <v/>
      </c>
      <c r="J38" t="str">
        <f>IF('Master Sheet'!C39="Area 1 (Meenu S)",'Master Sheet'!J39,"")</f>
        <v/>
      </c>
      <c r="K38" t="str">
        <f>IF('Master Sheet'!C39="Area 1 (Meenu S)",'Master Sheet'!K39,"")</f>
        <v/>
      </c>
      <c r="L38" t="str">
        <f>IF('Master Sheet'!C39="Area 1 (Meenu S)",'Master Sheet'!L39,"")</f>
        <v/>
      </c>
      <c r="M38" t="str">
        <f>IF('Master Sheet'!C39="Area 1 (Meenu S)",'Master Sheet'!M39,"")</f>
        <v/>
      </c>
      <c r="N38" t="str">
        <f>IF('Master Sheet'!C39="Area 1 (Meenu S)",'Master Sheet'!N39,"")</f>
        <v/>
      </c>
      <c r="O38" t="str">
        <f>IF('Master Sheet'!C39="Area 1 (Meenu S)",'Master Sheet'!O39,"")</f>
        <v/>
      </c>
      <c r="P38" t="str">
        <f>IF('Master Sheet'!C39="Area 1 (Meenu S)",'Master Sheet'!P39,"")</f>
        <v/>
      </c>
    </row>
    <row r="39" spans="1:16" hidden="1" x14ac:dyDescent="0.25">
      <c r="A39" t="str">
        <f>IF('Master Sheet'!C40="Area 1 (Meenu S)",'Master Sheet'!A40,"")</f>
        <v/>
      </c>
      <c r="B39" t="str">
        <f>IF('Master Sheet'!C40="Area 1 (Meenu S)",'Master Sheet'!B40,"")</f>
        <v/>
      </c>
      <c r="C39" t="s">
        <v>4</v>
      </c>
      <c r="D39" t="str">
        <f>IF('Master Sheet'!C40="Area 1 (Meenu S)",'Master Sheet'!D40,"")</f>
        <v/>
      </c>
      <c r="E39" t="str">
        <f>IF('Master Sheet'!C40="Area 1 (Meenu S)",'Master Sheet'!E40,"")</f>
        <v/>
      </c>
      <c r="F39" t="str">
        <f>IF('Master Sheet'!C40="Area 1 (Meenu S)",'Master Sheet'!F40,"")</f>
        <v/>
      </c>
      <c r="G39" t="str">
        <f>IF('Master Sheet'!C40="Area 1 (Meenu S)",'Master Sheet'!G40,"")</f>
        <v/>
      </c>
      <c r="H39" t="str">
        <f>IF('Master Sheet'!C40="Area 1 (Meenu S)",'Master Sheet'!H40,"")</f>
        <v/>
      </c>
      <c r="I39" t="str">
        <f>IF('Master Sheet'!C40="Area 1 (Meenu S)",'Master Sheet'!I40,"")</f>
        <v/>
      </c>
      <c r="J39" t="str">
        <f>IF('Master Sheet'!C40="Area 1 (Meenu S)",'Master Sheet'!J40,"")</f>
        <v/>
      </c>
      <c r="K39" t="str">
        <f>IF('Master Sheet'!C40="Area 1 (Meenu S)",'Master Sheet'!K40,"")</f>
        <v/>
      </c>
      <c r="L39" t="str">
        <f>IF('Master Sheet'!C40="Area 1 (Meenu S)",'Master Sheet'!L40,"")</f>
        <v/>
      </c>
      <c r="M39" t="str">
        <f>IF('Master Sheet'!C40="Area 1 (Meenu S)",'Master Sheet'!M40,"")</f>
        <v/>
      </c>
      <c r="N39" t="str">
        <f>IF('Master Sheet'!C40="Area 1 (Meenu S)",'Master Sheet'!N40,"")</f>
        <v/>
      </c>
      <c r="O39" t="str">
        <f>IF('Master Sheet'!C40="Area 1 (Meenu S)",'Master Sheet'!O40,"")</f>
        <v/>
      </c>
      <c r="P39" t="str">
        <f>IF('Master Sheet'!C40="Area 1 (Meenu S)",'Master Sheet'!P40,"")</f>
        <v/>
      </c>
    </row>
    <row r="40" spans="1:16" hidden="1" x14ac:dyDescent="0.25">
      <c r="A40" t="str">
        <f>IF('Master Sheet'!C41="Area 1 (Meenu S)",'Master Sheet'!A41,"")</f>
        <v/>
      </c>
      <c r="B40" t="str">
        <f>IF('Master Sheet'!C41="Area 1 (Meenu S)",'Master Sheet'!B41,"")</f>
        <v/>
      </c>
      <c r="C40" t="s">
        <v>4</v>
      </c>
      <c r="D40" t="str">
        <f>IF('Master Sheet'!C41="Area 1 (Meenu S)",'Master Sheet'!D41,"")</f>
        <v/>
      </c>
      <c r="E40" t="str">
        <f>IF('Master Sheet'!C41="Area 1 (Meenu S)",'Master Sheet'!E41,"")</f>
        <v/>
      </c>
      <c r="F40" t="str">
        <f>IF('Master Sheet'!C41="Area 1 (Meenu S)",'Master Sheet'!F41,"")</f>
        <v/>
      </c>
      <c r="G40" t="str">
        <f>IF('Master Sheet'!C41="Area 1 (Meenu S)",'Master Sheet'!G41,"")</f>
        <v/>
      </c>
      <c r="H40" t="str">
        <f>IF('Master Sheet'!C41="Area 1 (Meenu S)",'Master Sheet'!H41,"")</f>
        <v/>
      </c>
      <c r="I40" t="str">
        <f>IF('Master Sheet'!C41="Area 1 (Meenu S)",'Master Sheet'!I41,"")</f>
        <v/>
      </c>
      <c r="J40" t="str">
        <f>IF('Master Sheet'!C41="Area 1 (Meenu S)",'Master Sheet'!J41,"")</f>
        <v/>
      </c>
      <c r="K40" t="str">
        <f>IF('Master Sheet'!C41="Area 1 (Meenu S)",'Master Sheet'!K41,"")</f>
        <v/>
      </c>
      <c r="L40" t="str">
        <f>IF('Master Sheet'!C41="Area 1 (Meenu S)",'Master Sheet'!L41,"")</f>
        <v/>
      </c>
      <c r="M40" t="str">
        <f>IF('Master Sheet'!C41="Area 1 (Meenu S)",'Master Sheet'!M41,"")</f>
        <v/>
      </c>
      <c r="N40" t="str">
        <f>IF('Master Sheet'!C41="Area 1 (Meenu S)",'Master Sheet'!N41,"")</f>
        <v/>
      </c>
      <c r="O40" t="str">
        <f>IF('Master Sheet'!C41="Area 1 (Meenu S)",'Master Sheet'!O41,"")</f>
        <v/>
      </c>
      <c r="P40" t="str">
        <f>IF('Master Sheet'!C41="Area 1 (Meenu S)",'Master Sheet'!P41,"")</f>
        <v/>
      </c>
    </row>
    <row r="41" spans="1:16" hidden="1" x14ac:dyDescent="0.25">
      <c r="A41" t="str">
        <f>IF('Master Sheet'!C42="Area 1 (Meenu S)",'Master Sheet'!A42,"")</f>
        <v/>
      </c>
      <c r="B41" t="str">
        <f>IF('Master Sheet'!C42="Area 1 (Meenu S)",'Master Sheet'!B42,"")</f>
        <v/>
      </c>
      <c r="C41" t="s">
        <v>4</v>
      </c>
      <c r="D41" t="str">
        <f>IF('Master Sheet'!C42="Area 1 (Meenu S)",'Master Sheet'!D42,"")</f>
        <v/>
      </c>
      <c r="E41" t="str">
        <f>IF('Master Sheet'!C42="Area 1 (Meenu S)",'Master Sheet'!E42,"")</f>
        <v/>
      </c>
      <c r="F41" t="str">
        <f>IF('Master Sheet'!C42="Area 1 (Meenu S)",'Master Sheet'!F42,"")</f>
        <v/>
      </c>
      <c r="G41" t="str">
        <f>IF('Master Sheet'!C42="Area 1 (Meenu S)",'Master Sheet'!G42,"")</f>
        <v/>
      </c>
      <c r="H41" t="str">
        <f>IF('Master Sheet'!C42="Area 1 (Meenu S)",'Master Sheet'!H42,"")</f>
        <v/>
      </c>
      <c r="I41" t="str">
        <f>IF('Master Sheet'!C42="Area 1 (Meenu S)",'Master Sheet'!I42,"")</f>
        <v/>
      </c>
      <c r="J41" t="str">
        <f>IF('Master Sheet'!C42="Area 1 (Meenu S)",'Master Sheet'!J42,"")</f>
        <v/>
      </c>
      <c r="K41" t="str">
        <f>IF('Master Sheet'!C42="Area 1 (Meenu S)",'Master Sheet'!K42,"")</f>
        <v/>
      </c>
      <c r="L41" t="str">
        <f>IF('Master Sheet'!C42="Area 1 (Meenu S)",'Master Sheet'!L42,"")</f>
        <v/>
      </c>
      <c r="M41" t="str">
        <f>IF('Master Sheet'!C42="Area 1 (Meenu S)",'Master Sheet'!M42,"")</f>
        <v/>
      </c>
      <c r="N41" t="str">
        <f>IF('Master Sheet'!C42="Area 1 (Meenu S)",'Master Sheet'!N42,"")</f>
        <v/>
      </c>
      <c r="O41" t="str">
        <f>IF('Master Sheet'!C42="Area 1 (Meenu S)",'Master Sheet'!O42,"")</f>
        <v/>
      </c>
      <c r="P41" t="str">
        <f>IF('Master Sheet'!C42="Area 1 (Meenu S)",'Master Sheet'!P42,"")</f>
        <v/>
      </c>
    </row>
    <row r="42" spans="1:16" hidden="1" x14ac:dyDescent="0.25">
      <c r="A42" t="str">
        <f>IF('Master Sheet'!C43="Area 1 (Meenu S)",'Master Sheet'!A43,"")</f>
        <v/>
      </c>
      <c r="B42" t="str">
        <f>IF('Master Sheet'!C43="Area 1 (Meenu S)",'Master Sheet'!B43,"")</f>
        <v/>
      </c>
      <c r="C42" t="s">
        <v>4</v>
      </c>
      <c r="D42" t="str">
        <f>IF('Master Sheet'!C43="Area 1 (Meenu S)",'Master Sheet'!D43,"")</f>
        <v/>
      </c>
      <c r="E42" t="str">
        <f>IF('Master Sheet'!C43="Area 1 (Meenu S)",'Master Sheet'!E43,"")</f>
        <v/>
      </c>
      <c r="F42" t="str">
        <f>IF('Master Sheet'!C43="Area 1 (Meenu S)",'Master Sheet'!F43,"")</f>
        <v/>
      </c>
      <c r="G42" t="str">
        <f>IF('Master Sheet'!C43="Area 1 (Meenu S)",'Master Sheet'!G43,"")</f>
        <v/>
      </c>
      <c r="H42" t="str">
        <f>IF('Master Sheet'!C43="Area 1 (Meenu S)",'Master Sheet'!H43,"")</f>
        <v/>
      </c>
      <c r="I42" t="str">
        <f>IF('Master Sheet'!C43="Area 1 (Meenu S)",'Master Sheet'!I43,"")</f>
        <v/>
      </c>
      <c r="J42" t="str">
        <f>IF('Master Sheet'!C43="Area 1 (Meenu S)",'Master Sheet'!J43,"")</f>
        <v/>
      </c>
      <c r="K42" t="str">
        <f>IF('Master Sheet'!C43="Area 1 (Meenu S)",'Master Sheet'!K43,"")</f>
        <v/>
      </c>
      <c r="L42" t="str">
        <f>IF('Master Sheet'!C43="Area 1 (Meenu S)",'Master Sheet'!L43,"")</f>
        <v/>
      </c>
      <c r="M42" t="str">
        <f>IF('Master Sheet'!C43="Area 1 (Meenu S)",'Master Sheet'!M43,"")</f>
        <v/>
      </c>
      <c r="N42" t="str">
        <f>IF('Master Sheet'!C43="Area 1 (Meenu S)",'Master Sheet'!N43,"")</f>
        <v/>
      </c>
      <c r="O42" t="str">
        <f>IF('Master Sheet'!C43="Area 1 (Meenu S)",'Master Sheet'!O43,"")</f>
        <v/>
      </c>
      <c r="P42" t="str">
        <f>IF('Master Sheet'!C43="Area 1 (Meenu S)",'Master Sheet'!P43,"")</f>
        <v/>
      </c>
    </row>
    <row r="43" spans="1:16" hidden="1" x14ac:dyDescent="0.25">
      <c r="A43" t="str">
        <f>IF('Master Sheet'!C44="Area 1 (Meenu S)",'Master Sheet'!A44,"")</f>
        <v/>
      </c>
      <c r="B43" t="str">
        <f>IF('Master Sheet'!C44="Area 1 (Meenu S)",'Master Sheet'!B44,"")</f>
        <v/>
      </c>
      <c r="C43" t="s">
        <v>4</v>
      </c>
      <c r="D43" t="str">
        <f>IF('Master Sheet'!C44="Area 1 (Meenu S)",'Master Sheet'!D44,"")</f>
        <v/>
      </c>
      <c r="E43" t="str">
        <f>IF('Master Sheet'!C44="Area 1 (Meenu S)",'Master Sheet'!E44,"")</f>
        <v/>
      </c>
      <c r="F43" t="str">
        <f>IF('Master Sheet'!C44="Area 1 (Meenu S)",'Master Sheet'!F44,"")</f>
        <v/>
      </c>
      <c r="G43" t="str">
        <f>IF('Master Sheet'!C44="Area 1 (Meenu S)",'Master Sheet'!G44,"")</f>
        <v/>
      </c>
      <c r="H43" t="str">
        <f>IF('Master Sheet'!C44="Area 1 (Meenu S)",'Master Sheet'!H44,"")</f>
        <v/>
      </c>
      <c r="I43" t="str">
        <f>IF('Master Sheet'!C44="Area 1 (Meenu S)",'Master Sheet'!I44,"")</f>
        <v/>
      </c>
      <c r="J43" t="str">
        <f>IF('Master Sheet'!C44="Area 1 (Meenu S)",'Master Sheet'!J44,"")</f>
        <v/>
      </c>
      <c r="K43" t="str">
        <f>IF('Master Sheet'!C44="Area 1 (Meenu S)",'Master Sheet'!K44,"")</f>
        <v/>
      </c>
      <c r="L43" t="str">
        <f>IF('Master Sheet'!C44="Area 1 (Meenu S)",'Master Sheet'!L44,"")</f>
        <v/>
      </c>
      <c r="M43" t="str">
        <f>IF('Master Sheet'!C44="Area 1 (Meenu S)",'Master Sheet'!M44,"")</f>
        <v/>
      </c>
      <c r="N43" t="str">
        <f>IF('Master Sheet'!C44="Area 1 (Meenu S)",'Master Sheet'!N44,"")</f>
        <v/>
      </c>
      <c r="O43" t="str">
        <f>IF('Master Sheet'!C44="Area 1 (Meenu S)",'Master Sheet'!O44,"")</f>
        <v/>
      </c>
      <c r="P43" t="str">
        <f>IF('Master Sheet'!C44="Area 1 (Meenu S)",'Master Sheet'!P44,"")</f>
        <v/>
      </c>
    </row>
    <row r="44" spans="1:16" hidden="1" x14ac:dyDescent="0.25">
      <c r="A44" t="str">
        <f>IF('Master Sheet'!C45="Area 1 (Meenu S)",'Master Sheet'!A45,"")</f>
        <v/>
      </c>
      <c r="B44" t="str">
        <f>IF('Master Sheet'!C45="Area 1 (Meenu S)",'Master Sheet'!B45,"")</f>
        <v/>
      </c>
      <c r="C44" t="s">
        <v>4</v>
      </c>
      <c r="D44" t="str">
        <f>IF('Master Sheet'!C45="Area 1 (Meenu S)",'Master Sheet'!D45,"")</f>
        <v/>
      </c>
      <c r="E44" t="str">
        <f>IF('Master Sheet'!C45="Area 1 (Meenu S)",'Master Sheet'!E45,"")</f>
        <v/>
      </c>
      <c r="F44" t="str">
        <f>IF('Master Sheet'!C45="Area 1 (Meenu S)",'Master Sheet'!F45,"")</f>
        <v/>
      </c>
      <c r="G44" t="str">
        <f>IF('Master Sheet'!C45="Area 1 (Meenu S)",'Master Sheet'!G45,"")</f>
        <v/>
      </c>
      <c r="H44" t="str">
        <f>IF('Master Sheet'!C45="Area 1 (Meenu S)",'Master Sheet'!H45,"")</f>
        <v/>
      </c>
      <c r="I44" t="str">
        <f>IF('Master Sheet'!C45="Area 1 (Meenu S)",'Master Sheet'!I45,"")</f>
        <v/>
      </c>
      <c r="J44" t="str">
        <f>IF('Master Sheet'!C45="Area 1 (Meenu S)",'Master Sheet'!J45,"")</f>
        <v/>
      </c>
      <c r="K44" t="str">
        <f>IF('Master Sheet'!C45="Area 1 (Meenu S)",'Master Sheet'!K45,"")</f>
        <v/>
      </c>
      <c r="L44" t="str">
        <f>IF('Master Sheet'!C45="Area 1 (Meenu S)",'Master Sheet'!L45,"")</f>
        <v/>
      </c>
      <c r="M44" t="str">
        <f>IF('Master Sheet'!C45="Area 1 (Meenu S)",'Master Sheet'!M45,"")</f>
        <v/>
      </c>
      <c r="N44" t="str">
        <f>IF('Master Sheet'!C45="Area 1 (Meenu S)",'Master Sheet'!N45,"")</f>
        <v/>
      </c>
      <c r="O44" t="str">
        <f>IF('Master Sheet'!C45="Area 1 (Meenu S)",'Master Sheet'!O45,"")</f>
        <v/>
      </c>
      <c r="P44" t="str">
        <f>IF('Master Sheet'!C45="Area 1 (Meenu S)",'Master Sheet'!P45,"")</f>
        <v/>
      </c>
    </row>
    <row r="45" spans="1:16" hidden="1" x14ac:dyDescent="0.25">
      <c r="A45" t="str">
        <f>IF('Master Sheet'!C46="Area 1 (Meenu S)",'Master Sheet'!A46,"")</f>
        <v/>
      </c>
      <c r="B45" t="str">
        <f>IF('Master Sheet'!C46="Area 1 (Meenu S)",'Master Sheet'!B46,"")</f>
        <v/>
      </c>
      <c r="C45" t="s">
        <v>4</v>
      </c>
      <c r="D45" t="str">
        <f>IF('Master Sheet'!C46="Area 1 (Meenu S)",'Master Sheet'!D46,"")</f>
        <v/>
      </c>
      <c r="E45" t="str">
        <f>IF('Master Sheet'!C46="Area 1 (Meenu S)",'Master Sheet'!E46,"")</f>
        <v/>
      </c>
      <c r="F45" t="str">
        <f>IF('Master Sheet'!C46="Area 1 (Meenu S)",'Master Sheet'!F46,"")</f>
        <v/>
      </c>
      <c r="G45" t="str">
        <f>IF('Master Sheet'!C46="Area 1 (Meenu S)",'Master Sheet'!G46,"")</f>
        <v/>
      </c>
      <c r="H45" t="str">
        <f>IF('Master Sheet'!C46="Area 1 (Meenu S)",'Master Sheet'!H46,"")</f>
        <v/>
      </c>
      <c r="I45" t="str">
        <f>IF('Master Sheet'!C46="Area 1 (Meenu S)",'Master Sheet'!I46,"")</f>
        <v/>
      </c>
      <c r="J45" t="str">
        <f>IF('Master Sheet'!C46="Area 1 (Meenu S)",'Master Sheet'!J46,"")</f>
        <v/>
      </c>
      <c r="K45" t="str">
        <f>IF('Master Sheet'!C46="Area 1 (Meenu S)",'Master Sheet'!K46,"")</f>
        <v/>
      </c>
      <c r="L45" t="str">
        <f>IF('Master Sheet'!C46="Area 1 (Meenu S)",'Master Sheet'!L46,"")</f>
        <v/>
      </c>
      <c r="M45" t="str">
        <f>IF('Master Sheet'!C46="Area 1 (Meenu S)",'Master Sheet'!M46,"")</f>
        <v/>
      </c>
      <c r="N45" t="str">
        <f>IF('Master Sheet'!C46="Area 1 (Meenu S)",'Master Sheet'!N46,"")</f>
        <v/>
      </c>
      <c r="O45" t="str">
        <f>IF('Master Sheet'!C46="Area 1 (Meenu S)",'Master Sheet'!O46,"")</f>
        <v/>
      </c>
      <c r="P45" t="str">
        <f>IF('Master Sheet'!C46="Area 1 (Meenu S)",'Master Sheet'!P46,"")</f>
        <v/>
      </c>
    </row>
    <row r="46" spans="1:16" hidden="1" x14ac:dyDescent="0.25">
      <c r="A46" t="str">
        <f>IF('Master Sheet'!C47="Area 1 (Meenu S)",'Master Sheet'!A47,"")</f>
        <v/>
      </c>
      <c r="B46" t="str">
        <f>IF('Master Sheet'!C47="Area 1 (Meenu S)",'Master Sheet'!B47,"")</f>
        <v/>
      </c>
      <c r="C46" t="s">
        <v>4</v>
      </c>
      <c r="D46" t="str">
        <f>IF('Master Sheet'!C47="Area 1 (Meenu S)",'Master Sheet'!D47,"")</f>
        <v/>
      </c>
      <c r="E46" t="str">
        <f>IF('Master Sheet'!C47="Area 1 (Meenu S)",'Master Sheet'!E47,"")</f>
        <v/>
      </c>
      <c r="F46" t="str">
        <f>IF('Master Sheet'!C47="Area 1 (Meenu S)",'Master Sheet'!F47,"")</f>
        <v/>
      </c>
      <c r="G46" t="str">
        <f>IF('Master Sheet'!C47="Area 1 (Meenu S)",'Master Sheet'!G47,"")</f>
        <v/>
      </c>
      <c r="H46" t="str">
        <f>IF('Master Sheet'!C47="Area 1 (Meenu S)",'Master Sheet'!H47,"")</f>
        <v/>
      </c>
      <c r="I46" t="str">
        <f>IF('Master Sheet'!C47="Area 1 (Meenu S)",'Master Sheet'!I47,"")</f>
        <v/>
      </c>
      <c r="J46" t="str">
        <f>IF('Master Sheet'!C47="Area 1 (Meenu S)",'Master Sheet'!J47,"")</f>
        <v/>
      </c>
      <c r="K46" t="str">
        <f>IF('Master Sheet'!C47="Area 1 (Meenu S)",'Master Sheet'!K47,"")</f>
        <v/>
      </c>
      <c r="L46" t="str">
        <f>IF('Master Sheet'!C47="Area 1 (Meenu S)",'Master Sheet'!L47,"")</f>
        <v/>
      </c>
      <c r="M46" t="str">
        <f>IF('Master Sheet'!C47="Area 1 (Meenu S)",'Master Sheet'!M47,"")</f>
        <v/>
      </c>
      <c r="N46" t="str">
        <f>IF('Master Sheet'!C47="Area 1 (Meenu S)",'Master Sheet'!N47,"")</f>
        <v/>
      </c>
      <c r="O46" t="str">
        <f>IF('Master Sheet'!C47="Area 1 (Meenu S)",'Master Sheet'!O47,"")</f>
        <v/>
      </c>
      <c r="P46" t="str">
        <f>IF('Master Sheet'!C47="Area 1 (Meenu S)",'Master Sheet'!P47,"")</f>
        <v/>
      </c>
    </row>
    <row r="47" spans="1:16" hidden="1" x14ac:dyDescent="0.25">
      <c r="A47" t="str">
        <f>IF('Master Sheet'!C48="Area 1 (Meenu S)",'Master Sheet'!A48,"")</f>
        <v/>
      </c>
      <c r="B47" t="str">
        <f>IF('Master Sheet'!C48="Area 1 (Meenu S)",'Master Sheet'!B48,"")</f>
        <v/>
      </c>
      <c r="C47" t="s">
        <v>4</v>
      </c>
      <c r="D47" t="str">
        <f>IF('Master Sheet'!C48="Area 1 (Meenu S)",'Master Sheet'!D48,"")</f>
        <v/>
      </c>
      <c r="E47" t="str">
        <f>IF('Master Sheet'!C48="Area 1 (Meenu S)",'Master Sheet'!E48,"")</f>
        <v/>
      </c>
      <c r="F47" t="str">
        <f>IF('Master Sheet'!C48="Area 1 (Meenu S)",'Master Sheet'!F48,"")</f>
        <v/>
      </c>
      <c r="G47" t="str">
        <f>IF('Master Sheet'!C48="Area 1 (Meenu S)",'Master Sheet'!G48,"")</f>
        <v/>
      </c>
      <c r="H47" t="str">
        <f>IF('Master Sheet'!C48="Area 1 (Meenu S)",'Master Sheet'!H48,"")</f>
        <v/>
      </c>
      <c r="I47" t="str">
        <f>IF('Master Sheet'!C48="Area 1 (Meenu S)",'Master Sheet'!I48,"")</f>
        <v/>
      </c>
      <c r="J47" t="str">
        <f>IF('Master Sheet'!C48="Area 1 (Meenu S)",'Master Sheet'!J48,"")</f>
        <v/>
      </c>
      <c r="K47" t="str">
        <f>IF('Master Sheet'!C48="Area 1 (Meenu S)",'Master Sheet'!K48,"")</f>
        <v/>
      </c>
      <c r="L47" t="str">
        <f>IF('Master Sheet'!C48="Area 1 (Meenu S)",'Master Sheet'!L48,"")</f>
        <v/>
      </c>
      <c r="M47" t="str">
        <f>IF('Master Sheet'!C48="Area 1 (Meenu S)",'Master Sheet'!M48,"")</f>
        <v/>
      </c>
      <c r="N47" t="str">
        <f>IF('Master Sheet'!C48="Area 1 (Meenu S)",'Master Sheet'!N48,"")</f>
        <v/>
      </c>
      <c r="O47" t="str">
        <f>IF('Master Sheet'!C48="Area 1 (Meenu S)",'Master Sheet'!O48,"")</f>
        <v/>
      </c>
      <c r="P47" t="str">
        <f>IF('Master Sheet'!C48="Area 1 (Meenu S)",'Master Sheet'!P48,"")</f>
        <v/>
      </c>
    </row>
    <row r="48" spans="1:16" hidden="1" x14ac:dyDescent="0.25">
      <c r="A48" t="str">
        <f>IF('Master Sheet'!C49="Area 1 (Meenu S)",'Master Sheet'!A49,"")</f>
        <v/>
      </c>
      <c r="B48" t="str">
        <f>IF('Master Sheet'!C49="Area 1 (Meenu S)",'Master Sheet'!B49,"")</f>
        <v/>
      </c>
      <c r="C48" t="s">
        <v>4</v>
      </c>
      <c r="D48" t="str">
        <f>IF('Master Sheet'!C49="Area 1 (Meenu S)",'Master Sheet'!D49,"")</f>
        <v/>
      </c>
      <c r="E48" t="str">
        <f>IF('Master Sheet'!C49="Area 1 (Meenu S)",'Master Sheet'!E49,"")</f>
        <v/>
      </c>
      <c r="F48" t="str">
        <f>IF('Master Sheet'!C49="Area 1 (Meenu S)",'Master Sheet'!F49,"")</f>
        <v/>
      </c>
      <c r="G48" t="str">
        <f>IF('Master Sheet'!C49="Area 1 (Meenu S)",'Master Sheet'!G49,"")</f>
        <v/>
      </c>
      <c r="H48" t="str">
        <f>IF('Master Sheet'!C49="Area 1 (Meenu S)",'Master Sheet'!H49,"")</f>
        <v/>
      </c>
      <c r="I48" t="str">
        <f>IF('Master Sheet'!C49="Area 1 (Meenu S)",'Master Sheet'!I49,"")</f>
        <v/>
      </c>
      <c r="J48" t="str">
        <f>IF('Master Sheet'!C49="Area 1 (Meenu S)",'Master Sheet'!J49,"")</f>
        <v/>
      </c>
      <c r="K48" t="str">
        <f>IF('Master Sheet'!C49="Area 1 (Meenu S)",'Master Sheet'!K49,"")</f>
        <v/>
      </c>
      <c r="L48" t="str">
        <f>IF('Master Sheet'!C49="Area 1 (Meenu S)",'Master Sheet'!L49,"")</f>
        <v/>
      </c>
      <c r="M48" t="str">
        <f>IF('Master Sheet'!C49="Area 1 (Meenu S)",'Master Sheet'!M49,"")</f>
        <v/>
      </c>
      <c r="N48" t="str">
        <f>IF('Master Sheet'!C49="Area 1 (Meenu S)",'Master Sheet'!N49,"")</f>
        <v/>
      </c>
      <c r="O48" t="str">
        <f>IF('Master Sheet'!C49="Area 1 (Meenu S)",'Master Sheet'!O49,"")</f>
        <v/>
      </c>
      <c r="P48" t="str">
        <f>IF('Master Sheet'!C49="Area 1 (Meenu S)",'Master Sheet'!P49,"")</f>
        <v/>
      </c>
    </row>
    <row r="49" spans="1:16" hidden="1" x14ac:dyDescent="0.25">
      <c r="A49" t="str">
        <f>IF('Master Sheet'!C50="Area 1 (Meenu S)",'Master Sheet'!A50,"")</f>
        <v/>
      </c>
      <c r="B49" t="str">
        <f>IF('Master Sheet'!C50="Area 1 (Meenu S)",'Master Sheet'!B50,"")</f>
        <v/>
      </c>
      <c r="C49" t="s">
        <v>4</v>
      </c>
      <c r="D49" t="str">
        <f>IF('Master Sheet'!C50="Area 1 (Meenu S)",'Master Sheet'!D50,"")</f>
        <v/>
      </c>
      <c r="E49" t="str">
        <f>IF('Master Sheet'!C50="Area 1 (Meenu S)",'Master Sheet'!E50,"")</f>
        <v/>
      </c>
      <c r="F49" t="str">
        <f>IF('Master Sheet'!C50="Area 1 (Meenu S)",'Master Sheet'!F50,"")</f>
        <v/>
      </c>
      <c r="G49" t="str">
        <f>IF('Master Sheet'!C50="Area 1 (Meenu S)",'Master Sheet'!G50,"")</f>
        <v/>
      </c>
      <c r="H49" t="str">
        <f>IF('Master Sheet'!C50="Area 1 (Meenu S)",'Master Sheet'!H50,"")</f>
        <v/>
      </c>
      <c r="I49" t="str">
        <f>IF('Master Sheet'!C50="Area 1 (Meenu S)",'Master Sheet'!I50,"")</f>
        <v/>
      </c>
      <c r="J49" t="str">
        <f>IF('Master Sheet'!C50="Area 1 (Meenu S)",'Master Sheet'!J50,"")</f>
        <v/>
      </c>
      <c r="K49" t="str">
        <f>IF('Master Sheet'!C50="Area 1 (Meenu S)",'Master Sheet'!K50,"")</f>
        <v/>
      </c>
      <c r="L49" t="str">
        <f>IF('Master Sheet'!C50="Area 1 (Meenu S)",'Master Sheet'!L50,"")</f>
        <v/>
      </c>
      <c r="M49" t="str">
        <f>IF('Master Sheet'!C50="Area 1 (Meenu S)",'Master Sheet'!M50,"")</f>
        <v/>
      </c>
      <c r="N49" t="str">
        <f>IF('Master Sheet'!C50="Area 1 (Meenu S)",'Master Sheet'!N50,"")</f>
        <v/>
      </c>
      <c r="O49" t="str">
        <f>IF('Master Sheet'!C50="Area 1 (Meenu S)",'Master Sheet'!O50,"")</f>
        <v/>
      </c>
      <c r="P49" t="str">
        <f>IF('Master Sheet'!C50="Area 1 (Meenu S)",'Master Sheet'!P50,"")</f>
        <v/>
      </c>
    </row>
    <row r="50" spans="1:16" hidden="1" x14ac:dyDescent="0.25">
      <c r="A50" t="str">
        <f>IF('Master Sheet'!C51="Area 1 (Meenu S)",'Master Sheet'!A51,"")</f>
        <v/>
      </c>
      <c r="B50" t="str">
        <f>IF('Master Sheet'!C51="Area 1 (Meenu S)",'Master Sheet'!B51,"")</f>
        <v/>
      </c>
      <c r="C50" t="s">
        <v>4</v>
      </c>
      <c r="D50" t="str">
        <f>IF('Master Sheet'!C51="Area 1 (Meenu S)",'Master Sheet'!D51,"")</f>
        <v/>
      </c>
      <c r="E50" t="str">
        <f>IF('Master Sheet'!C51="Area 1 (Meenu S)",'Master Sheet'!E51,"")</f>
        <v/>
      </c>
      <c r="F50" t="str">
        <f>IF('Master Sheet'!C51="Area 1 (Meenu S)",'Master Sheet'!F51,"")</f>
        <v/>
      </c>
      <c r="G50" t="str">
        <f>IF('Master Sheet'!C51="Area 1 (Meenu S)",'Master Sheet'!G51,"")</f>
        <v/>
      </c>
      <c r="H50" t="str">
        <f>IF('Master Sheet'!C51="Area 1 (Meenu S)",'Master Sheet'!H51,"")</f>
        <v/>
      </c>
      <c r="I50" t="str">
        <f>IF('Master Sheet'!C51="Area 1 (Meenu S)",'Master Sheet'!I51,"")</f>
        <v/>
      </c>
      <c r="J50" t="str">
        <f>IF('Master Sheet'!C51="Area 1 (Meenu S)",'Master Sheet'!J51,"")</f>
        <v/>
      </c>
      <c r="K50" t="str">
        <f>IF('Master Sheet'!C51="Area 1 (Meenu S)",'Master Sheet'!K51,"")</f>
        <v/>
      </c>
      <c r="L50" t="str">
        <f>IF('Master Sheet'!C51="Area 1 (Meenu S)",'Master Sheet'!L51,"")</f>
        <v/>
      </c>
      <c r="M50" t="str">
        <f>IF('Master Sheet'!C51="Area 1 (Meenu S)",'Master Sheet'!M51,"")</f>
        <v/>
      </c>
      <c r="N50" t="str">
        <f>IF('Master Sheet'!C51="Area 1 (Meenu S)",'Master Sheet'!N51,"")</f>
        <v/>
      </c>
      <c r="O50" t="str">
        <f>IF('Master Sheet'!C51="Area 1 (Meenu S)",'Master Sheet'!O51,"")</f>
        <v/>
      </c>
      <c r="P50" t="str">
        <f>IF('Master Sheet'!C51="Area 1 (Meenu S)",'Master Sheet'!P51,"")</f>
        <v/>
      </c>
    </row>
    <row r="51" spans="1:16" hidden="1" x14ac:dyDescent="0.25">
      <c r="A51" t="str">
        <f>IF('Master Sheet'!C52="Area 1 (Meenu S)",'Master Sheet'!A52,"")</f>
        <v/>
      </c>
      <c r="B51" t="str">
        <f>IF('Master Sheet'!C52="Area 1 (Meenu S)",'Master Sheet'!B52,"")</f>
        <v/>
      </c>
      <c r="C51" t="s">
        <v>4</v>
      </c>
      <c r="D51" t="str">
        <f>IF('Master Sheet'!C52="Area 1 (Meenu S)",'Master Sheet'!D52,"")</f>
        <v/>
      </c>
      <c r="E51" t="str">
        <f>IF('Master Sheet'!C52="Area 1 (Meenu S)",'Master Sheet'!E52,"")</f>
        <v/>
      </c>
      <c r="F51" t="str">
        <f>IF('Master Sheet'!C52="Area 1 (Meenu S)",'Master Sheet'!F52,"")</f>
        <v/>
      </c>
      <c r="G51" t="str">
        <f>IF('Master Sheet'!C52="Area 1 (Meenu S)",'Master Sheet'!G52,"")</f>
        <v/>
      </c>
      <c r="H51" t="str">
        <f>IF('Master Sheet'!C52="Area 1 (Meenu S)",'Master Sheet'!H52,"")</f>
        <v/>
      </c>
      <c r="I51" t="str">
        <f>IF('Master Sheet'!C52="Area 1 (Meenu S)",'Master Sheet'!I52,"")</f>
        <v/>
      </c>
      <c r="J51" t="str">
        <f>IF('Master Sheet'!C52="Area 1 (Meenu S)",'Master Sheet'!J52,"")</f>
        <v/>
      </c>
      <c r="K51" t="str">
        <f>IF('Master Sheet'!C52="Area 1 (Meenu S)",'Master Sheet'!K52,"")</f>
        <v/>
      </c>
      <c r="L51" t="str">
        <f>IF('Master Sheet'!C52="Area 1 (Meenu S)",'Master Sheet'!L52,"")</f>
        <v/>
      </c>
      <c r="M51" t="str">
        <f>IF('Master Sheet'!C52="Area 1 (Meenu S)",'Master Sheet'!M52,"")</f>
        <v/>
      </c>
      <c r="N51" t="str">
        <f>IF('Master Sheet'!C52="Area 1 (Meenu S)",'Master Sheet'!N52,"")</f>
        <v/>
      </c>
      <c r="O51" t="str">
        <f>IF('Master Sheet'!C52="Area 1 (Meenu S)",'Master Sheet'!O52,"")</f>
        <v/>
      </c>
      <c r="P51" t="str">
        <f>IF('Master Sheet'!C52="Area 1 (Meenu S)",'Master Sheet'!P52,"")</f>
        <v/>
      </c>
    </row>
    <row r="52" spans="1:16" hidden="1" x14ac:dyDescent="0.25">
      <c r="A52" t="str">
        <f>IF('Master Sheet'!C53="Area 1 (Meenu S)",'Master Sheet'!A53,"")</f>
        <v/>
      </c>
      <c r="B52" t="str">
        <f>IF('Master Sheet'!C53="Area 1 (Meenu S)",'Master Sheet'!B53,"")</f>
        <v/>
      </c>
      <c r="C52" t="s">
        <v>4</v>
      </c>
      <c r="D52" t="str">
        <f>IF('Master Sheet'!C53="Area 1 (Meenu S)",'Master Sheet'!D53,"")</f>
        <v/>
      </c>
      <c r="E52" t="str">
        <f>IF('Master Sheet'!C53="Area 1 (Meenu S)",'Master Sheet'!E53,"")</f>
        <v/>
      </c>
      <c r="F52" t="str">
        <f>IF('Master Sheet'!C53="Area 1 (Meenu S)",'Master Sheet'!F53,"")</f>
        <v/>
      </c>
      <c r="G52" t="str">
        <f>IF('Master Sheet'!C53="Area 1 (Meenu S)",'Master Sheet'!G53,"")</f>
        <v/>
      </c>
      <c r="H52" t="str">
        <f>IF('Master Sheet'!C53="Area 1 (Meenu S)",'Master Sheet'!H53,"")</f>
        <v/>
      </c>
      <c r="I52" t="str">
        <f>IF('Master Sheet'!C53="Area 1 (Meenu S)",'Master Sheet'!I53,"")</f>
        <v/>
      </c>
      <c r="J52" t="str">
        <f>IF('Master Sheet'!C53="Area 1 (Meenu S)",'Master Sheet'!J53,"")</f>
        <v/>
      </c>
      <c r="K52" t="str">
        <f>IF('Master Sheet'!C53="Area 1 (Meenu S)",'Master Sheet'!K53,"")</f>
        <v/>
      </c>
      <c r="L52" t="str">
        <f>IF('Master Sheet'!C53="Area 1 (Meenu S)",'Master Sheet'!L53,"")</f>
        <v/>
      </c>
      <c r="M52" t="str">
        <f>IF('Master Sheet'!C53="Area 1 (Meenu S)",'Master Sheet'!M53,"")</f>
        <v/>
      </c>
      <c r="N52" t="str">
        <f>IF('Master Sheet'!C53="Area 1 (Meenu S)",'Master Sheet'!N53,"")</f>
        <v/>
      </c>
      <c r="O52" t="str">
        <f>IF('Master Sheet'!C53="Area 1 (Meenu S)",'Master Sheet'!O53,"")</f>
        <v/>
      </c>
      <c r="P52" t="str">
        <f>IF('Master Sheet'!C53="Area 1 (Meenu S)",'Master Sheet'!P53,"")</f>
        <v/>
      </c>
    </row>
    <row r="53" spans="1:16" hidden="1" x14ac:dyDescent="0.25">
      <c r="A53" t="str">
        <f>IF('Master Sheet'!C54="Area 1 (Meenu S)",'Master Sheet'!A54,"")</f>
        <v/>
      </c>
      <c r="B53" t="str">
        <f>IF('Master Sheet'!C54="Area 1 (Meenu S)",'Master Sheet'!B54,"")</f>
        <v/>
      </c>
      <c r="C53" t="s">
        <v>4</v>
      </c>
      <c r="D53" t="str">
        <f>IF('Master Sheet'!C54="Area 1 (Meenu S)",'Master Sheet'!D54,"")</f>
        <v/>
      </c>
      <c r="E53" t="str">
        <f>IF('Master Sheet'!C54="Area 1 (Meenu S)",'Master Sheet'!E54,"")</f>
        <v/>
      </c>
      <c r="F53" t="str">
        <f>IF('Master Sheet'!C54="Area 1 (Meenu S)",'Master Sheet'!F54,"")</f>
        <v/>
      </c>
      <c r="G53" t="str">
        <f>IF('Master Sheet'!C54="Area 1 (Meenu S)",'Master Sheet'!G54,"")</f>
        <v/>
      </c>
      <c r="H53" t="str">
        <f>IF('Master Sheet'!C54="Area 1 (Meenu S)",'Master Sheet'!H54,"")</f>
        <v/>
      </c>
      <c r="I53" t="str">
        <f>IF('Master Sheet'!C54="Area 1 (Meenu S)",'Master Sheet'!I54,"")</f>
        <v/>
      </c>
      <c r="J53" t="str">
        <f>IF('Master Sheet'!C54="Area 1 (Meenu S)",'Master Sheet'!J54,"")</f>
        <v/>
      </c>
      <c r="K53" t="str">
        <f>IF('Master Sheet'!C54="Area 1 (Meenu S)",'Master Sheet'!K54,"")</f>
        <v/>
      </c>
      <c r="L53" t="str">
        <f>IF('Master Sheet'!C54="Area 1 (Meenu S)",'Master Sheet'!L54,"")</f>
        <v/>
      </c>
      <c r="M53" t="str">
        <f>IF('Master Sheet'!C54="Area 1 (Meenu S)",'Master Sheet'!M54,"")</f>
        <v/>
      </c>
      <c r="N53" t="str">
        <f>IF('Master Sheet'!C54="Area 1 (Meenu S)",'Master Sheet'!N54,"")</f>
        <v/>
      </c>
      <c r="O53" t="str">
        <f>IF('Master Sheet'!C54="Area 1 (Meenu S)",'Master Sheet'!O54,"")</f>
        <v/>
      </c>
      <c r="P53" t="str">
        <f>IF('Master Sheet'!C54="Area 1 (Meenu S)",'Master Sheet'!P54,"")</f>
        <v/>
      </c>
    </row>
    <row r="54" spans="1:16" hidden="1" x14ac:dyDescent="0.25">
      <c r="A54" t="str">
        <f>IF('Master Sheet'!C55="Area 1 (Meenu S)",'Master Sheet'!A55,"")</f>
        <v/>
      </c>
      <c r="B54" t="str">
        <f>IF('Master Sheet'!C55="Area 1 (Meenu S)",'Master Sheet'!B55,"")</f>
        <v/>
      </c>
      <c r="C54" t="s">
        <v>4</v>
      </c>
      <c r="D54" t="str">
        <f>IF('Master Sheet'!C55="Area 1 (Meenu S)",'Master Sheet'!D55,"")</f>
        <v/>
      </c>
      <c r="E54" t="str">
        <f>IF('Master Sheet'!C55="Area 1 (Meenu S)",'Master Sheet'!E55,"")</f>
        <v/>
      </c>
      <c r="F54" t="str">
        <f>IF('Master Sheet'!C55="Area 1 (Meenu S)",'Master Sheet'!F55,"")</f>
        <v/>
      </c>
      <c r="G54" t="str">
        <f>IF('Master Sheet'!C55="Area 1 (Meenu S)",'Master Sheet'!G55,"")</f>
        <v/>
      </c>
      <c r="H54" t="str">
        <f>IF('Master Sheet'!C55="Area 1 (Meenu S)",'Master Sheet'!H55,"")</f>
        <v/>
      </c>
      <c r="I54" t="str">
        <f>IF('Master Sheet'!C55="Area 1 (Meenu S)",'Master Sheet'!I55,"")</f>
        <v/>
      </c>
      <c r="J54" t="str">
        <f>IF('Master Sheet'!C55="Area 1 (Meenu S)",'Master Sheet'!J55,"")</f>
        <v/>
      </c>
      <c r="K54" t="str">
        <f>IF('Master Sheet'!C55="Area 1 (Meenu S)",'Master Sheet'!K55,"")</f>
        <v/>
      </c>
      <c r="L54" t="str">
        <f>IF('Master Sheet'!C55="Area 1 (Meenu S)",'Master Sheet'!L55,"")</f>
        <v/>
      </c>
      <c r="M54" t="str">
        <f>IF('Master Sheet'!C55="Area 1 (Meenu S)",'Master Sheet'!M55,"")</f>
        <v/>
      </c>
      <c r="N54" t="str">
        <f>IF('Master Sheet'!C55="Area 1 (Meenu S)",'Master Sheet'!N55,"")</f>
        <v/>
      </c>
      <c r="O54" t="str">
        <f>IF('Master Sheet'!C55="Area 1 (Meenu S)",'Master Sheet'!O55,"")</f>
        <v/>
      </c>
      <c r="P54" t="str">
        <f>IF('Master Sheet'!C55="Area 1 (Meenu S)",'Master Sheet'!P55,"")</f>
        <v/>
      </c>
    </row>
    <row r="55" spans="1:16" hidden="1" x14ac:dyDescent="0.25">
      <c r="A55" t="str">
        <f>IF('Master Sheet'!C56="Area 1 (Meenu S)",'Master Sheet'!A56,"")</f>
        <v/>
      </c>
      <c r="B55" t="str">
        <f>IF('Master Sheet'!C56="Area 1 (Meenu S)",'Master Sheet'!B56,"")</f>
        <v/>
      </c>
      <c r="C55" t="s">
        <v>4</v>
      </c>
      <c r="D55" t="str">
        <f>IF('Master Sheet'!C56="Area 1 (Meenu S)",'Master Sheet'!D56,"")</f>
        <v/>
      </c>
      <c r="E55" t="str">
        <f>IF('Master Sheet'!C56="Area 1 (Meenu S)",'Master Sheet'!E56,"")</f>
        <v/>
      </c>
      <c r="F55" t="str">
        <f>IF('Master Sheet'!C56="Area 1 (Meenu S)",'Master Sheet'!F56,"")</f>
        <v/>
      </c>
      <c r="G55" t="str">
        <f>IF('Master Sheet'!C56="Area 1 (Meenu S)",'Master Sheet'!G56,"")</f>
        <v/>
      </c>
      <c r="H55" t="str">
        <f>IF('Master Sheet'!C56="Area 1 (Meenu S)",'Master Sheet'!H56,"")</f>
        <v/>
      </c>
      <c r="I55" t="str">
        <f>IF('Master Sheet'!C56="Area 1 (Meenu S)",'Master Sheet'!I56,"")</f>
        <v/>
      </c>
      <c r="J55" t="str">
        <f>IF('Master Sheet'!C56="Area 1 (Meenu S)",'Master Sheet'!J56,"")</f>
        <v/>
      </c>
      <c r="K55" t="str">
        <f>IF('Master Sheet'!C56="Area 1 (Meenu S)",'Master Sheet'!K56,"")</f>
        <v/>
      </c>
      <c r="L55" t="str">
        <f>IF('Master Sheet'!C56="Area 1 (Meenu S)",'Master Sheet'!L56,"")</f>
        <v/>
      </c>
      <c r="M55" t="str">
        <f>IF('Master Sheet'!C56="Area 1 (Meenu S)",'Master Sheet'!M56,"")</f>
        <v/>
      </c>
      <c r="N55" t="str">
        <f>IF('Master Sheet'!C56="Area 1 (Meenu S)",'Master Sheet'!N56,"")</f>
        <v/>
      </c>
      <c r="O55" t="str">
        <f>IF('Master Sheet'!C56="Area 1 (Meenu S)",'Master Sheet'!O56,"")</f>
        <v/>
      </c>
      <c r="P55" t="str">
        <f>IF('Master Sheet'!C56="Area 1 (Meenu S)",'Master Sheet'!P56,"")</f>
        <v/>
      </c>
    </row>
    <row r="56" spans="1:16" hidden="1" x14ac:dyDescent="0.25">
      <c r="A56" t="str">
        <f>IF('Master Sheet'!C57="Area 1 (Meenu S)",'Master Sheet'!A57,"")</f>
        <v/>
      </c>
      <c r="B56" t="str">
        <f>IF('Master Sheet'!C57="Area 1 (Meenu S)",'Master Sheet'!B57,"")</f>
        <v/>
      </c>
      <c r="C56" t="s">
        <v>4</v>
      </c>
      <c r="D56" t="str">
        <f>IF('Master Sheet'!C57="Area 1 (Meenu S)",'Master Sheet'!D57,"")</f>
        <v/>
      </c>
      <c r="E56" t="str">
        <f>IF('Master Sheet'!C57="Area 1 (Meenu S)",'Master Sheet'!E57,"")</f>
        <v/>
      </c>
      <c r="F56" t="str">
        <f>IF('Master Sheet'!C57="Area 1 (Meenu S)",'Master Sheet'!F57,"")</f>
        <v/>
      </c>
      <c r="G56" t="str">
        <f>IF('Master Sheet'!C57="Area 1 (Meenu S)",'Master Sheet'!G57,"")</f>
        <v/>
      </c>
      <c r="H56" t="str">
        <f>IF('Master Sheet'!C57="Area 1 (Meenu S)",'Master Sheet'!H57,"")</f>
        <v/>
      </c>
      <c r="I56" t="str">
        <f>IF('Master Sheet'!C57="Area 1 (Meenu S)",'Master Sheet'!I57,"")</f>
        <v/>
      </c>
      <c r="J56" t="str">
        <f>IF('Master Sheet'!C57="Area 1 (Meenu S)",'Master Sheet'!J57,"")</f>
        <v/>
      </c>
      <c r="K56" t="str">
        <f>IF('Master Sheet'!C57="Area 1 (Meenu S)",'Master Sheet'!K57,"")</f>
        <v/>
      </c>
      <c r="L56" t="str">
        <f>IF('Master Sheet'!C57="Area 1 (Meenu S)",'Master Sheet'!L57,"")</f>
        <v/>
      </c>
      <c r="M56" t="str">
        <f>IF('Master Sheet'!C57="Area 1 (Meenu S)",'Master Sheet'!M57,"")</f>
        <v/>
      </c>
      <c r="N56" t="str">
        <f>IF('Master Sheet'!C57="Area 1 (Meenu S)",'Master Sheet'!N57,"")</f>
        <v/>
      </c>
      <c r="O56" t="str">
        <f>IF('Master Sheet'!C57="Area 1 (Meenu S)",'Master Sheet'!O57,"")</f>
        <v/>
      </c>
      <c r="P56" t="str">
        <f>IF('Master Sheet'!C57="Area 1 (Meenu S)",'Master Sheet'!P57,"")</f>
        <v/>
      </c>
    </row>
    <row r="57" spans="1:16" hidden="1" x14ac:dyDescent="0.25">
      <c r="A57" t="str">
        <f>IF('Master Sheet'!C58="Area 1 (Meenu S)",'Master Sheet'!A58,"")</f>
        <v/>
      </c>
      <c r="B57" t="str">
        <f>IF('Master Sheet'!C58="Area 1 (Meenu S)",'Master Sheet'!B58,"")</f>
        <v/>
      </c>
      <c r="C57" t="s">
        <v>4</v>
      </c>
      <c r="D57" t="str">
        <f>IF('Master Sheet'!C58="Area 1 (Meenu S)",'Master Sheet'!D58,"")</f>
        <v/>
      </c>
      <c r="E57" t="str">
        <f>IF('Master Sheet'!C58="Area 1 (Meenu S)",'Master Sheet'!E58,"")</f>
        <v/>
      </c>
      <c r="F57" t="str">
        <f>IF('Master Sheet'!C58="Area 1 (Meenu S)",'Master Sheet'!F58,"")</f>
        <v/>
      </c>
      <c r="G57" t="str">
        <f>IF('Master Sheet'!C58="Area 1 (Meenu S)",'Master Sheet'!G58,"")</f>
        <v/>
      </c>
      <c r="H57" t="str">
        <f>IF('Master Sheet'!C58="Area 1 (Meenu S)",'Master Sheet'!H58,"")</f>
        <v/>
      </c>
      <c r="I57" t="str">
        <f>IF('Master Sheet'!C58="Area 1 (Meenu S)",'Master Sheet'!I58,"")</f>
        <v/>
      </c>
      <c r="J57" t="str">
        <f>IF('Master Sheet'!C58="Area 1 (Meenu S)",'Master Sheet'!J58,"")</f>
        <v/>
      </c>
      <c r="K57" t="str">
        <f>IF('Master Sheet'!C58="Area 1 (Meenu S)",'Master Sheet'!K58,"")</f>
        <v/>
      </c>
      <c r="L57" t="str">
        <f>IF('Master Sheet'!C58="Area 1 (Meenu S)",'Master Sheet'!L58,"")</f>
        <v/>
      </c>
      <c r="M57" t="str">
        <f>IF('Master Sheet'!C58="Area 1 (Meenu S)",'Master Sheet'!M58,"")</f>
        <v/>
      </c>
      <c r="N57" t="str">
        <f>IF('Master Sheet'!C58="Area 1 (Meenu S)",'Master Sheet'!N58,"")</f>
        <v/>
      </c>
      <c r="O57" t="str">
        <f>IF('Master Sheet'!C58="Area 1 (Meenu S)",'Master Sheet'!O58,"")</f>
        <v/>
      </c>
      <c r="P57" t="str">
        <f>IF('Master Sheet'!C58="Area 1 (Meenu S)",'Master Sheet'!P58,"")</f>
        <v/>
      </c>
    </row>
    <row r="58" spans="1:16" hidden="1" x14ac:dyDescent="0.25">
      <c r="A58" t="str">
        <f>IF('Master Sheet'!C59="Area 1 (Meenu S)",'Master Sheet'!A59,"")</f>
        <v/>
      </c>
      <c r="B58" t="str">
        <f>IF('Master Sheet'!C59="Area 1 (Meenu S)",'Master Sheet'!B59,"")</f>
        <v/>
      </c>
      <c r="C58" t="s">
        <v>4</v>
      </c>
      <c r="D58" t="str">
        <f>IF('Master Sheet'!C59="Area 1 (Meenu S)",'Master Sheet'!D59,"")</f>
        <v/>
      </c>
      <c r="E58" t="str">
        <f>IF('Master Sheet'!C59="Area 1 (Meenu S)",'Master Sheet'!E59,"")</f>
        <v/>
      </c>
      <c r="F58" t="str">
        <f>IF('Master Sheet'!C59="Area 1 (Meenu S)",'Master Sheet'!F59,"")</f>
        <v/>
      </c>
      <c r="G58" t="str">
        <f>IF('Master Sheet'!C59="Area 1 (Meenu S)",'Master Sheet'!G59,"")</f>
        <v/>
      </c>
      <c r="H58" t="str">
        <f>IF('Master Sheet'!C59="Area 1 (Meenu S)",'Master Sheet'!H59,"")</f>
        <v/>
      </c>
      <c r="I58" t="str">
        <f>IF('Master Sheet'!C59="Area 1 (Meenu S)",'Master Sheet'!I59,"")</f>
        <v/>
      </c>
      <c r="J58" t="str">
        <f>IF('Master Sheet'!C59="Area 1 (Meenu S)",'Master Sheet'!J59,"")</f>
        <v/>
      </c>
      <c r="K58" t="str">
        <f>IF('Master Sheet'!C59="Area 1 (Meenu S)",'Master Sheet'!K59,"")</f>
        <v/>
      </c>
      <c r="L58" t="str">
        <f>IF('Master Sheet'!C59="Area 1 (Meenu S)",'Master Sheet'!L59,"")</f>
        <v/>
      </c>
      <c r="M58" t="str">
        <f>IF('Master Sheet'!C59="Area 1 (Meenu S)",'Master Sheet'!M59,"")</f>
        <v/>
      </c>
      <c r="N58" t="str">
        <f>IF('Master Sheet'!C59="Area 1 (Meenu S)",'Master Sheet'!N59,"")</f>
        <v/>
      </c>
      <c r="O58" t="str">
        <f>IF('Master Sheet'!C59="Area 1 (Meenu S)",'Master Sheet'!O59,"")</f>
        <v/>
      </c>
      <c r="P58" t="str">
        <f>IF('Master Sheet'!C59="Area 1 (Meenu S)",'Master Sheet'!P59,"")</f>
        <v/>
      </c>
    </row>
    <row r="59" spans="1:16" hidden="1" x14ac:dyDescent="0.25">
      <c r="A59" t="str">
        <f>IF('Master Sheet'!C60="Area 1 (Meenu S)",'Master Sheet'!A60,"")</f>
        <v/>
      </c>
      <c r="B59" t="str">
        <f>IF('Master Sheet'!C60="Area 1 (Meenu S)",'Master Sheet'!B60,"")</f>
        <v/>
      </c>
      <c r="C59" t="s">
        <v>4</v>
      </c>
      <c r="D59" t="str">
        <f>IF('Master Sheet'!C60="Area 1 (Meenu S)",'Master Sheet'!D60,"")</f>
        <v/>
      </c>
      <c r="E59" t="str">
        <f>IF('Master Sheet'!C60="Area 1 (Meenu S)",'Master Sheet'!E60,"")</f>
        <v/>
      </c>
      <c r="F59" t="str">
        <f>IF('Master Sheet'!C60="Area 1 (Meenu S)",'Master Sheet'!F60,"")</f>
        <v/>
      </c>
      <c r="G59" t="str">
        <f>IF('Master Sheet'!C60="Area 1 (Meenu S)",'Master Sheet'!G60,"")</f>
        <v/>
      </c>
      <c r="H59" t="str">
        <f>IF('Master Sheet'!C60="Area 1 (Meenu S)",'Master Sheet'!H60,"")</f>
        <v/>
      </c>
      <c r="I59" t="str">
        <f>IF('Master Sheet'!C60="Area 1 (Meenu S)",'Master Sheet'!I60,"")</f>
        <v/>
      </c>
      <c r="J59" t="str">
        <f>IF('Master Sheet'!C60="Area 1 (Meenu S)",'Master Sheet'!J60,"")</f>
        <v/>
      </c>
      <c r="K59" t="str">
        <f>IF('Master Sheet'!C60="Area 1 (Meenu S)",'Master Sheet'!K60,"")</f>
        <v/>
      </c>
      <c r="L59" t="str">
        <f>IF('Master Sheet'!C60="Area 1 (Meenu S)",'Master Sheet'!L60,"")</f>
        <v/>
      </c>
      <c r="M59" t="str">
        <f>IF('Master Sheet'!C60="Area 1 (Meenu S)",'Master Sheet'!M60,"")</f>
        <v/>
      </c>
      <c r="N59" t="str">
        <f>IF('Master Sheet'!C60="Area 1 (Meenu S)",'Master Sheet'!N60,"")</f>
        <v/>
      </c>
      <c r="O59" t="str">
        <f>IF('Master Sheet'!C60="Area 1 (Meenu S)",'Master Sheet'!O60,"")</f>
        <v/>
      </c>
      <c r="P59" t="str">
        <f>IF('Master Sheet'!C60="Area 1 (Meenu S)",'Master Sheet'!P60,"")</f>
        <v/>
      </c>
    </row>
    <row r="60" spans="1:16" hidden="1" x14ac:dyDescent="0.25">
      <c r="A60" t="str">
        <f>IF('Master Sheet'!C61="Area 1 (Meenu S)",'Master Sheet'!A61,"")</f>
        <v/>
      </c>
      <c r="B60" t="str">
        <f>IF('Master Sheet'!C61="Area 1 (Meenu S)",'Master Sheet'!B61,"")</f>
        <v/>
      </c>
      <c r="C60" t="s">
        <v>4</v>
      </c>
      <c r="D60" t="str">
        <f>IF('Master Sheet'!C61="Area 1 (Meenu S)",'Master Sheet'!D61,"")</f>
        <v/>
      </c>
      <c r="E60" t="str">
        <f>IF('Master Sheet'!C61="Area 1 (Meenu S)",'Master Sheet'!E61,"")</f>
        <v/>
      </c>
      <c r="F60" t="str">
        <f>IF('Master Sheet'!C61="Area 1 (Meenu S)",'Master Sheet'!F61,"")</f>
        <v/>
      </c>
      <c r="G60" t="str">
        <f>IF('Master Sheet'!C61="Area 1 (Meenu S)",'Master Sheet'!G61,"")</f>
        <v/>
      </c>
      <c r="H60" t="str">
        <f>IF('Master Sheet'!C61="Area 1 (Meenu S)",'Master Sheet'!H61,"")</f>
        <v/>
      </c>
      <c r="I60" t="str">
        <f>IF('Master Sheet'!C61="Area 1 (Meenu S)",'Master Sheet'!I61,"")</f>
        <v/>
      </c>
      <c r="J60" t="str">
        <f>IF('Master Sheet'!C61="Area 1 (Meenu S)",'Master Sheet'!J61,"")</f>
        <v/>
      </c>
      <c r="K60" t="str">
        <f>IF('Master Sheet'!C61="Area 1 (Meenu S)",'Master Sheet'!K61,"")</f>
        <v/>
      </c>
      <c r="L60" t="str">
        <f>IF('Master Sheet'!C61="Area 1 (Meenu S)",'Master Sheet'!L61,"")</f>
        <v/>
      </c>
      <c r="M60" t="str">
        <f>IF('Master Sheet'!C61="Area 1 (Meenu S)",'Master Sheet'!M61,"")</f>
        <v/>
      </c>
      <c r="N60" t="str">
        <f>IF('Master Sheet'!C61="Area 1 (Meenu S)",'Master Sheet'!N61,"")</f>
        <v/>
      </c>
      <c r="O60" t="str">
        <f>IF('Master Sheet'!C61="Area 1 (Meenu S)",'Master Sheet'!O61,"")</f>
        <v/>
      </c>
      <c r="P60" t="str">
        <f>IF('Master Sheet'!C61="Area 1 (Meenu S)",'Master Sheet'!P61,"")</f>
        <v/>
      </c>
    </row>
    <row r="61" spans="1:16" hidden="1" x14ac:dyDescent="0.25">
      <c r="A61" t="str">
        <f>IF('Master Sheet'!C62="Area 1 (Meenu S)",'Master Sheet'!A62,"")</f>
        <v/>
      </c>
      <c r="B61" t="str">
        <f>IF('Master Sheet'!C62="Area 1 (Meenu S)",'Master Sheet'!B62,"")</f>
        <v/>
      </c>
      <c r="C61" t="s">
        <v>4</v>
      </c>
      <c r="D61" t="str">
        <f>IF('Master Sheet'!C62="Area 1 (Meenu S)",'Master Sheet'!D62,"")</f>
        <v/>
      </c>
      <c r="E61" t="str">
        <f>IF('Master Sheet'!C62="Area 1 (Meenu S)",'Master Sheet'!E62,"")</f>
        <v/>
      </c>
      <c r="F61" t="str">
        <f>IF('Master Sheet'!C62="Area 1 (Meenu S)",'Master Sheet'!F62,"")</f>
        <v/>
      </c>
      <c r="G61" t="str">
        <f>IF('Master Sheet'!C62="Area 1 (Meenu S)",'Master Sheet'!G62,"")</f>
        <v/>
      </c>
      <c r="H61" t="str">
        <f>IF('Master Sheet'!C62="Area 1 (Meenu S)",'Master Sheet'!H62,"")</f>
        <v/>
      </c>
      <c r="I61" t="str">
        <f>IF('Master Sheet'!C62="Area 1 (Meenu S)",'Master Sheet'!I62,"")</f>
        <v/>
      </c>
      <c r="J61" t="str">
        <f>IF('Master Sheet'!C62="Area 1 (Meenu S)",'Master Sheet'!J62,"")</f>
        <v/>
      </c>
      <c r="K61" t="str">
        <f>IF('Master Sheet'!C62="Area 1 (Meenu S)",'Master Sheet'!K62,"")</f>
        <v/>
      </c>
      <c r="L61" t="str">
        <f>IF('Master Sheet'!C62="Area 1 (Meenu S)",'Master Sheet'!L62,"")</f>
        <v/>
      </c>
      <c r="M61" t="str">
        <f>IF('Master Sheet'!C62="Area 1 (Meenu S)",'Master Sheet'!M62,"")</f>
        <v/>
      </c>
      <c r="N61" t="str">
        <f>IF('Master Sheet'!C62="Area 1 (Meenu S)",'Master Sheet'!N62,"")</f>
        <v/>
      </c>
      <c r="O61" t="str">
        <f>IF('Master Sheet'!C62="Area 1 (Meenu S)",'Master Sheet'!O62,"")</f>
        <v/>
      </c>
      <c r="P61" t="str">
        <f>IF('Master Sheet'!C62="Area 1 (Meenu S)",'Master Sheet'!P62,"")</f>
        <v/>
      </c>
    </row>
    <row r="62" spans="1:16" hidden="1" x14ac:dyDescent="0.25">
      <c r="A62" t="str">
        <f>IF('Master Sheet'!C63="Area 1 (Meenu S)",'Master Sheet'!A63,"")</f>
        <v/>
      </c>
      <c r="B62" t="str">
        <f>IF('Master Sheet'!C63="Area 1 (Meenu S)",'Master Sheet'!B63,"")</f>
        <v/>
      </c>
      <c r="C62" t="s">
        <v>4</v>
      </c>
      <c r="D62" t="str">
        <f>IF('Master Sheet'!C63="Area 1 (Meenu S)",'Master Sheet'!D63,"")</f>
        <v/>
      </c>
      <c r="E62" t="str">
        <f>IF('Master Sheet'!C63="Area 1 (Meenu S)",'Master Sheet'!E63,"")</f>
        <v/>
      </c>
      <c r="F62" t="str">
        <f>IF('Master Sheet'!C63="Area 1 (Meenu S)",'Master Sheet'!F63,"")</f>
        <v/>
      </c>
      <c r="G62" t="str">
        <f>IF('Master Sheet'!C63="Area 1 (Meenu S)",'Master Sheet'!G63,"")</f>
        <v/>
      </c>
      <c r="H62" t="str">
        <f>IF('Master Sheet'!C63="Area 1 (Meenu S)",'Master Sheet'!H63,"")</f>
        <v/>
      </c>
      <c r="I62" t="str">
        <f>IF('Master Sheet'!C63="Area 1 (Meenu S)",'Master Sheet'!I63,"")</f>
        <v/>
      </c>
      <c r="J62" t="str">
        <f>IF('Master Sheet'!C63="Area 1 (Meenu S)",'Master Sheet'!J63,"")</f>
        <v/>
      </c>
      <c r="K62" t="str">
        <f>IF('Master Sheet'!C63="Area 1 (Meenu S)",'Master Sheet'!K63,"")</f>
        <v/>
      </c>
      <c r="L62" t="str">
        <f>IF('Master Sheet'!C63="Area 1 (Meenu S)",'Master Sheet'!L63,"")</f>
        <v/>
      </c>
      <c r="M62" t="str">
        <f>IF('Master Sheet'!C63="Area 1 (Meenu S)",'Master Sheet'!M63,"")</f>
        <v/>
      </c>
      <c r="N62" t="str">
        <f>IF('Master Sheet'!C63="Area 1 (Meenu S)",'Master Sheet'!N63,"")</f>
        <v/>
      </c>
      <c r="O62" t="str">
        <f>IF('Master Sheet'!C63="Area 1 (Meenu S)",'Master Sheet'!O63,"")</f>
        <v/>
      </c>
      <c r="P62" t="str">
        <f>IF('Master Sheet'!C63="Area 1 (Meenu S)",'Master Sheet'!P63,"")</f>
        <v/>
      </c>
    </row>
    <row r="63" spans="1:16" hidden="1" x14ac:dyDescent="0.25">
      <c r="A63" t="str">
        <f>IF('Master Sheet'!C64="Area 1 (Meenu S)",'Master Sheet'!A64,"")</f>
        <v/>
      </c>
      <c r="B63" t="str">
        <f>IF('Master Sheet'!C64="Area 1 (Meenu S)",'Master Sheet'!B64,"")</f>
        <v/>
      </c>
      <c r="C63" t="s">
        <v>4</v>
      </c>
      <c r="D63" t="str">
        <f>IF('Master Sheet'!C64="Area 1 (Meenu S)",'Master Sheet'!D64,"")</f>
        <v/>
      </c>
      <c r="E63" t="str">
        <f>IF('Master Sheet'!C64="Area 1 (Meenu S)",'Master Sheet'!E64,"")</f>
        <v/>
      </c>
      <c r="F63" t="str">
        <f>IF('Master Sheet'!C64="Area 1 (Meenu S)",'Master Sheet'!F64,"")</f>
        <v/>
      </c>
      <c r="G63" t="str">
        <f>IF('Master Sheet'!C64="Area 1 (Meenu S)",'Master Sheet'!G64,"")</f>
        <v/>
      </c>
      <c r="H63" t="str">
        <f>IF('Master Sheet'!C64="Area 1 (Meenu S)",'Master Sheet'!H64,"")</f>
        <v/>
      </c>
      <c r="I63" t="str">
        <f>IF('Master Sheet'!C64="Area 1 (Meenu S)",'Master Sheet'!I64,"")</f>
        <v/>
      </c>
      <c r="J63" t="str">
        <f>IF('Master Sheet'!C64="Area 1 (Meenu S)",'Master Sheet'!J64,"")</f>
        <v/>
      </c>
      <c r="K63" t="str">
        <f>IF('Master Sheet'!C64="Area 1 (Meenu S)",'Master Sheet'!K64,"")</f>
        <v/>
      </c>
      <c r="L63" t="str">
        <f>IF('Master Sheet'!C64="Area 1 (Meenu S)",'Master Sheet'!L64,"")</f>
        <v/>
      </c>
      <c r="M63" t="str">
        <f>IF('Master Sheet'!C64="Area 1 (Meenu S)",'Master Sheet'!M64,"")</f>
        <v/>
      </c>
      <c r="N63" t="str">
        <f>IF('Master Sheet'!C64="Area 1 (Meenu S)",'Master Sheet'!N64,"")</f>
        <v/>
      </c>
      <c r="O63" t="str">
        <f>IF('Master Sheet'!C64="Area 1 (Meenu S)",'Master Sheet'!O64,"")</f>
        <v/>
      </c>
      <c r="P63" t="str">
        <f>IF('Master Sheet'!C64="Area 1 (Meenu S)",'Master Sheet'!P64,"")</f>
        <v/>
      </c>
    </row>
    <row r="64" spans="1:16" hidden="1" x14ac:dyDescent="0.25">
      <c r="A64" t="str">
        <f>IF('Master Sheet'!C65="Area 1 (Meenu S)",'Master Sheet'!A65,"")</f>
        <v/>
      </c>
      <c r="B64" t="str">
        <f>IF('Master Sheet'!C65="Area 1 (Meenu S)",'Master Sheet'!B65,"")</f>
        <v/>
      </c>
      <c r="C64" t="s">
        <v>4</v>
      </c>
      <c r="D64" t="str">
        <f>IF('Master Sheet'!C65="Area 1 (Meenu S)",'Master Sheet'!D65,"")</f>
        <v/>
      </c>
      <c r="E64" t="str">
        <f>IF('Master Sheet'!C65="Area 1 (Meenu S)",'Master Sheet'!E65,"")</f>
        <v/>
      </c>
      <c r="F64" t="str">
        <f>IF('Master Sheet'!C65="Area 1 (Meenu S)",'Master Sheet'!F65,"")</f>
        <v/>
      </c>
      <c r="G64" t="str">
        <f>IF('Master Sheet'!C65="Area 1 (Meenu S)",'Master Sheet'!G65,"")</f>
        <v/>
      </c>
      <c r="H64" t="str">
        <f>IF('Master Sheet'!C65="Area 1 (Meenu S)",'Master Sheet'!H65,"")</f>
        <v/>
      </c>
      <c r="I64" t="str">
        <f>IF('Master Sheet'!C65="Area 1 (Meenu S)",'Master Sheet'!I65,"")</f>
        <v/>
      </c>
      <c r="J64" t="str">
        <f>IF('Master Sheet'!C65="Area 1 (Meenu S)",'Master Sheet'!J65,"")</f>
        <v/>
      </c>
      <c r="K64" t="str">
        <f>IF('Master Sheet'!C65="Area 1 (Meenu S)",'Master Sheet'!K65,"")</f>
        <v/>
      </c>
      <c r="L64" t="str">
        <f>IF('Master Sheet'!C65="Area 1 (Meenu S)",'Master Sheet'!L65,"")</f>
        <v/>
      </c>
      <c r="M64" t="str">
        <f>IF('Master Sheet'!C65="Area 1 (Meenu S)",'Master Sheet'!M65,"")</f>
        <v/>
      </c>
      <c r="N64" t="str">
        <f>IF('Master Sheet'!C65="Area 1 (Meenu S)",'Master Sheet'!N65,"")</f>
        <v/>
      </c>
      <c r="O64" t="str">
        <f>IF('Master Sheet'!C65="Area 1 (Meenu S)",'Master Sheet'!O65,"")</f>
        <v/>
      </c>
      <c r="P64" t="str">
        <f>IF('Master Sheet'!C65="Area 1 (Meenu S)",'Master Sheet'!P65,"")</f>
        <v/>
      </c>
    </row>
    <row r="65" spans="1:16" hidden="1" x14ac:dyDescent="0.25">
      <c r="A65" t="str">
        <f>IF('Master Sheet'!C66="Area 1 (Meenu S)",'Master Sheet'!A66,"")</f>
        <v/>
      </c>
      <c r="B65" t="str">
        <f>IF('Master Sheet'!C66="Area 1 (Meenu S)",'Master Sheet'!B66,"")</f>
        <v/>
      </c>
      <c r="C65" t="s">
        <v>4</v>
      </c>
      <c r="D65" t="str">
        <f>IF('Master Sheet'!C66="Area 1 (Meenu S)",'Master Sheet'!D66,"")</f>
        <v/>
      </c>
      <c r="E65" t="str">
        <f>IF('Master Sheet'!C66="Area 1 (Meenu S)",'Master Sheet'!E66,"")</f>
        <v/>
      </c>
      <c r="F65" t="str">
        <f>IF('Master Sheet'!C66="Area 1 (Meenu S)",'Master Sheet'!F66,"")</f>
        <v/>
      </c>
      <c r="G65" t="str">
        <f>IF('Master Sheet'!C66="Area 1 (Meenu S)",'Master Sheet'!G66,"")</f>
        <v/>
      </c>
      <c r="H65" t="str">
        <f>IF('Master Sheet'!C66="Area 1 (Meenu S)",'Master Sheet'!H66,"")</f>
        <v/>
      </c>
      <c r="I65" t="str">
        <f>IF('Master Sheet'!C66="Area 1 (Meenu S)",'Master Sheet'!I66,"")</f>
        <v/>
      </c>
      <c r="J65" t="str">
        <f>IF('Master Sheet'!C66="Area 1 (Meenu S)",'Master Sheet'!J66,"")</f>
        <v/>
      </c>
      <c r="K65" t="str">
        <f>IF('Master Sheet'!C66="Area 1 (Meenu S)",'Master Sheet'!K66,"")</f>
        <v/>
      </c>
      <c r="L65" t="str">
        <f>IF('Master Sheet'!C66="Area 1 (Meenu S)",'Master Sheet'!L66,"")</f>
        <v/>
      </c>
      <c r="M65" t="str">
        <f>IF('Master Sheet'!C66="Area 1 (Meenu S)",'Master Sheet'!M66,"")</f>
        <v/>
      </c>
      <c r="N65" t="str">
        <f>IF('Master Sheet'!C66="Area 1 (Meenu S)",'Master Sheet'!N66,"")</f>
        <v/>
      </c>
      <c r="O65" t="str">
        <f>IF('Master Sheet'!C66="Area 1 (Meenu S)",'Master Sheet'!O66,"")</f>
        <v/>
      </c>
      <c r="P65" t="str">
        <f>IF('Master Sheet'!C66="Area 1 (Meenu S)",'Master Sheet'!P66,"")</f>
        <v/>
      </c>
    </row>
    <row r="66" spans="1:16" hidden="1" x14ac:dyDescent="0.25">
      <c r="A66" t="str">
        <f>IF('Master Sheet'!C67="Area 1 (Meenu S)",'Master Sheet'!A67,"")</f>
        <v/>
      </c>
      <c r="B66" t="str">
        <f>IF('Master Sheet'!C67="Area 1 (Meenu S)",'Master Sheet'!B67,"")</f>
        <v/>
      </c>
      <c r="C66" t="s">
        <v>4</v>
      </c>
      <c r="D66" t="str">
        <f>IF('Master Sheet'!C67="Area 1 (Meenu S)",'Master Sheet'!D67,"")</f>
        <v/>
      </c>
      <c r="E66" t="str">
        <f>IF('Master Sheet'!C67="Area 1 (Meenu S)",'Master Sheet'!E67,"")</f>
        <v/>
      </c>
      <c r="F66" t="str">
        <f>IF('Master Sheet'!C67="Area 1 (Meenu S)",'Master Sheet'!F67,"")</f>
        <v/>
      </c>
      <c r="G66" t="str">
        <f>IF('Master Sheet'!C67="Area 1 (Meenu S)",'Master Sheet'!G67,"")</f>
        <v/>
      </c>
      <c r="H66" t="str">
        <f>IF('Master Sheet'!C67="Area 1 (Meenu S)",'Master Sheet'!H67,"")</f>
        <v/>
      </c>
      <c r="I66" t="str">
        <f>IF('Master Sheet'!C67="Area 1 (Meenu S)",'Master Sheet'!I67,"")</f>
        <v/>
      </c>
      <c r="J66" t="str">
        <f>IF('Master Sheet'!C67="Area 1 (Meenu S)",'Master Sheet'!J67,"")</f>
        <v/>
      </c>
      <c r="K66" t="str">
        <f>IF('Master Sheet'!C67="Area 1 (Meenu S)",'Master Sheet'!K67,"")</f>
        <v/>
      </c>
      <c r="L66" t="str">
        <f>IF('Master Sheet'!C67="Area 1 (Meenu S)",'Master Sheet'!L67,"")</f>
        <v/>
      </c>
      <c r="M66" t="str">
        <f>IF('Master Sheet'!C67="Area 1 (Meenu S)",'Master Sheet'!M67,"")</f>
        <v/>
      </c>
      <c r="N66" t="str">
        <f>IF('Master Sheet'!C67="Area 1 (Meenu S)",'Master Sheet'!N67,"")</f>
        <v/>
      </c>
      <c r="O66" t="str">
        <f>IF('Master Sheet'!C67="Area 1 (Meenu S)",'Master Sheet'!O67,"")</f>
        <v/>
      </c>
      <c r="P66" t="str">
        <f>IF('Master Sheet'!C67="Area 1 (Meenu S)",'Master Sheet'!P67,"")</f>
        <v/>
      </c>
    </row>
    <row r="67" spans="1:16" hidden="1" x14ac:dyDescent="0.25">
      <c r="A67" t="str">
        <f>IF('Master Sheet'!C68="Area 1 (Meenu S)",'Master Sheet'!A68,"")</f>
        <v/>
      </c>
      <c r="B67" t="str">
        <f>IF('Master Sheet'!C68="Area 1 (Meenu S)",'Master Sheet'!B68,"")</f>
        <v/>
      </c>
      <c r="C67" t="s">
        <v>4</v>
      </c>
      <c r="D67" t="str">
        <f>IF('Master Sheet'!C68="Area 1 (Meenu S)",'Master Sheet'!D68,"")</f>
        <v/>
      </c>
      <c r="E67" t="str">
        <f>IF('Master Sheet'!C68="Area 1 (Meenu S)",'Master Sheet'!E68,"")</f>
        <v/>
      </c>
      <c r="F67" t="str">
        <f>IF('Master Sheet'!C68="Area 1 (Meenu S)",'Master Sheet'!F68,"")</f>
        <v/>
      </c>
      <c r="G67" t="str">
        <f>IF('Master Sheet'!C68="Area 1 (Meenu S)",'Master Sheet'!G68,"")</f>
        <v/>
      </c>
      <c r="H67" t="str">
        <f>IF('Master Sheet'!C68="Area 1 (Meenu S)",'Master Sheet'!H68,"")</f>
        <v/>
      </c>
      <c r="I67" t="str">
        <f>IF('Master Sheet'!C68="Area 1 (Meenu S)",'Master Sheet'!I68,"")</f>
        <v/>
      </c>
      <c r="J67" t="str">
        <f>IF('Master Sheet'!C68="Area 1 (Meenu S)",'Master Sheet'!J68,"")</f>
        <v/>
      </c>
      <c r="K67" t="str">
        <f>IF('Master Sheet'!C68="Area 1 (Meenu S)",'Master Sheet'!K68,"")</f>
        <v/>
      </c>
      <c r="L67" t="str">
        <f>IF('Master Sheet'!C68="Area 1 (Meenu S)",'Master Sheet'!L68,"")</f>
        <v/>
      </c>
      <c r="M67" t="str">
        <f>IF('Master Sheet'!C68="Area 1 (Meenu S)",'Master Sheet'!M68,"")</f>
        <v/>
      </c>
      <c r="N67" t="str">
        <f>IF('Master Sheet'!C68="Area 1 (Meenu S)",'Master Sheet'!N68,"")</f>
        <v/>
      </c>
      <c r="O67" t="str">
        <f>IF('Master Sheet'!C68="Area 1 (Meenu S)",'Master Sheet'!O68,"")</f>
        <v/>
      </c>
      <c r="P67" t="str">
        <f>IF('Master Sheet'!C68="Area 1 (Meenu S)",'Master Sheet'!P68,"")</f>
        <v/>
      </c>
    </row>
    <row r="68" spans="1:16" hidden="1" x14ac:dyDescent="0.25">
      <c r="A68" t="str">
        <f>IF('Master Sheet'!C69="Area 1 (Meenu S)",'Master Sheet'!A69,"")</f>
        <v/>
      </c>
      <c r="B68" t="str">
        <f>IF('Master Sheet'!C69="Area 1 (Meenu S)",'Master Sheet'!B69,"")</f>
        <v/>
      </c>
      <c r="C68" t="s">
        <v>4</v>
      </c>
      <c r="D68" t="str">
        <f>IF('Master Sheet'!C69="Area 1 (Meenu S)",'Master Sheet'!D69,"")</f>
        <v/>
      </c>
      <c r="E68" t="str">
        <f>IF('Master Sheet'!C69="Area 1 (Meenu S)",'Master Sheet'!E69,"")</f>
        <v/>
      </c>
      <c r="F68" t="str">
        <f>IF('Master Sheet'!C69="Area 1 (Meenu S)",'Master Sheet'!F69,"")</f>
        <v/>
      </c>
      <c r="G68" t="str">
        <f>IF('Master Sheet'!C69="Area 1 (Meenu S)",'Master Sheet'!G69,"")</f>
        <v/>
      </c>
      <c r="H68" t="str">
        <f>IF('Master Sheet'!C69="Area 1 (Meenu S)",'Master Sheet'!H69,"")</f>
        <v/>
      </c>
      <c r="I68" t="str">
        <f>IF('Master Sheet'!C69="Area 1 (Meenu S)",'Master Sheet'!I69,"")</f>
        <v/>
      </c>
      <c r="J68" t="str">
        <f>IF('Master Sheet'!C69="Area 1 (Meenu S)",'Master Sheet'!J69,"")</f>
        <v/>
      </c>
      <c r="K68" t="str">
        <f>IF('Master Sheet'!C69="Area 1 (Meenu S)",'Master Sheet'!K69,"")</f>
        <v/>
      </c>
      <c r="L68" t="str">
        <f>IF('Master Sheet'!C69="Area 1 (Meenu S)",'Master Sheet'!L69,"")</f>
        <v/>
      </c>
      <c r="M68" t="str">
        <f>IF('Master Sheet'!C69="Area 1 (Meenu S)",'Master Sheet'!M69,"")</f>
        <v/>
      </c>
      <c r="N68" t="str">
        <f>IF('Master Sheet'!C69="Area 1 (Meenu S)",'Master Sheet'!N69,"")</f>
        <v/>
      </c>
      <c r="O68" t="str">
        <f>IF('Master Sheet'!C69="Area 1 (Meenu S)",'Master Sheet'!O69,"")</f>
        <v/>
      </c>
      <c r="P68" t="str">
        <f>IF('Master Sheet'!C69="Area 1 (Meenu S)",'Master Sheet'!P69,"")</f>
        <v/>
      </c>
    </row>
    <row r="69" spans="1:16" hidden="1" x14ac:dyDescent="0.25">
      <c r="A69" t="str">
        <f>IF('Master Sheet'!C70="Area 1 (Meenu S)",'Master Sheet'!A70,"")</f>
        <v/>
      </c>
      <c r="B69" t="str">
        <f>IF('Master Sheet'!C70="Area 1 (Meenu S)",'Master Sheet'!B70,"")</f>
        <v/>
      </c>
      <c r="C69" t="s">
        <v>4</v>
      </c>
      <c r="D69" t="str">
        <f>IF('Master Sheet'!C70="Area 1 (Meenu S)",'Master Sheet'!D70,"")</f>
        <v/>
      </c>
      <c r="E69" t="str">
        <f>IF('Master Sheet'!C70="Area 1 (Meenu S)",'Master Sheet'!E70,"")</f>
        <v/>
      </c>
      <c r="F69" t="str">
        <f>IF('Master Sheet'!C70="Area 1 (Meenu S)",'Master Sheet'!F70,"")</f>
        <v/>
      </c>
      <c r="G69" t="str">
        <f>IF('Master Sheet'!C70="Area 1 (Meenu S)",'Master Sheet'!G70,"")</f>
        <v/>
      </c>
      <c r="H69" t="str">
        <f>IF('Master Sheet'!C70="Area 1 (Meenu S)",'Master Sheet'!H70,"")</f>
        <v/>
      </c>
      <c r="I69" t="str">
        <f>IF('Master Sheet'!C70="Area 1 (Meenu S)",'Master Sheet'!I70,"")</f>
        <v/>
      </c>
      <c r="J69" t="str">
        <f>IF('Master Sheet'!C70="Area 1 (Meenu S)",'Master Sheet'!J70,"")</f>
        <v/>
      </c>
      <c r="K69" t="str">
        <f>IF('Master Sheet'!C70="Area 1 (Meenu S)",'Master Sheet'!K70,"")</f>
        <v/>
      </c>
      <c r="L69" t="str">
        <f>IF('Master Sheet'!C70="Area 1 (Meenu S)",'Master Sheet'!L70,"")</f>
        <v/>
      </c>
      <c r="M69" t="str">
        <f>IF('Master Sheet'!C70="Area 1 (Meenu S)",'Master Sheet'!M70,"")</f>
        <v/>
      </c>
      <c r="N69" t="str">
        <f>IF('Master Sheet'!C70="Area 1 (Meenu S)",'Master Sheet'!N70,"")</f>
        <v/>
      </c>
      <c r="O69" t="str">
        <f>IF('Master Sheet'!C70="Area 1 (Meenu S)",'Master Sheet'!O70,"")</f>
        <v/>
      </c>
      <c r="P69" t="str">
        <f>IF('Master Sheet'!C70="Area 1 (Meenu S)",'Master Sheet'!P70,"")</f>
        <v/>
      </c>
    </row>
    <row r="70" spans="1:16" hidden="1" x14ac:dyDescent="0.25">
      <c r="A70" t="str">
        <f>IF('Master Sheet'!C71="Area 1 (Meenu S)",'Master Sheet'!A71,"")</f>
        <v/>
      </c>
      <c r="B70" t="str">
        <f>IF('Master Sheet'!C71="Area 1 (Meenu S)",'Master Sheet'!B71,"")</f>
        <v/>
      </c>
      <c r="C70" t="s">
        <v>4</v>
      </c>
      <c r="D70" t="str">
        <f>IF('Master Sheet'!C71="Area 1 (Meenu S)",'Master Sheet'!D71,"")</f>
        <v/>
      </c>
      <c r="E70" t="str">
        <f>IF('Master Sheet'!C71="Area 1 (Meenu S)",'Master Sheet'!E71,"")</f>
        <v/>
      </c>
      <c r="F70" t="str">
        <f>IF('Master Sheet'!C71="Area 1 (Meenu S)",'Master Sheet'!F71,"")</f>
        <v/>
      </c>
      <c r="G70" t="str">
        <f>IF('Master Sheet'!C71="Area 1 (Meenu S)",'Master Sheet'!G71,"")</f>
        <v/>
      </c>
      <c r="H70" t="str">
        <f>IF('Master Sheet'!C71="Area 1 (Meenu S)",'Master Sheet'!H71,"")</f>
        <v/>
      </c>
      <c r="I70" t="str">
        <f>IF('Master Sheet'!C71="Area 1 (Meenu S)",'Master Sheet'!I71,"")</f>
        <v/>
      </c>
      <c r="J70" t="str">
        <f>IF('Master Sheet'!C71="Area 1 (Meenu S)",'Master Sheet'!J71,"")</f>
        <v/>
      </c>
      <c r="K70" t="str">
        <f>IF('Master Sheet'!C71="Area 1 (Meenu S)",'Master Sheet'!K71,"")</f>
        <v/>
      </c>
      <c r="L70" t="str">
        <f>IF('Master Sheet'!C71="Area 1 (Meenu S)",'Master Sheet'!L71,"")</f>
        <v/>
      </c>
      <c r="M70" t="str">
        <f>IF('Master Sheet'!C71="Area 1 (Meenu S)",'Master Sheet'!M71,"")</f>
        <v/>
      </c>
      <c r="N70" t="str">
        <f>IF('Master Sheet'!C71="Area 1 (Meenu S)",'Master Sheet'!N71,"")</f>
        <v/>
      </c>
      <c r="O70" t="str">
        <f>IF('Master Sheet'!C71="Area 1 (Meenu S)",'Master Sheet'!O71,"")</f>
        <v/>
      </c>
      <c r="P70" t="str">
        <f>IF('Master Sheet'!C71="Area 1 (Meenu S)",'Master Sheet'!P71,"")</f>
        <v/>
      </c>
    </row>
    <row r="71" spans="1:16" hidden="1" x14ac:dyDescent="0.25">
      <c r="A71" t="str">
        <f>IF('Master Sheet'!C72="Area 1 (Meenu S)",'Master Sheet'!A72,"")</f>
        <v/>
      </c>
      <c r="B71" t="str">
        <f>IF('Master Sheet'!C72="Area 1 (Meenu S)",'Master Sheet'!B72,"")</f>
        <v/>
      </c>
      <c r="C71" t="s">
        <v>4</v>
      </c>
      <c r="D71" t="str">
        <f>IF('Master Sheet'!C72="Area 1 (Meenu S)",'Master Sheet'!D72,"")</f>
        <v/>
      </c>
      <c r="E71" t="str">
        <f>IF('Master Sheet'!C72="Area 1 (Meenu S)",'Master Sheet'!E72,"")</f>
        <v/>
      </c>
      <c r="F71" t="str">
        <f>IF('Master Sheet'!C72="Area 1 (Meenu S)",'Master Sheet'!F72,"")</f>
        <v/>
      </c>
      <c r="G71" t="str">
        <f>IF('Master Sheet'!C72="Area 1 (Meenu S)",'Master Sheet'!G72,"")</f>
        <v/>
      </c>
      <c r="H71" t="str">
        <f>IF('Master Sheet'!C72="Area 1 (Meenu S)",'Master Sheet'!H72,"")</f>
        <v/>
      </c>
      <c r="I71" t="str">
        <f>IF('Master Sheet'!C72="Area 1 (Meenu S)",'Master Sheet'!I72,"")</f>
        <v/>
      </c>
      <c r="J71" t="str">
        <f>IF('Master Sheet'!C72="Area 1 (Meenu S)",'Master Sheet'!J72,"")</f>
        <v/>
      </c>
      <c r="K71" t="str">
        <f>IF('Master Sheet'!C72="Area 1 (Meenu S)",'Master Sheet'!K72,"")</f>
        <v/>
      </c>
      <c r="L71" t="str">
        <f>IF('Master Sheet'!C72="Area 1 (Meenu S)",'Master Sheet'!L72,"")</f>
        <v/>
      </c>
      <c r="M71" t="str">
        <f>IF('Master Sheet'!C72="Area 1 (Meenu S)",'Master Sheet'!M72,"")</f>
        <v/>
      </c>
      <c r="N71" t="str">
        <f>IF('Master Sheet'!C72="Area 1 (Meenu S)",'Master Sheet'!N72,"")</f>
        <v/>
      </c>
      <c r="O71" t="str">
        <f>IF('Master Sheet'!C72="Area 1 (Meenu S)",'Master Sheet'!O72,"")</f>
        <v/>
      </c>
      <c r="P71" t="str">
        <f>IF('Master Sheet'!C72="Area 1 (Meenu S)",'Master Sheet'!P72,"")</f>
        <v/>
      </c>
    </row>
    <row r="72" spans="1:16" hidden="1" x14ac:dyDescent="0.25">
      <c r="A72" t="str">
        <f>IF('Master Sheet'!C73="Area 1 (Meenu S)",'Master Sheet'!A73,"")</f>
        <v/>
      </c>
      <c r="B72" t="str">
        <f>IF('Master Sheet'!C73="Area 1 (Meenu S)",'Master Sheet'!B73,"")</f>
        <v/>
      </c>
      <c r="C72" t="s">
        <v>4</v>
      </c>
      <c r="D72" t="str">
        <f>IF('Master Sheet'!C73="Area 1 (Meenu S)",'Master Sheet'!D73,"")</f>
        <v/>
      </c>
      <c r="E72" t="str">
        <f>IF('Master Sheet'!C73="Area 1 (Meenu S)",'Master Sheet'!E73,"")</f>
        <v/>
      </c>
      <c r="F72" t="str">
        <f>IF('Master Sheet'!C73="Area 1 (Meenu S)",'Master Sheet'!F73,"")</f>
        <v/>
      </c>
      <c r="G72" t="str">
        <f>IF('Master Sheet'!C73="Area 1 (Meenu S)",'Master Sheet'!G73,"")</f>
        <v/>
      </c>
      <c r="H72" t="str">
        <f>IF('Master Sheet'!C73="Area 1 (Meenu S)",'Master Sheet'!H73,"")</f>
        <v/>
      </c>
      <c r="I72" t="str">
        <f>IF('Master Sheet'!C73="Area 1 (Meenu S)",'Master Sheet'!I73,"")</f>
        <v/>
      </c>
      <c r="J72" t="str">
        <f>IF('Master Sheet'!C73="Area 1 (Meenu S)",'Master Sheet'!J73,"")</f>
        <v/>
      </c>
      <c r="K72" t="str">
        <f>IF('Master Sheet'!C73="Area 1 (Meenu S)",'Master Sheet'!K73,"")</f>
        <v/>
      </c>
      <c r="L72" t="str">
        <f>IF('Master Sheet'!C73="Area 1 (Meenu S)",'Master Sheet'!L73,"")</f>
        <v/>
      </c>
      <c r="M72" t="str">
        <f>IF('Master Sheet'!C73="Area 1 (Meenu S)",'Master Sheet'!M73,"")</f>
        <v/>
      </c>
      <c r="N72" t="str">
        <f>IF('Master Sheet'!C73="Area 1 (Meenu S)",'Master Sheet'!N73,"")</f>
        <v/>
      </c>
      <c r="O72" t="str">
        <f>IF('Master Sheet'!C73="Area 1 (Meenu S)",'Master Sheet'!O73,"")</f>
        <v/>
      </c>
      <c r="P72" t="str">
        <f>IF('Master Sheet'!C73="Area 1 (Meenu S)",'Master Sheet'!P73,"")</f>
        <v/>
      </c>
    </row>
    <row r="73" spans="1:16" hidden="1" x14ac:dyDescent="0.25">
      <c r="A73" t="str">
        <f>IF('Master Sheet'!C74="Area 1 (Meenu S)",'Master Sheet'!A74,"")</f>
        <v/>
      </c>
      <c r="B73" t="str">
        <f>IF('Master Sheet'!C74="Area 1 (Meenu S)",'Master Sheet'!B74,"")</f>
        <v/>
      </c>
      <c r="C73" t="s">
        <v>4</v>
      </c>
      <c r="D73" t="str">
        <f>IF('Master Sheet'!C74="Area 1 (Meenu S)",'Master Sheet'!D74,"")</f>
        <v/>
      </c>
      <c r="E73" t="str">
        <f>IF('Master Sheet'!C74="Area 1 (Meenu S)",'Master Sheet'!E74,"")</f>
        <v/>
      </c>
      <c r="F73" t="str">
        <f>IF('Master Sheet'!C74="Area 1 (Meenu S)",'Master Sheet'!F74,"")</f>
        <v/>
      </c>
      <c r="G73" t="str">
        <f>IF('Master Sheet'!C74="Area 1 (Meenu S)",'Master Sheet'!G74,"")</f>
        <v/>
      </c>
      <c r="H73" t="str">
        <f>IF('Master Sheet'!C74="Area 1 (Meenu S)",'Master Sheet'!H74,"")</f>
        <v/>
      </c>
      <c r="I73" t="str">
        <f>IF('Master Sheet'!C74="Area 1 (Meenu S)",'Master Sheet'!I74,"")</f>
        <v/>
      </c>
      <c r="J73" t="str">
        <f>IF('Master Sheet'!C74="Area 1 (Meenu S)",'Master Sheet'!J74,"")</f>
        <v/>
      </c>
      <c r="K73" t="str">
        <f>IF('Master Sheet'!C74="Area 1 (Meenu S)",'Master Sheet'!K74,"")</f>
        <v/>
      </c>
      <c r="L73" t="str">
        <f>IF('Master Sheet'!C74="Area 1 (Meenu S)",'Master Sheet'!L74,"")</f>
        <v/>
      </c>
      <c r="M73" t="str">
        <f>IF('Master Sheet'!C74="Area 1 (Meenu S)",'Master Sheet'!M74,"")</f>
        <v/>
      </c>
      <c r="N73" t="str">
        <f>IF('Master Sheet'!C74="Area 1 (Meenu S)",'Master Sheet'!N74,"")</f>
        <v/>
      </c>
      <c r="O73" t="str">
        <f>IF('Master Sheet'!C74="Area 1 (Meenu S)",'Master Sheet'!O74,"")</f>
        <v/>
      </c>
      <c r="P73" t="str">
        <f>IF('Master Sheet'!C74="Area 1 (Meenu S)",'Master Sheet'!P74,"")</f>
        <v/>
      </c>
    </row>
    <row r="74" spans="1:16" hidden="1" x14ac:dyDescent="0.25">
      <c r="A74" t="str">
        <f>IF('Master Sheet'!C75="Area 1 (Meenu S)",'Master Sheet'!A75,"")</f>
        <v/>
      </c>
      <c r="B74" t="str">
        <f>IF('Master Sheet'!C75="Area 1 (Meenu S)",'Master Sheet'!B75,"")</f>
        <v/>
      </c>
      <c r="C74" t="s">
        <v>4</v>
      </c>
      <c r="D74" t="str">
        <f>IF('Master Sheet'!C75="Area 1 (Meenu S)",'Master Sheet'!D75,"")</f>
        <v/>
      </c>
      <c r="E74" t="str">
        <f>IF('Master Sheet'!C75="Area 1 (Meenu S)",'Master Sheet'!E75,"")</f>
        <v/>
      </c>
      <c r="F74" t="str">
        <f>IF('Master Sheet'!C75="Area 1 (Meenu S)",'Master Sheet'!F75,"")</f>
        <v/>
      </c>
      <c r="G74" t="str">
        <f>IF('Master Sheet'!C75="Area 1 (Meenu S)",'Master Sheet'!G75,"")</f>
        <v/>
      </c>
      <c r="H74" t="str">
        <f>IF('Master Sheet'!C75="Area 1 (Meenu S)",'Master Sheet'!H75,"")</f>
        <v/>
      </c>
      <c r="I74" t="str">
        <f>IF('Master Sheet'!C75="Area 1 (Meenu S)",'Master Sheet'!I75,"")</f>
        <v/>
      </c>
      <c r="J74" t="str">
        <f>IF('Master Sheet'!C75="Area 1 (Meenu S)",'Master Sheet'!J75,"")</f>
        <v/>
      </c>
      <c r="K74" t="str">
        <f>IF('Master Sheet'!C75="Area 1 (Meenu S)",'Master Sheet'!K75,"")</f>
        <v/>
      </c>
      <c r="L74" t="str">
        <f>IF('Master Sheet'!C75="Area 1 (Meenu S)",'Master Sheet'!L75,"")</f>
        <v/>
      </c>
      <c r="M74" t="str">
        <f>IF('Master Sheet'!C75="Area 1 (Meenu S)",'Master Sheet'!M75,"")</f>
        <v/>
      </c>
      <c r="N74" t="str">
        <f>IF('Master Sheet'!C75="Area 1 (Meenu S)",'Master Sheet'!N75,"")</f>
        <v/>
      </c>
      <c r="O74" t="str">
        <f>IF('Master Sheet'!C75="Area 1 (Meenu S)",'Master Sheet'!O75,"")</f>
        <v/>
      </c>
      <c r="P74" t="str">
        <f>IF('Master Sheet'!C75="Area 1 (Meenu S)",'Master Sheet'!P75,"")</f>
        <v/>
      </c>
    </row>
    <row r="75" spans="1:16" hidden="1" x14ac:dyDescent="0.25">
      <c r="A75" t="str">
        <f>IF('Master Sheet'!C76="Area 1 (Meenu S)",'Master Sheet'!A76,"")</f>
        <v/>
      </c>
      <c r="B75" t="str">
        <f>IF('Master Sheet'!C76="Area 1 (Meenu S)",'Master Sheet'!B76,"")</f>
        <v/>
      </c>
      <c r="C75" t="s">
        <v>4</v>
      </c>
      <c r="D75" t="str">
        <f>IF('Master Sheet'!C76="Area 1 (Meenu S)",'Master Sheet'!D76,"")</f>
        <v/>
      </c>
      <c r="E75" t="str">
        <f>IF('Master Sheet'!C76="Area 1 (Meenu S)",'Master Sheet'!E76,"")</f>
        <v/>
      </c>
      <c r="F75" t="str">
        <f>IF('Master Sheet'!C76="Area 1 (Meenu S)",'Master Sheet'!F76,"")</f>
        <v/>
      </c>
      <c r="G75" t="str">
        <f>IF('Master Sheet'!C76="Area 1 (Meenu S)",'Master Sheet'!G76,"")</f>
        <v/>
      </c>
      <c r="H75" t="str">
        <f>IF('Master Sheet'!C76="Area 1 (Meenu S)",'Master Sheet'!H76,"")</f>
        <v/>
      </c>
      <c r="I75" t="str">
        <f>IF('Master Sheet'!C76="Area 1 (Meenu S)",'Master Sheet'!I76,"")</f>
        <v/>
      </c>
      <c r="J75" t="str">
        <f>IF('Master Sheet'!C76="Area 1 (Meenu S)",'Master Sheet'!J76,"")</f>
        <v/>
      </c>
      <c r="K75" t="str">
        <f>IF('Master Sheet'!C76="Area 1 (Meenu S)",'Master Sheet'!K76,"")</f>
        <v/>
      </c>
      <c r="L75" t="str">
        <f>IF('Master Sheet'!C76="Area 1 (Meenu S)",'Master Sheet'!L76,"")</f>
        <v/>
      </c>
      <c r="M75" t="str">
        <f>IF('Master Sheet'!C76="Area 1 (Meenu S)",'Master Sheet'!M76,"")</f>
        <v/>
      </c>
      <c r="N75" t="str">
        <f>IF('Master Sheet'!C76="Area 1 (Meenu S)",'Master Sheet'!N76,"")</f>
        <v/>
      </c>
      <c r="O75" t="str">
        <f>IF('Master Sheet'!C76="Area 1 (Meenu S)",'Master Sheet'!O76,"")</f>
        <v/>
      </c>
      <c r="P75" t="str">
        <f>IF('Master Sheet'!C76="Area 1 (Meenu S)",'Master Sheet'!P76,"")</f>
        <v/>
      </c>
    </row>
    <row r="76" spans="1:16" hidden="1" x14ac:dyDescent="0.25">
      <c r="A76" t="str">
        <f>IF('Master Sheet'!C77="Area 1 (Meenu S)",'Master Sheet'!A77,"")</f>
        <v/>
      </c>
      <c r="B76" t="str">
        <f>IF('Master Sheet'!C77="Area 1 (Meenu S)",'Master Sheet'!B77,"")</f>
        <v/>
      </c>
      <c r="C76" t="s">
        <v>4</v>
      </c>
      <c r="D76" t="str">
        <f>IF('Master Sheet'!C77="Area 1 (Meenu S)",'Master Sheet'!D77,"")</f>
        <v/>
      </c>
      <c r="E76" t="str">
        <f>IF('Master Sheet'!C77="Area 1 (Meenu S)",'Master Sheet'!E77,"")</f>
        <v/>
      </c>
      <c r="F76" t="str">
        <f>IF('Master Sheet'!C77="Area 1 (Meenu S)",'Master Sheet'!F77,"")</f>
        <v/>
      </c>
      <c r="G76" t="str">
        <f>IF('Master Sheet'!C77="Area 1 (Meenu S)",'Master Sheet'!G77,"")</f>
        <v/>
      </c>
      <c r="H76" t="str">
        <f>IF('Master Sheet'!C77="Area 1 (Meenu S)",'Master Sheet'!H77,"")</f>
        <v/>
      </c>
      <c r="I76" t="str">
        <f>IF('Master Sheet'!C77="Area 1 (Meenu S)",'Master Sheet'!I77,"")</f>
        <v/>
      </c>
      <c r="J76" t="str">
        <f>IF('Master Sheet'!C77="Area 1 (Meenu S)",'Master Sheet'!J77,"")</f>
        <v/>
      </c>
      <c r="K76" t="str">
        <f>IF('Master Sheet'!C77="Area 1 (Meenu S)",'Master Sheet'!K77,"")</f>
        <v/>
      </c>
      <c r="L76" t="str">
        <f>IF('Master Sheet'!C77="Area 1 (Meenu S)",'Master Sheet'!L77,"")</f>
        <v/>
      </c>
      <c r="M76" t="str">
        <f>IF('Master Sheet'!C77="Area 1 (Meenu S)",'Master Sheet'!M77,"")</f>
        <v/>
      </c>
      <c r="N76" t="str">
        <f>IF('Master Sheet'!C77="Area 1 (Meenu S)",'Master Sheet'!N77,"")</f>
        <v/>
      </c>
      <c r="O76" t="str">
        <f>IF('Master Sheet'!C77="Area 1 (Meenu S)",'Master Sheet'!O77,"")</f>
        <v/>
      </c>
      <c r="P76" t="str">
        <f>IF('Master Sheet'!C77="Area 1 (Meenu S)",'Master Sheet'!P77,"")</f>
        <v/>
      </c>
    </row>
    <row r="77" spans="1:16" hidden="1" x14ac:dyDescent="0.25">
      <c r="A77" t="str">
        <f>IF('Master Sheet'!C78="Area 1 (Meenu S)",'Master Sheet'!A78,"")</f>
        <v/>
      </c>
      <c r="B77" t="str">
        <f>IF('Master Sheet'!C78="Area 1 (Meenu S)",'Master Sheet'!B78,"")</f>
        <v/>
      </c>
      <c r="C77" t="s">
        <v>4</v>
      </c>
      <c r="D77" t="str">
        <f>IF('Master Sheet'!C78="Area 1 (Meenu S)",'Master Sheet'!D78,"")</f>
        <v/>
      </c>
      <c r="E77" t="str">
        <f>IF('Master Sheet'!C78="Area 1 (Meenu S)",'Master Sheet'!E78,"")</f>
        <v/>
      </c>
      <c r="F77" t="str">
        <f>IF('Master Sheet'!C78="Area 1 (Meenu S)",'Master Sheet'!F78,"")</f>
        <v/>
      </c>
      <c r="G77" t="str">
        <f>IF('Master Sheet'!C78="Area 1 (Meenu S)",'Master Sheet'!G78,"")</f>
        <v/>
      </c>
      <c r="H77" t="str">
        <f>IF('Master Sheet'!C78="Area 1 (Meenu S)",'Master Sheet'!H78,"")</f>
        <v/>
      </c>
      <c r="I77" t="str">
        <f>IF('Master Sheet'!C78="Area 1 (Meenu S)",'Master Sheet'!I78,"")</f>
        <v/>
      </c>
      <c r="J77" t="str">
        <f>IF('Master Sheet'!C78="Area 1 (Meenu S)",'Master Sheet'!J78,"")</f>
        <v/>
      </c>
      <c r="K77" t="str">
        <f>IF('Master Sheet'!C78="Area 1 (Meenu S)",'Master Sheet'!K78,"")</f>
        <v/>
      </c>
      <c r="L77" t="str">
        <f>IF('Master Sheet'!C78="Area 1 (Meenu S)",'Master Sheet'!L78,"")</f>
        <v/>
      </c>
      <c r="M77" t="str">
        <f>IF('Master Sheet'!C78="Area 1 (Meenu S)",'Master Sheet'!M78,"")</f>
        <v/>
      </c>
      <c r="N77" t="str">
        <f>IF('Master Sheet'!C78="Area 1 (Meenu S)",'Master Sheet'!N78,"")</f>
        <v/>
      </c>
      <c r="O77" t="str">
        <f>IF('Master Sheet'!C78="Area 1 (Meenu S)",'Master Sheet'!O78,"")</f>
        <v/>
      </c>
      <c r="P77" t="str">
        <f>IF('Master Sheet'!C78="Area 1 (Meenu S)",'Master Sheet'!P78,"")</f>
        <v/>
      </c>
    </row>
    <row r="78" spans="1:16" hidden="1" x14ac:dyDescent="0.25">
      <c r="A78" t="str">
        <f>IF('Master Sheet'!C79="Area 1 (Meenu S)",'Master Sheet'!A79,"")</f>
        <v/>
      </c>
      <c r="B78" t="str">
        <f>IF('Master Sheet'!C79="Area 1 (Meenu S)",'Master Sheet'!B79,"")</f>
        <v/>
      </c>
      <c r="C78" t="s">
        <v>4</v>
      </c>
      <c r="D78" t="str">
        <f>IF('Master Sheet'!C79="Area 1 (Meenu S)",'Master Sheet'!D79,"")</f>
        <v/>
      </c>
      <c r="E78" t="str">
        <f>IF('Master Sheet'!C79="Area 1 (Meenu S)",'Master Sheet'!E79,"")</f>
        <v/>
      </c>
      <c r="F78" t="str">
        <f>IF('Master Sheet'!C79="Area 1 (Meenu S)",'Master Sheet'!F79,"")</f>
        <v/>
      </c>
      <c r="G78" t="str">
        <f>IF('Master Sheet'!C79="Area 1 (Meenu S)",'Master Sheet'!G79,"")</f>
        <v/>
      </c>
      <c r="H78" t="str">
        <f>IF('Master Sheet'!C79="Area 1 (Meenu S)",'Master Sheet'!H79,"")</f>
        <v/>
      </c>
      <c r="I78" t="str">
        <f>IF('Master Sheet'!C79="Area 1 (Meenu S)",'Master Sheet'!I79,"")</f>
        <v/>
      </c>
      <c r="J78" t="str">
        <f>IF('Master Sheet'!C79="Area 1 (Meenu S)",'Master Sheet'!J79,"")</f>
        <v/>
      </c>
      <c r="K78" t="str">
        <f>IF('Master Sheet'!C79="Area 1 (Meenu S)",'Master Sheet'!K79,"")</f>
        <v/>
      </c>
      <c r="L78" t="str">
        <f>IF('Master Sheet'!C79="Area 1 (Meenu S)",'Master Sheet'!L79,"")</f>
        <v/>
      </c>
      <c r="M78" t="str">
        <f>IF('Master Sheet'!C79="Area 1 (Meenu S)",'Master Sheet'!M79,"")</f>
        <v/>
      </c>
      <c r="N78" t="str">
        <f>IF('Master Sheet'!C79="Area 1 (Meenu S)",'Master Sheet'!N79,"")</f>
        <v/>
      </c>
      <c r="O78" t="str">
        <f>IF('Master Sheet'!C79="Area 1 (Meenu S)",'Master Sheet'!O79,"")</f>
        <v/>
      </c>
      <c r="P78" t="str">
        <f>IF('Master Sheet'!C79="Area 1 (Meenu S)",'Master Sheet'!P79,"")</f>
        <v/>
      </c>
    </row>
    <row r="79" spans="1:16" hidden="1" x14ac:dyDescent="0.25">
      <c r="A79" t="str">
        <f>IF('Master Sheet'!C80="Area 1 (Meenu S)",'Master Sheet'!A80,"")</f>
        <v/>
      </c>
      <c r="B79" t="str">
        <f>IF('Master Sheet'!C80="Area 1 (Meenu S)",'Master Sheet'!B80,"")</f>
        <v/>
      </c>
      <c r="C79" t="s">
        <v>4</v>
      </c>
      <c r="D79" t="str">
        <f>IF('Master Sheet'!C80="Area 1 (Meenu S)",'Master Sheet'!D80,"")</f>
        <v/>
      </c>
      <c r="E79" t="str">
        <f>IF('Master Sheet'!C80="Area 1 (Meenu S)",'Master Sheet'!E80,"")</f>
        <v/>
      </c>
      <c r="F79" t="str">
        <f>IF('Master Sheet'!C80="Area 1 (Meenu S)",'Master Sheet'!F80,"")</f>
        <v/>
      </c>
      <c r="G79" t="str">
        <f>IF('Master Sheet'!C80="Area 1 (Meenu S)",'Master Sheet'!G80,"")</f>
        <v/>
      </c>
      <c r="H79" t="str">
        <f>IF('Master Sheet'!C80="Area 1 (Meenu S)",'Master Sheet'!H80,"")</f>
        <v/>
      </c>
      <c r="I79" t="str">
        <f>IF('Master Sheet'!C80="Area 1 (Meenu S)",'Master Sheet'!I80,"")</f>
        <v/>
      </c>
      <c r="J79" t="str">
        <f>IF('Master Sheet'!C80="Area 1 (Meenu S)",'Master Sheet'!J80,"")</f>
        <v/>
      </c>
      <c r="K79" t="str">
        <f>IF('Master Sheet'!C80="Area 1 (Meenu S)",'Master Sheet'!K80,"")</f>
        <v/>
      </c>
      <c r="L79" t="str">
        <f>IF('Master Sheet'!C80="Area 1 (Meenu S)",'Master Sheet'!L80,"")</f>
        <v/>
      </c>
      <c r="M79" t="str">
        <f>IF('Master Sheet'!C80="Area 1 (Meenu S)",'Master Sheet'!M80,"")</f>
        <v/>
      </c>
      <c r="N79" t="str">
        <f>IF('Master Sheet'!C80="Area 1 (Meenu S)",'Master Sheet'!N80,"")</f>
        <v/>
      </c>
      <c r="O79" t="str">
        <f>IF('Master Sheet'!C80="Area 1 (Meenu S)",'Master Sheet'!O80,"")</f>
        <v/>
      </c>
      <c r="P79" t="str">
        <f>IF('Master Sheet'!C80="Area 1 (Meenu S)",'Master Sheet'!P80,"")</f>
        <v/>
      </c>
    </row>
    <row r="80" spans="1:16" hidden="1" x14ac:dyDescent="0.25">
      <c r="A80" t="str">
        <f>IF('Master Sheet'!C81="Area 1 (Meenu S)",'Master Sheet'!A81,"")</f>
        <v/>
      </c>
      <c r="B80" t="str">
        <f>IF('Master Sheet'!C81="Area 1 (Meenu S)",'Master Sheet'!B81,"")</f>
        <v/>
      </c>
      <c r="C80" t="s">
        <v>4</v>
      </c>
      <c r="D80" t="str">
        <f>IF('Master Sheet'!C81="Area 1 (Meenu S)",'Master Sheet'!D81,"")</f>
        <v/>
      </c>
      <c r="E80" t="str">
        <f>IF('Master Sheet'!C81="Area 1 (Meenu S)",'Master Sheet'!E81,"")</f>
        <v/>
      </c>
      <c r="F80" t="str">
        <f>IF('Master Sheet'!C81="Area 1 (Meenu S)",'Master Sheet'!F81,"")</f>
        <v/>
      </c>
      <c r="G80" t="str">
        <f>IF('Master Sheet'!C81="Area 1 (Meenu S)",'Master Sheet'!G81,"")</f>
        <v/>
      </c>
      <c r="H80" t="str">
        <f>IF('Master Sheet'!C81="Area 1 (Meenu S)",'Master Sheet'!H81,"")</f>
        <v/>
      </c>
      <c r="I80" t="str">
        <f>IF('Master Sheet'!C81="Area 1 (Meenu S)",'Master Sheet'!I81,"")</f>
        <v/>
      </c>
      <c r="J80" t="str">
        <f>IF('Master Sheet'!C81="Area 1 (Meenu S)",'Master Sheet'!J81,"")</f>
        <v/>
      </c>
      <c r="K80" t="str">
        <f>IF('Master Sheet'!C81="Area 1 (Meenu S)",'Master Sheet'!K81,"")</f>
        <v/>
      </c>
      <c r="L80" t="str">
        <f>IF('Master Sheet'!C81="Area 1 (Meenu S)",'Master Sheet'!L81,"")</f>
        <v/>
      </c>
      <c r="M80" t="str">
        <f>IF('Master Sheet'!C81="Area 1 (Meenu S)",'Master Sheet'!M81,"")</f>
        <v/>
      </c>
      <c r="N80" t="str">
        <f>IF('Master Sheet'!C81="Area 1 (Meenu S)",'Master Sheet'!N81,"")</f>
        <v/>
      </c>
      <c r="O80" t="str">
        <f>IF('Master Sheet'!C81="Area 1 (Meenu S)",'Master Sheet'!O81,"")</f>
        <v/>
      </c>
      <c r="P80" t="str">
        <f>IF('Master Sheet'!C81="Area 1 (Meenu S)",'Master Sheet'!P81,"")</f>
        <v/>
      </c>
    </row>
    <row r="81" spans="1:16" hidden="1" x14ac:dyDescent="0.25">
      <c r="A81" t="str">
        <f>IF('Master Sheet'!C82="Area 1 (Meenu S)",'Master Sheet'!A82,"")</f>
        <v/>
      </c>
      <c r="B81" t="str">
        <f>IF('Master Sheet'!C82="Area 1 (Meenu S)",'Master Sheet'!B82,"")</f>
        <v/>
      </c>
      <c r="C81" t="s">
        <v>4</v>
      </c>
      <c r="D81" t="str">
        <f>IF('Master Sheet'!C82="Area 1 (Meenu S)",'Master Sheet'!D82,"")</f>
        <v/>
      </c>
      <c r="E81" t="str">
        <f>IF('Master Sheet'!C82="Area 1 (Meenu S)",'Master Sheet'!E82,"")</f>
        <v/>
      </c>
      <c r="F81" t="str">
        <f>IF('Master Sheet'!C82="Area 1 (Meenu S)",'Master Sheet'!F82,"")</f>
        <v/>
      </c>
      <c r="G81" t="str">
        <f>IF('Master Sheet'!C82="Area 1 (Meenu S)",'Master Sheet'!G82,"")</f>
        <v/>
      </c>
      <c r="H81" t="str">
        <f>IF('Master Sheet'!C82="Area 1 (Meenu S)",'Master Sheet'!H82,"")</f>
        <v/>
      </c>
      <c r="I81" t="str">
        <f>IF('Master Sheet'!C82="Area 1 (Meenu S)",'Master Sheet'!I82,"")</f>
        <v/>
      </c>
      <c r="J81" t="str">
        <f>IF('Master Sheet'!C82="Area 1 (Meenu S)",'Master Sheet'!J82,"")</f>
        <v/>
      </c>
      <c r="K81" t="str">
        <f>IF('Master Sheet'!C82="Area 1 (Meenu S)",'Master Sheet'!K82,"")</f>
        <v/>
      </c>
      <c r="L81" t="str">
        <f>IF('Master Sheet'!C82="Area 1 (Meenu S)",'Master Sheet'!L82,"")</f>
        <v/>
      </c>
      <c r="M81" t="str">
        <f>IF('Master Sheet'!C82="Area 1 (Meenu S)",'Master Sheet'!M82,"")</f>
        <v/>
      </c>
      <c r="N81" t="str">
        <f>IF('Master Sheet'!C82="Area 1 (Meenu S)",'Master Sheet'!N82,"")</f>
        <v/>
      </c>
      <c r="O81" t="str">
        <f>IF('Master Sheet'!C82="Area 1 (Meenu S)",'Master Sheet'!O82,"")</f>
        <v/>
      </c>
      <c r="P81" t="str">
        <f>IF('Master Sheet'!C82="Area 1 (Meenu S)",'Master Sheet'!P82,"")</f>
        <v/>
      </c>
    </row>
    <row r="82" spans="1:16" hidden="1" x14ac:dyDescent="0.25">
      <c r="A82" t="str">
        <f>IF('Master Sheet'!C83="Area 1 (Meenu S)",'Master Sheet'!A83,"")</f>
        <v/>
      </c>
      <c r="B82" t="str">
        <f>IF('Master Sheet'!C83="Area 1 (Meenu S)",'Master Sheet'!B83,"")</f>
        <v/>
      </c>
      <c r="C82" t="s">
        <v>4</v>
      </c>
      <c r="D82" t="str">
        <f>IF('Master Sheet'!C83="Area 1 (Meenu S)",'Master Sheet'!D83,"")</f>
        <v/>
      </c>
      <c r="E82" t="str">
        <f>IF('Master Sheet'!C83="Area 1 (Meenu S)",'Master Sheet'!E83,"")</f>
        <v/>
      </c>
      <c r="F82" t="str">
        <f>IF('Master Sheet'!C83="Area 1 (Meenu S)",'Master Sheet'!F83,"")</f>
        <v/>
      </c>
      <c r="G82" t="str">
        <f>IF('Master Sheet'!C83="Area 1 (Meenu S)",'Master Sheet'!G83,"")</f>
        <v/>
      </c>
      <c r="H82" t="str">
        <f>IF('Master Sheet'!C83="Area 1 (Meenu S)",'Master Sheet'!H83,"")</f>
        <v/>
      </c>
      <c r="I82" t="str">
        <f>IF('Master Sheet'!C83="Area 1 (Meenu S)",'Master Sheet'!I83,"")</f>
        <v/>
      </c>
      <c r="J82" t="str">
        <f>IF('Master Sheet'!C83="Area 1 (Meenu S)",'Master Sheet'!J83,"")</f>
        <v/>
      </c>
      <c r="K82" t="str">
        <f>IF('Master Sheet'!C83="Area 1 (Meenu S)",'Master Sheet'!K83,"")</f>
        <v/>
      </c>
      <c r="L82" t="str">
        <f>IF('Master Sheet'!C83="Area 1 (Meenu S)",'Master Sheet'!L83,"")</f>
        <v/>
      </c>
      <c r="M82" t="str">
        <f>IF('Master Sheet'!C83="Area 1 (Meenu S)",'Master Sheet'!M83,"")</f>
        <v/>
      </c>
      <c r="N82" t="str">
        <f>IF('Master Sheet'!C83="Area 1 (Meenu S)",'Master Sheet'!N83,"")</f>
        <v/>
      </c>
      <c r="O82" t="str">
        <f>IF('Master Sheet'!C83="Area 1 (Meenu S)",'Master Sheet'!O83,"")</f>
        <v/>
      </c>
      <c r="P82" t="str">
        <f>IF('Master Sheet'!C83="Area 1 (Meenu S)",'Master Sheet'!P83,"")</f>
        <v/>
      </c>
    </row>
    <row r="83" spans="1:16" hidden="1" x14ac:dyDescent="0.25">
      <c r="A83" t="str">
        <f>IF('Master Sheet'!C84="Area 1 (Meenu S)",'Master Sheet'!A84,"")</f>
        <v/>
      </c>
      <c r="B83" t="str">
        <f>IF('Master Sheet'!C84="Area 1 (Meenu S)",'Master Sheet'!B84,"")</f>
        <v/>
      </c>
      <c r="C83" t="s">
        <v>4</v>
      </c>
      <c r="D83" t="str">
        <f>IF('Master Sheet'!C84="Area 1 (Meenu S)",'Master Sheet'!D84,"")</f>
        <v/>
      </c>
      <c r="E83" t="str">
        <f>IF('Master Sheet'!C84="Area 1 (Meenu S)",'Master Sheet'!E84,"")</f>
        <v/>
      </c>
      <c r="F83" t="str">
        <f>IF('Master Sheet'!C84="Area 1 (Meenu S)",'Master Sheet'!F84,"")</f>
        <v/>
      </c>
      <c r="G83" t="str">
        <f>IF('Master Sheet'!C84="Area 1 (Meenu S)",'Master Sheet'!G84,"")</f>
        <v/>
      </c>
      <c r="H83" t="str">
        <f>IF('Master Sheet'!C84="Area 1 (Meenu S)",'Master Sheet'!H84,"")</f>
        <v/>
      </c>
      <c r="I83" t="str">
        <f>IF('Master Sheet'!C84="Area 1 (Meenu S)",'Master Sheet'!I84,"")</f>
        <v/>
      </c>
      <c r="J83" t="str">
        <f>IF('Master Sheet'!C84="Area 1 (Meenu S)",'Master Sheet'!J84,"")</f>
        <v/>
      </c>
      <c r="K83" t="str">
        <f>IF('Master Sheet'!C84="Area 1 (Meenu S)",'Master Sheet'!K84,"")</f>
        <v/>
      </c>
      <c r="L83" t="str">
        <f>IF('Master Sheet'!C84="Area 1 (Meenu S)",'Master Sheet'!L84,"")</f>
        <v/>
      </c>
      <c r="M83" t="str">
        <f>IF('Master Sheet'!C84="Area 1 (Meenu S)",'Master Sheet'!M84,"")</f>
        <v/>
      </c>
      <c r="N83" t="str">
        <f>IF('Master Sheet'!C84="Area 1 (Meenu S)",'Master Sheet'!N84,"")</f>
        <v/>
      </c>
      <c r="O83" t="str">
        <f>IF('Master Sheet'!C84="Area 1 (Meenu S)",'Master Sheet'!O84,"")</f>
        <v/>
      </c>
      <c r="P83" t="str">
        <f>IF('Master Sheet'!C84="Area 1 (Meenu S)",'Master Sheet'!P84,"")</f>
        <v/>
      </c>
    </row>
    <row r="84" spans="1:16" hidden="1" x14ac:dyDescent="0.25">
      <c r="A84" t="str">
        <f>IF('Master Sheet'!C85="Area 1 (Meenu S)",'Master Sheet'!A85,"")</f>
        <v/>
      </c>
      <c r="B84" t="str">
        <f>IF('Master Sheet'!C85="Area 1 (Meenu S)",'Master Sheet'!B85,"")</f>
        <v/>
      </c>
      <c r="C84" t="s">
        <v>4</v>
      </c>
      <c r="D84" t="str">
        <f>IF('Master Sheet'!C85="Area 1 (Meenu S)",'Master Sheet'!D85,"")</f>
        <v/>
      </c>
      <c r="E84" t="str">
        <f>IF('Master Sheet'!C85="Area 1 (Meenu S)",'Master Sheet'!E85,"")</f>
        <v/>
      </c>
      <c r="F84" t="str">
        <f>IF('Master Sheet'!C85="Area 1 (Meenu S)",'Master Sheet'!F85,"")</f>
        <v/>
      </c>
      <c r="G84" t="str">
        <f>IF('Master Sheet'!C85="Area 1 (Meenu S)",'Master Sheet'!G85,"")</f>
        <v/>
      </c>
      <c r="H84" t="str">
        <f>IF('Master Sheet'!C85="Area 1 (Meenu S)",'Master Sheet'!H85,"")</f>
        <v/>
      </c>
      <c r="I84" t="str">
        <f>IF('Master Sheet'!C85="Area 1 (Meenu S)",'Master Sheet'!I85,"")</f>
        <v/>
      </c>
      <c r="J84" t="str">
        <f>IF('Master Sheet'!C85="Area 1 (Meenu S)",'Master Sheet'!J85,"")</f>
        <v/>
      </c>
      <c r="K84" t="str">
        <f>IF('Master Sheet'!C85="Area 1 (Meenu S)",'Master Sheet'!K85,"")</f>
        <v/>
      </c>
      <c r="L84" t="str">
        <f>IF('Master Sheet'!C85="Area 1 (Meenu S)",'Master Sheet'!L85,"")</f>
        <v/>
      </c>
      <c r="M84" t="str">
        <f>IF('Master Sheet'!C85="Area 1 (Meenu S)",'Master Sheet'!M85,"")</f>
        <v/>
      </c>
      <c r="N84" t="str">
        <f>IF('Master Sheet'!C85="Area 1 (Meenu S)",'Master Sheet'!N85,"")</f>
        <v/>
      </c>
      <c r="O84" t="str">
        <f>IF('Master Sheet'!C85="Area 1 (Meenu S)",'Master Sheet'!O85,"")</f>
        <v/>
      </c>
      <c r="P84" t="str">
        <f>IF('Master Sheet'!C85="Area 1 (Meenu S)",'Master Sheet'!P85,"")</f>
        <v/>
      </c>
    </row>
    <row r="85" spans="1:16" hidden="1" x14ac:dyDescent="0.25">
      <c r="A85" t="str">
        <f>IF('Master Sheet'!C86="Area 1 (Meenu S)",'Master Sheet'!A86,"")</f>
        <v/>
      </c>
      <c r="B85" t="str">
        <f>IF('Master Sheet'!C86="Area 1 (Meenu S)",'Master Sheet'!B86,"")</f>
        <v/>
      </c>
      <c r="C85" t="s">
        <v>4</v>
      </c>
      <c r="D85" t="str">
        <f>IF('Master Sheet'!C86="Area 1 (Meenu S)",'Master Sheet'!D86,"")</f>
        <v/>
      </c>
      <c r="E85" t="str">
        <f>IF('Master Sheet'!C86="Area 1 (Meenu S)",'Master Sheet'!E86,"")</f>
        <v/>
      </c>
      <c r="F85" t="str">
        <f>IF('Master Sheet'!C86="Area 1 (Meenu S)",'Master Sheet'!F86,"")</f>
        <v/>
      </c>
      <c r="G85" t="str">
        <f>IF('Master Sheet'!C86="Area 1 (Meenu S)",'Master Sheet'!G86,"")</f>
        <v/>
      </c>
      <c r="H85" t="str">
        <f>IF('Master Sheet'!C86="Area 1 (Meenu S)",'Master Sheet'!H86,"")</f>
        <v/>
      </c>
      <c r="I85" t="str">
        <f>IF('Master Sheet'!C86="Area 1 (Meenu S)",'Master Sheet'!I86,"")</f>
        <v/>
      </c>
      <c r="J85" t="str">
        <f>IF('Master Sheet'!C86="Area 1 (Meenu S)",'Master Sheet'!J86,"")</f>
        <v/>
      </c>
      <c r="K85" t="str">
        <f>IF('Master Sheet'!C86="Area 1 (Meenu S)",'Master Sheet'!K86,"")</f>
        <v/>
      </c>
      <c r="L85" t="str">
        <f>IF('Master Sheet'!C86="Area 1 (Meenu S)",'Master Sheet'!L86,"")</f>
        <v/>
      </c>
      <c r="M85" t="str">
        <f>IF('Master Sheet'!C86="Area 1 (Meenu S)",'Master Sheet'!M86,"")</f>
        <v/>
      </c>
      <c r="N85" t="str">
        <f>IF('Master Sheet'!C86="Area 1 (Meenu S)",'Master Sheet'!N86,"")</f>
        <v/>
      </c>
      <c r="O85" t="str">
        <f>IF('Master Sheet'!C86="Area 1 (Meenu S)",'Master Sheet'!O86,"")</f>
        <v/>
      </c>
      <c r="P85" t="str">
        <f>IF('Master Sheet'!C86="Area 1 (Meenu S)",'Master Sheet'!P86,"")</f>
        <v/>
      </c>
    </row>
    <row r="86" spans="1:16" hidden="1" x14ac:dyDescent="0.25">
      <c r="A86" t="str">
        <f>IF('Master Sheet'!C87="Area 1 (Meenu S)",'Master Sheet'!A87,"")</f>
        <v/>
      </c>
      <c r="B86" t="str">
        <f>IF('Master Sheet'!C87="Area 1 (Meenu S)",'Master Sheet'!B87,"")</f>
        <v/>
      </c>
      <c r="C86" t="s">
        <v>4</v>
      </c>
      <c r="D86" t="str">
        <f>IF('Master Sheet'!C87="Area 1 (Meenu S)",'Master Sheet'!D87,"")</f>
        <v/>
      </c>
      <c r="E86" t="str">
        <f>IF('Master Sheet'!C87="Area 1 (Meenu S)",'Master Sheet'!E87,"")</f>
        <v/>
      </c>
      <c r="F86" t="str">
        <f>IF('Master Sheet'!C87="Area 1 (Meenu S)",'Master Sheet'!F87,"")</f>
        <v/>
      </c>
      <c r="G86" t="str">
        <f>IF('Master Sheet'!C87="Area 1 (Meenu S)",'Master Sheet'!G87,"")</f>
        <v/>
      </c>
      <c r="H86" t="str">
        <f>IF('Master Sheet'!C87="Area 1 (Meenu S)",'Master Sheet'!H87,"")</f>
        <v/>
      </c>
      <c r="I86" t="str">
        <f>IF('Master Sheet'!C87="Area 1 (Meenu S)",'Master Sheet'!I87,"")</f>
        <v/>
      </c>
      <c r="J86" t="str">
        <f>IF('Master Sheet'!C87="Area 1 (Meenu S)",'Master Sheet'!J87,"")</f>
        <v/>
      </c>
      <c r="K86" t="str">
        <f>IF('Master Sheet'!C87="Area 1 (Meenu S)",'Master Sheet'!K87,"")</f>
        <v/>
      </c>
      <c r="L86" t="str">
        <f>IF('Master Sheet'!C87="Area 1 (Meenu S)",'Master Sheet'!L87,"")</f>
        <v/>
      </c>
      <c r="M86" t="str">
        <f>IF('Master Sheet'!C87="Area 1 (Meenu S)",'Master Sheet'!M87,"")</f>
        <v/>
      </c>
      <c r="N86" t="str">
        <f>IF('Master Sheet'!C87="Area 1 (Meenu S)",'Master Sheet'!N87,"")</f>
        <v/>
      </c>
      <c r="O86" t="str">
        <f>IF('Master Sheet'!C87="Area 1 (Meenu S)",'Master Sheet'!O87,"")</f>
        <v/>
      </c>
      <c r="P86" t="str">
        <f>IF('Master Sheet'!C87="Area 1 (Meenu S)",'Master Sheet'!P87,"")</f>
        <v/>
      </c>
    </row>
    <row r="87" spans="1:16" hidden="1" x14ac:dyDescent="0.25">
      <c r="A87" t="str">
        <f>IF('Master Sheet'!C88="Area 1 (Meenu S)",'Master Sheet'!A88,"")</f>
        <v/>
      </c>
      <c r="B87" t="str">
        <f>IF('Master Sheet'!C88="Area 1 (Meenu S)",'Master Sheet'!B88,"")</f>
        <v/>
      </c>
      <c r="C87" t="s">
        <v>4</v>
      </c>
      <c r="D87" t="str">
        <f>IF('Master Sheet'!C88="Area 1 (Meenu S)",'Master Sheet'!D88,"")</f>
        <v/>
      </c>
      <c r="E87" t="str">
        <f>IF('Master Sheet'!C88="Area 1 (Meenu S)",'Master Sheet'!E88,"")</f>
        <v/>
      </c>
      <c r="F87" t="str">
        <f>IF('Master Sheet'!C88="Area 1 (Meenu S)",'Master Sheet'!F88,"")</f>
        <v/>
      </c>
      <c r="G87" t="str">
        <f>IF('Master Sheet'!C88="Area 1 (Meenu S)",'Master Sheet'!G88,"")</f>
        <v/>
      </c>
      <c r="H87" t="str">
        <f>IF('Master Sheet'!C88="Area 1 (Meenu S)",'Master Sheet'!H88,"")</f>
        <v/>
      </c>
      <c r="I87" t="str">
        <f>IF('Master Sheet'!C88="Area 1 (Meenu S)",'Master Sheet'!I88,"")</f>
        <v/>
      </c>
      <c r="J87" t="str">
        <f>IF('Master Sheet'!C88="Area 1 (Meenu S)",'Master Sheet'!J88,"")</f>
        <v/>
      </c>
      <c r="K87" t="str">
        <f>IF('Master Sheet'!C88="Area 1 (Meenu S)",'Master Sheet'!K88,"")</f>
        <v/>
      </c>
      <c r="L87" t="str">
        <f>IF('Master Sheet'!C88="Area 1 (Meenu S)",'Master Sheet'!L88,"")</f>
        <v/>
      </c>
      <c r="M87" t="str">
        <f>IF('Master Sheet'!C88="Area 1 (Meenu S)",'Master Sheet'!M88,"")</f>
        <v/>
      </c>
      <c r="N87" t="str">
        <f>IF('Master Sheet'!C88="Area 1 (Meenu S)",'Master Sheet'!N88,"")</f>
        <v/>
      </c>
      <c r="O87" t="str">
        <f>IF('Master Sheet'!C88="Area 1 (Meenu S)",'Master Sheet'!O88,"")</f>
        <v/>
      </c>
      <c r="P87" t="str">
        <f>IF('Master Sheet'!C88="Area 1 (Meenu S)",'Master Sheet'!P88,"")</f>
        <v/>
      </c>
    </row>
    <row r="88" spans="1:16" hidden="1" x14ac:dyDescent="0.25">
      <c r="A88" t="str">
        <f>IF('Master Sheet'!C89="Area 1 (Meenu S)",'Master Sheet'!A89,"")</f>
        <v/>
      </c>
      <c r="B88" t="str">
        <f>IF('Master Sheet'!C89="Area 1 (Meenu S)",'Master Sheet'!B89,"")</f>
        <v/>
      </c>
      <c r="C88" t="s">
        <v>4</v>
      </c>
      <c r="D88" t="str">
        <f>IF('Master Sheet'!C89="Area 1 (Meenu S)",'Master Sheet'!D89,"")</f>
        <v/>
      </c>
      <c r="E88" t="str">
        <f>IF('Master Sheet'!C89="Area 1 (Meenu S)",'Master Sheet'!E89,"")</f>
        <v/>
      </c>
      <c r="F88" t="str">
        <f>IF('Master Sheet'!C89="Area 1 (Meenu S)",'Master Sheet'!F89,"")</f>
        <v/>
      </c>
      <c r="G88" t="str">
        <f>IF('Master Sheet'!C89="Area 1 (Meenu S)",'Master Sheet'!G89,"")</f>
        <v/>
      </c>
      <c r="H88" t="str">
        <f>IF('Master Sheet'!C89="Area 1 (Meenu S)",'Master Sheet'!H89,"")</f>
        <v/>
      </c>
      <c r="I88" t="str">
        <f>IF('Master Sheet'!C89="Area 1 (Meenu S)",'Master Sheet'!I89,"")</f>
        <v/>
      </c>
      <c r="J88" t="str">
        <f>IF('Master Sheet'!C89="Area 1 (Meenu S)",'Master Sheet'!J89,"")</f>
        <v/>
      </c>
      <c r="K88" t="str">
        <f>IF('Master Sheet'!C89="Area 1 (Meenu S)",'Master Sheet'!K89,"")</f>
        <v/>
      </c>
      <c r="L88" t="str">
        <f>IF('Master Sheet'!C89="Area 1 (Meenu S)",'Master Sheet'!L89,"")</f>
        <v/>
      </c>
      <c r="M88" t="str">
        <f>IF('Master Sheet'!C89="Area 1 (Meenu S)",'Master Sheet'!M89,"")</f>
        <v/>
      </c>
      <c r="N88" t="str">
        <f>IF('Master Sheet'!C89="Area 1 (Meenu S)",'Master Sheet'!N89,"")</f>
        <v/>
      </c>
      <c r="O88" t="str">
        <f>IF('Master Sheet'!C89="Area 1 (Meenu S)",'Master Sheet'!O89,"")</f>
        <v/>
      </c>
      <c r="P88" t="str">
        <f>IF('Master Sheet'!C89="Area 1 (Meenu S)",'Master Sheet'!P89,"")</f>
        <v/>
      </c>
    </row>
    <row r="89" spans="1:16" hidden="1" x14ac:dyDescent="0.25">
      <c r="A89" t="str">
        <f>IF('Master Sheet'!C90="Area 1 (Meenu S)",'Master Sheet'!A90,"")</f>
        <v/>
      </c>
      <c r="B89" t="str">
        <f>IF('Master Sheet'!C90="Area 1 (Meenu S)",'Master Sheet'!B90,"")</f>
        <v/>
      </c>
      <c r="C89" t="s">
        <v>4</v>
      </c>
      <c r="D89" t="str">
        <f>IF('Master Sheet'!C90="Area 1 (Meenu S)",'Master Sheet'!D90,"")</f>
        <v/>
      </c>
      <c r="E89" t="str">
        <f>IF('Master Sheet'!C90="Area 1 (Meenu S)",'Master Sheet'!E90,"")</f>
        <v/>
      </c>
      <c r="F89" t="str">
        <f>IF('Master Sheet'!C90="Area 1 (Meenu S)",'Master Sheet'!F90,"")</f>
        <v/>
      </c>
      <c r="G89" t="str">
        <f>IF('Master Sheet'!C90="Area 1 (Meenu S)",'Master Sheet'!G90,"")</f>
        <v/>
      </c>
      <c r="H89" t="str">
        <f>IF('Master Sheet'!C90="Area 1 (Meenu S)",'Master Sheet'!H90,"")</f>
        <v/>
      </c>
      <c r="I89" t="str">
        <f>IF('Master Sheet'!C90="Area 1 (Meenu S)",'Master Sheet'!I90,"")</f>
        <v/>
      </c>
      <c r="J89" t="str">
        <f>IF('Master Sheet'!C90="Area 1 (Meenu S)",'Master Sheet'!J90,"")</f>
        <v/>
      </c>
      <c r="K89" t="str">
        <f>IF('Master Sheet'!C90="Area 1 (Meenu S)",'Master Sheet'!K90,"")</f>
        <v/>
      </c>
      <c r="L89" t="str">
        <f>IF('Master Sheet'!C90="Area 1 (Meenu S)",'Master Sheet'!L90,"")</f>
        <v/>
      </c>
      <c r="M89" t="str">
        <f>IF('Master Sheet'!C90="Area 1 (Meenu S)",'Master Sheet'!M90,"")</f>
        <v/>
      </c>
      <c r="N89" t="str">
        <f>IF('Master Sheet'!C90="Area 1 (Meenu S)",'Master Sheet'!N90,"")</f>
        <v/>
      </c>
      <c r="O89" t="str">
        <f>IF('Master Sheet'!C90="Area 1 (Meenu S)",'Master Sheet'!O90,"")</f>
        <v/>
      </c>
      <c r="P89" t="str">
        <f>IF('Master Sheet'!C90="Area 1 (Meenu S)",'Master Sheet'!P90,"")</f>
        <v/>
      </c>
    </row>
    <row r="90" spans="1:16" hidden="1" x14ac:dyDescent="0.25">
      <c r="A90" t="str">
        <f>IF('Master Sheet'!C91="Area 1 (Meenu S)",'Master Sheet'!A91,"")</f>
        <v/>
      </c>
      <c r="B90" t="str">
        <f>IF('Master Sheet'!C91="Area 1 (Meenu S)",'Master Sheet'!B91,"")</f>
        <v/>
      </c>
      <c r="C90" t="s">
        <v>4</v>
      </c>
      <c r="D90" t="str">
        <f>IF('Master Sheet'!C91="Area 1 (Meenu S)",'Master Sheet'!D91,"")</f>
        <v/>
      </c>
      <c r="E90" t="str">
        <f>IF('Master Sheet'!C91="Area 1 (Meenu S)",'Master Sheet'!E91,"")</f>
        <v/>
      </c>
      <c r="F90" t="str">
        <f>IF('Master Sheet'!C91="Area 1 (Meenu S)",'Master Sheet'!F91,"")</f>
        <v/>
      </c>
      <c r="G90" t="str">
        <f>IF('Master Sheet'!C91="Area 1 (Meenu S)",'Master Sheet'!G91,"")</f>
        <v/>
      </c>
      <c r="H90" t="str">
        <f>IF('Master Sheet'!C91="Area 1 (Meenu S)",'Master Sheet'!H91,"")</f>
        <v/>
      </c>
      <c r="I90" t="str">
        <f>IF('Master Sheet'!C91="Area 1 (Meenu S)",'Master Sheet'!I91,"")</f>
        <v/>
      </c>
      <c r="J90" t="str">
        <f>IF('Master Sheet'!C91="Area 1 (Meenu S)",'Master Sheet'!J91,"")</f>
        <v/>
      </c>
      <c r="K90" t="str">
        <f>IF('Master Sheet'!C91="Area 1 (Meenu S)",'Master Sheet'!K91,"")</f>
        <v/>
      </c>
      <c r="L90" t="str">
        <f>IF('Master Sheet'!C91="Area 1 (Meenu S)",'Master Sheet'!L91,"")</f>
        <v/>
      </c>
      <c r="M90" t="str">
        <f>IF('Master Sheet'!C91="Area 1 (Meenu S)",'Master Sheet'!M91,"")</f>
        <v/>
      </c>
      <c r="N90" t="str">
        <f>IF('Master Sheet'!C91="Area 1 (Meenu S)",'Master Sheet'!N91,"")</f>
        <v/>
      </c>
      <c r="O90" t="str">
        <f>IF('Master Sheet'!C91="Area 1 (Meenu S)",'Master Sheet'!O91,"")</f>
        <v/>
      </c>
      <c r="P90" t="str">
        <f>IF('Master Sheet'!C91="Area 1 (Meenu S)",'Master Sheet'!P91,"")</f>
        <v/>
      </c>
    </row>
    <row r="91" spans="1:16" hidden="1" x14ac:dyDescent="0.25">
      <c r="A91" t="str">
        <f>IF('Master Sheet'!C92="Area 1 (Meenu S)",'Master Sheet'!A92,"")</f>
        <v/>
      </c>
      <c r="B91" t="str">
        <f>IF('Master Sheet'!C92="Area 1 (Meenu S)",'Master Sheet'!B92,"")</f>
        <v/>
      </c>
      <c r="C91" t="s">
        <v>4</v>
      </c>
      <c r="D91" t="str">
        <f>IF('Master Sheet'!C92="Area 1 (Meenu S)",'Master Sheet'!D92,"")</f>
        <v/>
      </c>
      <c r="E91" t="str">
        <f>IF('Master Sheet'!C92="Area 1 (Meenu S)",'Master Sheet'!E92,"")</f>
        <v/>
      </c>
      <c r="F91" t="str">
        <f>IF('Master Sheet'!C92="Area 1 (Meenu S)",'Master Sheet'!F92,"")</f>
        <v/>
      </c>
      <c r="G91" t="str">
        <f>IF('Master Sheet'!C92="Area 1 (Meenu S)",'Master Sheet'!G92,"")</f>
        <v/>
      </c>
      <c r="H91" t="str">
        <f>IF('Master Sheet'!C92="Area 1 (Meenu S)",'Master Sheet'!H92,"")</f>
        <v/>
      </c>
      <c r="I91" t="str">
        <f>IF('Master Sheet'!C92="Area 1 (Meenu S)",'Master Sheet'!I92,"")</f>
        <v/>
      </c>
      <c r="J91" t="str">
        <f>IF('Master Sheet'!C92="Area 1 (Meenu S)",'Master Sheet'!J92,"")</f>
        <v/>
      </c>
      <c r="K91" t="str">
        <f>IF('Master Sheet'!C92="Area 1 (Meenu S)",'Master Sheet'!K92,"")</f>
        <v/>
      </c>
      <c r="L91" t="str">
        <f>IF('Master Sheet'!C92="Area 1 (Meenu S)",'Master Sheet'!L92,"")</f>
        <v/>
      </c>
      <c r="M91" t="str">
        <f>IF('Master Sheet'!C92="Area 1 (Meenu S)",'Master Sheet'!M92,"")</f>
        <v/>
      </c>
      <c r="N91" t="str">
        <f>IF('Master Sheet'!C92="Area 1 (Meenu S)",'Master Sheet'!N92,"")</f>
        <v/>
      </c>
      <c r="O91" t="str">
        <f>IF('Master Sheet'!C92="Area 1 (Meenu S)",'Master Sheet'!O92,"")</f>
        <v/>
      </c>
      <c r="P91" t="str">
        <f>IF('Master Sheet'!C92="Area 1 (Meenu S)",'Master Sheet'!P92,"")</f>
        <v/>
      </c>
    </row>
    <row r="92" spans="1:16" hidden="1" x14ac:dyDescent="0.25">
      <c r="A92" t="str">
        <f>IF('Master Sheet'!C93="Area 1 (Meenu S)",'Master Sheet'!A93,"")</f>
        <v/>
      </c>
      <c r="B92" t="str">
        <f>IF('Master Sheet'!C93="Area 1 (Meenu S)",'Master Sheet'!B93,"")</f>
        <v/>
      </c>
      <c r="C92" t="s">
        <v>4</v>
      </c>
      <c r="D92" t="str">
        <f>IF('Master Sheet'!C93="Area 1 (Meenu S)",'Master Sheet'!D93,"")</f>
        <v/>
      </c>
      <c r="E92" t="str">
        <f>IF('Master Sheet'!C93="Area 1 (Meenu S)",'Master Sheet'!E93,"")</f>
        <v/>
      </c>
      <c r="F92" t="str">
        <f>IF('Master Sheet'!C93="Area 1 (Meenu S)",'Master Sheet'!F93,"")</f>
        <v/>
      </c>
      <c r="G92" t="str">
        <f>IF('Master Sheet'!C93="Area 1 (Meenu S)",'Master Sheet'!G93,"")</f>
        <v/>
      </c>
      <c r="H92" t="str">
        <f>IF('Master Sheet'!C93="Area 1 (Meenu S)",'Master Sheet'!H93,"")</f>
        <v/>
      </c>
      <c r="I92" t="str">
        <f>IF('Master Sheet'!C93="Area 1 (Meenu S)",'Master Sheet'!I93,"")</f>
        <v/>
      </c>
      <c r="J92" t="str">
        <f>IF('Master Sheet'!C93="Area 1 (Meenu S)",'Master Sheet'!J93,"")</f>
        <v/>
      </c>
      <c r="K92" t="str">
        <f>IF('Master Sheet'!C93="Area 1 (Meenu S)",'Master Sheet'!K93,"")</f>
        <v/>
      </c>
      <c r="L92" t="str">
        <f>IF('Master Sheet'!C93="Area 1 (Meenu S)",'Master Sheet'!L93,"")</f>
        <v/>
      </c>
      <c r="M92" t="str">
        <f>IF('Master Sheet'!C93="Area 1 (Meenu S)",'Master Sheet'!M93,"")</f>
        <v/>
      </c>
      <c r="N92" t="str">
        <f>IF('Master Sheet'!C93="Area 1 (Meenu S)",'Master Sheet'!N93,"")</f>
        <v/>
      </c>
      <c r="O92" t="str">
        <f>IF('Master Sheet'!C93="Area 1 (Meenu S)",'Master Sheet'!O93,"")</f>
        <v/>
      </c>
      <c r="P92" t="str">
        <f>IF('Master Sheet'!C93="Area 1 (Meenu S)",'Master Sheet'!P93,"")</f>
        <v/>
      </c>
    </row>
    <row r="93" spans="1:16" hidden="1" x14ac:dyDescent="0.25">
      <c r="A93" t="str">
        <f>IF('Master Sheet'!C94="Area 1 (Meenu S)",'Master Sheet'!A94,"")</f>
        <v/>
      </c>
      <c r="B93" t="str">
        <f>IF('Master Sheet'!C94="Area 1 (Meenu S)",'Master Sheet'!B94,"")</f>
        <v/>
      </c>
      <c r="C93" t="s">
        <v>4</v>
      </c>
      <c r="D93" t="str">
        <f>IF('Master Sheet'!C94="Area 1 (Meenu S)",'Master Sheet'!D94,"")</f>
        <v/>
      </c>
      <c r="E93" t="str">
        <f>IF('Master Sheet'!C94="Area 1 (Meenu S)",'Master Sheet'!E94,"")</f>
        <v/>
      </c>
      <c r="F93" t="str">
        <f>IF('Master Sheet'!C94="Area 1 (Meenu S)",'Master Sheet'!F94,"")</f>
        <v/>
      </c>
      <c r="G93" t="str">
        <f>IF('Master Sheet'!C94="Area 1 (Meenu S)",'Master Sheet'!G94,"")</f>
        <v/>
      </c>
      <c r="H93" t="str">
        <f>IF('Master Sheet'!C94="Area 1 (Meenu S)",'Master Sheet'!H94,"")</f>
        <v/>
      </c>
      <c r="I93" t="str">
        <f>IF('Master Sheet'!C94="Area 1 (Meenu S)",'Master Sheet'!I94,"")</f>
        <v/>
      </c>
      <c r="J93" t="str">
        <f>IF('Master Sheet'!C94="Area 1 (Meenu S)",'Master Sheet'!J94,"")</f>
        <v/>
      </c>
      <c r="K93" t="str">
        <f>IF('Master Sheet'!C94="Area 1 (Meenu S)",'Master Sheet'!K94,"")</f>
        <v/>
      </c>
      <c r="L93" t="str">
        <f>IF('Master Sheet'!C94="Area 1 (Meenu S)",'Master Sheet'!L94,"")</f>
        <v/>
      </c>
      <c r="M93" t="str">
        <f>IF('Master Sheet'!C94="Area 1 (Meenu S)",'Master Sheet'!M94,"")</f>
        <v/>
      </c>
      <c r="N93" t="str">
        <f>IF('Master Sheet'!C94="Area 1 (Meenu S)",'Master Sheet'!N94,"")</f>
        <v/>
      </c>
      <c r="O93" t="str">
        <f>IF('Master Sheet'!C94="Area 1 (Meenu S)",'Master Sheet'!O94,"")</f>
        <v/>
      </c>
      <c r="P93" t="str">
        <f>IF('Master Sheet'!C94="Area 1 (Meenu S)",'Master Sheet'!P94,"")</f>
        <v/>
      </c>
    </row>
    <row r="94" spans="1:16" hidden="1" x14ac:dyDescent="0.25">
      <c r="A94" t="str">
        <f>IF('Master Sheet'!C95="Area 1 (Meenu S)",'Master Sheet'!A95,"")</f>
        <v/>
      </c>
      <c r="B94" t="str">
        <f>IF('Master Sheet'!C95="Area 1 (Meenu S)",'Master Sheet'!B95,"")</f>
        <v/>
      </c>
      <c r="C94" t="s">
        <v>4</v>
      </c>
      <c r="D94" t="str">
        <f>IF('Master Sheet'!C95="Area 1 (Meenu S)",'Master Sheet'!D95,"")</f>
        <v/>
      </c>
      <c r="E94" t="str">
        <f>IF('Master Sheet'!C95="Area 1 (Meenu S)",'Master Sheet'!E95,"")</f>
        <v/>
      </c>
      <c r="F94" t="str">
        <f>IF('Master Sheet'!C95="Area 1 (Meenu S)",'Master Sheet'!F95,"")</f>
        <v/>
      </c>
      <c r="G94" t="str">
        <f>IF('Master Sheet'!C95="Area 1 (Meenu S)",'Master Sheet'!G95,"")</f>
        <v/>
      </c>
      <c r="H94" t="str">
        <f>IF('Master Sheet'!C95="Area 1 (Meenu S)",'Master Sheet'!H95,"")</f>
        <v/>
      </c>
      <c r="I94" t="str">
        <f>IF('Master Sheet'!C95="Area 1 (Meenu S)",'Master Sheet'!I95,"")</f>
        <v/>
      </c>
      <c r="J94" t="str">
        <f>IF('Master Sheet'!C95="Area 1 (Meenu S)",'Master Sheet'!J95,"")</f>
        <v/>
      </c>
      <c r="K94" t="str">
        <f>IF('Master Sheet'!C95="Area 1 (Meenu S)",'Master Sheet'!K95,"")</f>
        <v/>
      </c>
      <c r="L94" t="str">
        <f>IF('Master Sheet'!C95="Area 1 (Meenu S)",'Master Sheet'!L95,"")</f>
        <v/>
      </c>
      <c r="M94" t="str">
        <f>IF('Master Sheet'!C95="Area 1 (Meenu S)",'Master Sheet'!M95,"")</f>
        <v/>
      </c>
      <c r="N94" t="str">
        <f>IF('Master Sheet'!C95="Area 1 (Meenu S)",'Master Sheet'!N95,"")</f>
        <v/>
      </c>
      <c r="O94" t="str">
        <f>IF('Master Sheet'!C95="Area 1 (Meenu S)",'Master Sheet'!O95,"")</f>
        <v/>
      </c>
      <c r="P94" t="str">
        <f>IF('Master Sheet'!C95="Area 1 (Meenu S)",'Master Sheet'!P95,"")</f>
        <v/>
      </c>
    </row>
    <row r="95" spans="1:16" hidden="1" x14ac:dyDescent="0.25">
      <c r="A95" t="str">
        <f>IF('Master Sheet'!C96="Area 1 (Meenu S)",'Master Sheet'!A96,"")</f>
        <v/>
      </c>
      <c r="B95" t="str">
        <f>IF('Master Sheet'!C96="Area 1 (Meenu S)",'Master Sheet'!B96,"")</f>
        <v/>
      </c>
      <c r="C95" t="s">
        <v>4</v>
      </c>
      <c r="D95" t="str">
        <f>IF('Master Sheet'!C96="Area 1 (Meenu S)",'Master Sheet'!D96,"")</f>
        <v/>
      </c>
      <c r="E95" t="str">
        <f>IF('Master Sheet'!C96="Area 1 (Meenu S)",'Master Sheet'!E96,"")</f>
        <v/>
      </c>
      <c r="F95" t="str">
        <f>IF('Master Sheet'!C96="Area 1 (Meenu S)",'Master Sheet'!F96,"")</f>
        <v/>
      </c>
      <c r="G95" t="str">
        <f>IF('Master Sheet'!C96="Area 1 (Meenu S)",'Master Sheet'!G96,"")</f>
        <v/>
      </c>
      <c r="H95" t="str">
        <f>IF('Master Sheet'!C96="Area 1 (Meenu S)",'Master Sheet'!H96,"")</f>
        <v/>
      </c>
      <c r="I95" t="str">
        <f>IF('Master Sheet'!C96="Area 1 (Meenu S)",'Master Sheet'!I96,"")</f>
        <v/>
      </c>
      <c r="J95" t="str">
        <f>IF('Master Sheet'!C96="Area 1 (Meenu S)",'Master Sheet'!J96,"")</f>
        <v/>
      </c>
      <c r="K95" t="str">
        <f>IF('Master Sheet'!C96="Area 1 (Meenu S)",'Master Sheet'!K96,"")</f>
        <v/>
      </c>
      <c r="L95" t="str">
        <f>IF('Master Sheet'!C96="Area 1 (Meenu S)",'Master Sheet'!L96,"")</f>
        <v/>
      </c>
      <c r="M95" t="str">
        <f>IF('Master Sheet'!C96="Area 1 (Meenu S)",'Master Sheet'!M96,"")</f>
        <v/>
      </c>
      <c r="N95" t="str">
        <f>IF('Master Sheet'!C96="Area 1 (Meenu S)",'Master Sheet'!N96,"")</f>
        <v/>
      </c>
      <c r="O95" t="str">
        <f>IF('Master Sheet'!C96="Area 1 (Meenu S)",'Master Sheet'!O96,"")</f>
        <v/>
      </c>
      <c r="P95" t="str">
        <f>IF('Master Sheet'!C96="Area 1 (Meenu S)",'Master Sheet'!P96,"")</f>
        <v/>
      </c>
    </row>
    <row r="96" spans="1:16" hidden="1" x14ac:dyDescent="0.25">
      <c r="A96" t="str">
        <f>IF('Master Sheet'!C97="Area 1 (Meenu S)",'Master Sheet'!A97,"")</f>
        <v/>
      </c>
      <c r="B96" t="str">
        <f>IF('Master Sheet'!C97="Area 1 (Meenu S)",'Master Sheet'!B97,"")</f>
        <v/>
      </c>
      <c r="C96" t="s">
        <v>4</v>
      </c>
      <c r="D96" t="str">
        <f>IF('Master Sheet'!C97="Area 1 (Meenu S)",'Master Sheet'!D97,"")</f>
        <v/>
      </c>
      <c r="E96" t="str">
        <f>IF('Master Sheet'!C97="Area 1 (Meenu S)",'Master Sheet'!E97,"")</f>
        <v/>
      </c>
      <c r="F96" t="str">
        <f>IF('Master Sheet'!C97="Area 1 (Meenu S)",'Master Sheet'!F97,"")</f>
        <v/>
      </c>
      <c r="G96" t="str">
        <f>IF('Master Sheet'!C97="Area 1 (Meenu S)",'Master Sheet'!G97,"")</f>
        <v/>
      </c>
      <c r="H96" t="str">
        <f>IF('Master Sheet'!C97="Area 1 (Meenu S)",'Master Sheet'!H97,"")</f>
        <v/>
      </c>
      <c r="I96" t="str">
        <f>IF('Master Sheet'!C97="Area 1 (Meenu S)",'Master Sheet'!I97,"")</f>
        <v/>
      </c>
      <c r="J96" t="str">
        <f>IF('Master Sheet'!C97="Area 1 (Meenu S)",'Master Sheet'!J97,"")</f>
        <v/>
      </c>
      <c r="K96" t="str">
        <f>IF('Master Sheet'!C97="Area 1 (Meenu S)",'Master Sheet'!K97,"")</f>
        <v/>
      </c>
      <c r="L96" t="str">
        <f>IF('Master Sheet'!C97="Area 1 (Meenu S)",'Master Sheet'!L97,"")</f>
        <v/>
      </c>
      <c r="M96" t="str">
        <f>IF('Master Sheet'!C97="Area 1 (Meenu S)",'Master Sheet'!M97,"")</f>
        <v/>
      </c>
      <c r="N96" t="str">
        <f>IF('Master Sheet'!C97="Area 1 (Meenu S)",'Master Sheet'!N97,"")</f>
        <v/>
      </c>
      <c r="O96" t="str">
        <f>IF('Master Sheet'!C97="Area 1 (Meenu S)",'Master Sheet'!O97,"")</f>
        <v/>
      </c>
      <c r="P96" t="str">
        <f>IF('Master Sheet'!C97="Area 1 (Meenu S)",'Master Sheet'!P97,"")</f>
        <v/>
      </c>
    </row>
    <row r="97" spans="1:16" hidden="1" x14ac:dyDescent="0.25">
      <c r="A97" t="str">
        <f>IF('Master Sheet'!C98="Area 1 (Meenu S)",'Master Sheet'!A98,"")</f>
        <v/>
      </c>
      <c r="B97" t="str">
        <f>IF('Master Sheet'!C98="Area 1 (Meenu S)",'Master Sheet'!B98,"")</f>
        <v/>
      </c>
      <c r="C97" t="s">
        <v>4</v>
      </c>
      <c r="D97" t="str">
        <f>IF('Master Sheet'!C98="Area 1 (Meenu S)",'Master Sheet'!D98,"")</f>
        <v/>
      </c>
      <c r="E97" t="str">
        <f>IF('Master Sheet'!C98="Area 1 (Meenu S)",'Master Sheet'!E98,"")</f>
        <v/>
      </c>
      <c r="F97" t="str">
        <f>IF('Master Sheet'!C98="Area 1 (Meenu S)",'Master Sheet'!F98,"")</f>
        <v/>
      </c>
      <c r="G97" t="str">
        <f>IF('Master Sheet'!C98="Area 1 (Meenu S)",'Master Sheet'!G98,"")</f>
        <v/>
      </c>
      <c r="H97" t="str">
        <f>IF('Master Sheet'!C98="Area 1 (Meenu S)",'Master Sheet'!H98,"")</f>
        <v/>
      </c>
      <c r="I97" t="str">
        <f>IF('Master Sheet'!C98="Area 1 (Meenu S)",'Master Sheet'!I98,"")</f>
        <v/>
      </c>
      <c r="J97" t="str">
        <f>IF('Master Sheet'!C98="Area 1 (Meenu S)",'Master Sheet'!J98,"")</f>
        <v/>
      </c>
      <c r="K97" t="str">
        <f>IF('Master Sheet'!C98="Area 1 (Meenu S)",'Master Sheet'!K98,"")</f>
        <v/>
      </c>
      <c r="L97" t="str">
        <f>IF('Master Sheet'!C98="Area 1 (Meenu S)",'Master Sheet'!L98,"")</f>
        <v/>
      </c>
      <c r="M97" t="str">
        <f>IF('Master Sheet'!C98="Area 1 (Meenu S)",'Master Sheet'!M98,"")</f>
        <v/>
      </c>
      <c r="N97" t="str">
        <f>IF('Master Sheet'!C98="Area 1 (Meenu S)",'Master Sheet'!N98,"")</f>
        <v/>
      </c>
      <c r="O97" t="str">
        <f>IF('Master Sheet'!C98="Area 1 (Meenu S)",'Master Sheet'!O98,"")</f>
        <v/>
      </c>
      <c r="P97" t="str">
        <f>IF('Master Sheet'!C98="Area 1 (Meenu S)",'Master Sheet'!P98,"")</f>
        <v/>
      </c>
    </row>
    <row r="98" spans="1:16" hidden="1" x14ac:dyDescent="0.25">
      <c r="A98" t="str">
        <f>IF('Master Sheet'!C99="Area 1 (Meenu S)",'Master Sheet'!A99,"")</f>
        <v/>
      </c>
      <c r="B98" t="str">
        <f>IF('Master Sheet'!C99="Area 1 (Meenu S)",'Master Sheet'!B99,"")</f>
        <v/>
      </c>
      <c r="C98" t="s">
        <v>4</v>
      </c>
      <c r="D98" t="str">
        <f>IF('Master Sheet'!C99="Area 1 (Meenu S)",'Master Sheet'!D99,"")</f>
        <v/>
      </c>
      <c r="E98" t="str">
        <f>IF('Master Sheet'!C99="Area 1 (Meenu S)",'Master Sheet'!E99,"")</f>
        <v/>
      </c>
      <c r="F98" t="str">
        <f>IF('Master Sheet'!C99="Area 1 (Meenu S)",'Master Sheet'!F99,"")</f>
        <v/>
      </c>
      <c r="G98" t="str">
        <f>IF('Master Sheet'!C99="Area 1 (Meenu S)",'Master Sheet'!G99,"")</f>
        <v/>
      </c>
      <c r="H98" t="str">
        <f>IF('Master Sheet'!C99="Area 1 (Meenu S)",'Master Sheet'!H99,"")</f>
        <v/>
      </c>
      <c r="I98" t="str">
        <f>IF('Master Sheet'!C99="Area 1 (Meenu S)",'Master Sheet'!I99,"")</f>
        <v/>
      </c>
      <c r="J98" t="str">
        <f>IF('Master Sheet'!C99="Area 1 (Meenu S)",'Master Sheet'!J99,"")</f>
        <v/>
      </c>
      <c r="K98" t="str">
        <f>IF('Master Sheet'!C99="Area 1 (Meenu S)",'Master Sheet'!K99,"")</f>
        <v/>
      </c>
      <c r="L98" t="str">
        <f>IF('Master Sheet'!C99="Area 1 (Meenu S)",'Master Sheet'!L99,"")</f>
        <v/>
      </c>
      <c r="M98" t="str">
        <f>IF('Master Sheet'!C99="Area 1 (Meenu S)",'Master Sheet'!M99,"")</f>
        <v/>
      </c>
      <c r="N98" t="str">
        <f>IF('Master Sheet'!C99="Area 1 (Meenu S)",'Master Sheet'!N99,"")</f>
        <v/>
      </c>
      <c r="O98" t="str">
        <f>IF('Master Sheet'!C99="Area 1 (Meenu S)",'Master Sheet'!O99,"")</f>
        <v/>
      </c>
      <c r="P98" t="str">
        <f>IF('Master Sheet'!C99="Area 1 (Meenu S)",'Master Sheet'!P99,"")</f>
        <v/>
      </c>
    </row>
    <row r="99" spans="1:16" hidden="1" x14ac:dyDescent="0.25">
      <c r="A99" t="str">
        <f>IF('Master Sheet'!C100="Area 1 (Meenu S)",'Master Sheet'!A100,"")</f>
        <v/>
      </c>
      <c r="B99" t="str">
        <f>IF('Master Sheet'!C100="Area 1 (Meenu S)",'Master Sheet'!B100,"")</f>
        <v/>
      </c>
      <c r="C99" t="s">
        <v>4</v>
      </c>
      <c r="D99" t="str">
        <f>IF('Master Sheet'!C100="Area 1 (Meenu S)",'Master Sheet'!D100,"")</f>
        <v/>
      </c>
      <c r="E99" t="str">
        <f>IF('Master Sheet'!C100="Area 1 (Meenu S)",'Master Sheet'!E100,"")</f>
        <v/>
      </c>
      <c r="F99" t="str">
        <f>IF('Master Sheet'!C100="Area 1 (Meenu S)",'Master Sheet'!F100,"")</f>
        <v/>
      </c>
      <c r="G99" t="str">
        <f>IF('Master Sheet'!C100="Area 1 (Meenu S)",'Master Sheet'!G100,"")</f>
        <v/>
      </c>
      <c r="H99" t="str">
        <f>IF('Master Sheet'!C100="Area 1 (Meenu S)",'Master Sheet'!H100,"")</f>
        <v/>
      </c>
      <c r="I99" t="str">
        <f>IF('Master Sheet'!C100="Area 1 (Meenu S)",'Master Sheet'!I100,"")</f>
        <v/>
      </c>
      <c r="J99" t="str">
        <f>IF('Master Sheet'!C100="Area 1 (Meenu S)",'Master Sheet'!J100,"")</f>
        <v/>
      </c>
      <c r="K99" t="str">
        <f>IF('Master Sheet'!C100="Area 1 (Meenu S)",'Master Sheet'!K100,"")</f>
        <v/>
      </c>
      <c r="L99" t="str">
        <f>IF('Master Sheet'!C100="Area 1 (Meenu S)",'Master Sheet'!L100,"")</f>
        <v/>
      </c>
      <c r="M99" t="str">
        <f>IF('Master Sheet'!C100="Area 1 (Meenu S)",'Master Sheet'!M100,"")</f>
        <v/>
      </c>
      <c r="N99" t="str">
        <f>IF('Master Sheet'!C100="Area 1 (Meenu S)",'Master Sheet'!N100,"")</f>
        <v/>
      </c>
      <c r="O99" t="str">
        <f>IF('Master Sheet'!C100="Area 1 (Meenu S)",'Master Sheet'!O100,"")</f>
        <v/>
      </c>
      <c r="P99" t="str">
        <f>IF('Master Sheet'!C100="Area 1 (Meenu S)",'Master Sheet'!P100,"")</f>
        <v/>
      </c>
    </row>
    <row r="100" spans="1:16" hidden="1" x14ac:dyDescent="0.25">
      <c r="A100" t="str">
        <f>IF('Master Sheet'!C101="Area 1 (Meenu S)",'Master Sheet'!A101,"")</f>
        <v/>
      </c>
      <c r="B100" t="str">
        <f>IF('Master Sheet'!C101="Area 1 (Meenu S)",'Master Sheet'!B101,"")</f>
        <v/>
      </c>
      <c r="C100" t="s">
        <v>4</v>
      </c>
      <c r="D100" t="str">
        <f>IF('Master Sheet'!C101="Area 1 (Meenu S)",'Master Sheet'!D101,"")</f>
        <v/>
      </c>
      <c r="E100" t="str">
        <f>IF('Master Sheet'!C101="Area 1 (Meenu S)",'Master Sheet'!E101,"")</f>
        <v/>
      </c>
      <c r="F100" t="str">
        <f>IF('Master Sheet'!C101="Area 1 (Meenu S)",'Master Sheet'!F101,"")</f>
        <v/>
      </c>
      <c r="G100" t="str">
        <f>IF('Master Sheet'!C101="Area 1 (Meenu S)",'Master Sheet'!G101,"")</f>
        <v/>
      </c>
      <c r="H100" t="str">
        <f>IF('Master Sheet'!C101="Area 1 (Meenu S)",'Master Sheet'!H101,"")</f>
        <v/>
      </c>
      <c r="I100" t="str">
        <f>IF('Master Sheet'!C101="Area 1 (Meenu S)",'Master Sheet'!I101,"")</f>
        <v/>
      </c>
      <c r="J100" t="str">
        <f>IF('Master Sheet'!C101="Area 1 (Meenu S)",'Master Sheet'!J101,"")</f>
        <v/>
      </c>
      <c r="K100" t="str">
        <f>IF('Master Sheet'!C101="Area 1 (Meenu S)",'Master Sheet'!K101,"")</f>
        <v/>
      </c>
      <c r="L100" t="str">
        <f>IF('Master Sheet'!C101="Area 1 (Meenu S)",'Master Sheet'!L101,"")</f>
        <v/>
      </c>
      <c r="M100" t="str">
        <f>IF('Master Sheet'!C101="Area 1 (Meenu S)",'Master Sheet'!M101,"")</f>
        <v/>
      </c>
      <c r="N100" t="str">
        <f>IF('Master Sheet'!C101="Area 1 (Meenu S)",'Master Sheet'!N101,"")</f>
        <v/>
      </c>
      <c r="O100" t="str">
        <f>IF('Master Sheet'!C101="Area 1 (Meenu S)",'Master Sheet'!O101,"")</f>
        <v/>
      </c>
      <c r="P100" t="str">
        <f>IF('Master Sheet'!C101="Area 1 (Meenu S)",'Master Sheet'!P101,"")</f>
        <v/>
      </c>
    </row>
    <row r="101" spans="1:16" hidden="1" x14ac:dyDescent="0.25">
      <c r="A101" t="str">
        <f>IF('Master Sheet'!C102="Area 1 (Meenu S)",'Master Sheet'!A102,"")</f>
        <v/>
      </c>
      <c r="B101" t="str">
        <f>IF('Master Sheet'!C102="Area 1 (Meenu S)",'Master Sheet'!B102,"")</f>
        <v/>
      </c>
      <c r="C101" t="s">
        <v>4</v>
      </c>
      <c r="D101" t="str">
        <f>IF('Master Sheet'!C102="Area 1 (Meenu S)",'Master Sheet'!D102,"")</f>
        <v/>
      </c>
      <c r="E101" t="str">
        <f>IF('Master Sheet'!C102="Area 1 (Meenu S)",'Master Sheet'!E102,"")</f>
        <v/>
      </c>
      <c r="F101" t="str">
        <f>IF('Master Sheet'!C102="Area 1 (Meenu S)",'Master Sheet'!F102,"")</f>
        <v/>
      </c>
      <c r="G101" t="str">
        <f>IF('Master Sheet'!C102="Area 1 (Meenu S)",'Master Sheet'!G102,"")</f>
        <v/>
      </c>
      <c r="H101" t="str">
        <f>IF('Master Sheet'!C102="Area 1 (Meenu S)",'Master Sheet'!H102,"")</f>
        <v/>
      </c>
      <c r="I101" t="str">
        <f>IF('Master Sheet'!C102="Area 1 (Meenu S)",'Master Sheet'!I102,"")</f>
        <v/>
      </c>
      <c r="J101" t="str">
        <f>IF('Master Sheet'!C102="Area 1 (Meenu S)",'Master Sheet'!J102,"")</f>
        <v/>
      </c>
      <c r="K101" t="str">
        <f>IF('Master Sheet'!C102="Area 1 (Meenu S)",'Master Sheet'!K102,"")</f>
        <v/>
      </c>
      <c r="L101" t="str">
        <f>IF('Master Sheet'!C102="Area 1 (Meenu S)",'Master Sheet'!L102,"")</f>
        <v/>
      </c>
      <c r="M101" t="str">
        <f>IF('Master Sheet'!C102="Area 1 (Meenu S)",'Master Sheet'!M102,"")</f>
        <v/>
      </c>
      <c r="N101" t="str">
        <f>IF('Master Sheet'!C102="Area 1 (Meenu S)",'Master Sheet'!N102,"")</f>
        <v/>
      </c>
      <c r="O101" t="str">
        <f>IF('Master Sheet'!C102="Area 1 (Meenu S)",'Master Sheet'!O102,"")</f>
        <v/>
      </c>
      <c r="P101" t="str">
        <f>IF('Master Sheet'!C102="Area 1 (Meenu S)",'Master Sheet'!P102,"")</f>
        <v/>
      </c>
    </row>
    <row r="102" spans="1:16" hidden="1" x14ac:dyDescent="0.25">
      <c r="A102" t="str">
        <f>IF('Master Sheet'!C103="Area 1 (Meenu S)",'Master Sheet'!A103,"")</f>
        <v/>
      </c>
      <c r="B102" t="str">
        <f>IF('Master Sheet'!C103="Area 1 (Meenu S)",'Master Sheet'!B103,"")</f>
        <v/>
      </c>
      <c r="C102" t="s">
        <v>4</v>
      </c>
      <c r="D102" t="str">
        <f>IF('Master Sheet'!C103="Area 1 (Meenu S)",'Master Sheet'!D103,"")</f>
        <v/>
      </c>
      <c r="E102" t="str">
        <f>IF('Master Sheet'!C103="Area 1 (Meenu S)",'Master Sheet'!E103,"")</f>
        <v/>
      </c>
      <c r="F102" t="str">
        <f>IF('Master Sheet'!C103="Area 1 (Meenu S)",'Master Sheet'!F103,"")</f>
        <v/>
      </c>
      <c r="G102" t="str">
        <f>IF('Master Sheet'!C103="Area 1 (Meenu S)",'Master Sheet'!G103,"")</f>
        <v/>
      </c>
      <c r="H102" t="str">
        <f>IF('Master Sheet'!C103="Area 1 (Meenu S)",'Master Sheet'!H103,"")</f>
        <v/>
      </c>
      <c r="I102" t="str">
        <f>IF('Master Sheet'!C103="Area 1 (Meenu S)",'Master Sheet'!I103,"")</f>
        <v/>
      </c>
      <c r="J102" t="str">
        <f>IF('Master Sheet'!C103="Area 1 (Meenu S)",'Master Sheet'!J103,"")</f>
        <v/>
      </c>
      <c r="K102" t="str">
        <f>IF('Master Sheet'!C103="Area 1 (Meenu S)",'Master Sheet'!K103,"")</f>
        <v/>
      </c>
      <c r="L102" t="str">
        <f>IF('Master Sheet'!C103="Area 1 (Meenu S)",'Master Sheet'!L103,"")</f>
        <v/>
      </c>
      <c r="M102" t="str">
        <f>IF('Master Sheet'!C103="Area 1 (Meenu S)",'Master Sheet'!M103,"")</f>
        <v/>
      </c>
      <c r="N102" t="str">
        <f>IF('Master Sheet'!C103="Area 1 (Meenu S)",'Master Sheet'!N103,"")</f>
        <v/>
      </c>
      <c r="O102" t="str">
        <f>IF('Master Sheet'!C103="Area 1 (Meenu S)",'Master Sheet'!O103,"")</f>
        <v/>
      </c>
      <c r="P102" t="str">
        <f>IF('Master Sheet'!C103="Area 1 (Meenu S)",'Master Sheet'!P103,"")</f>
        <v/>
      </c>
    </row>
    <row r="103" spans="1:16" hidden="1" x14ac:dyDescent="0.25">
      <c r="A103" t="str">
        <f>IF('Master Sheet'!C104="Area 1 (Meenu S)",'Master Sheet'!A104,"")</f>
        <v/>
      </c>
      <c r="B103" t="str">
        <f>IF('Master Sheet'!C104="Area 1 (Meenu S)",'Master Sheet'!B104,"")</f>
        <v/>
      </c>
      <c r="C103" t="s">
        <v>4</v>
      </c>
      <c r="D103" t="str">
        <f>IF('Master Sheet'!C104="Area 1 (Meenu S)",'Master Sheet'!D104,"")</f>
        <v/>
      </c>
      <c r="E103" t="str">
        <f>IF('Master Sheet'!C104="Area 1 (Meenu S)",'Master Sheet'!E104,"")</f>
        <v/>
      </c>
      <c r="F103" t="str">
        <f>IF('Master Sheet'!C104="Area 1 (Meenu S)",'Master Sheet'!F104,"")</f>
        <v/>
      </c>
      <c r="G103" t="str">
        <f>IF('Master Sheet'!C104="Area 1 (Meenu S)",'Master Sheet'!G104,"")</f>
        <v/>
      </c>
      <c r="H103" t="str">
        <f>IF('Master Sheet'!C104="Area 1 (Meenu S)",'Master Sheet'!H104,"")</f>
        <v/>
      </c>
      <c r="I103" t="str">
        <f>IF('Master Sheet'!C104="Area 1 (Meenu S)",'Master Sheet'!I104,"")</f>
        <v/>
      </c>
      <c r="J103" t="str">
        <f>IF('Master Sheet'!C104="Area 1 (Meenu S)",'Master Sheet'!J104,"")</f>
        <v/>
      </c>
      <c r="K103" t="str">
        <f>IF('Master Sheet'!C104="Area 1 (Meenu S)",'Master Sheet'!K104,"")</f>
        <v/>
      </c>
      <c r="L103" t="str">
        <f>IF('Master Sheet'!C104="Area 1 (Meenu S)",'Master Sheet'!L104,"")</f>
        <v/>
      </c>
      <c r="M103" t="str">
        <f>IF('Master Sheet'!C104="Area 1 (Meenu S)",'Master Sheet'!M104,"")</f>
        <v/>
      </c>
      <c r="N103" t="str">
        <f>IF('Master Sheet'!C104="Area 1 (Meenu S)",'Master Sheet'!N104,"")</f>
        <v/>
      </c>
      <c r="O103" t="str">
        <f>IF('Master Sheet'!C104="Area 1 (Meenu S)",'Master Sheet'!O104,"")</f>
        <v/>
      </c>
      <c r="P103" t="str">
        <f>IF('Master Sheet'!C104="Area 1 (Meenu S)",'Master Sheet'!P104,"")</f>
        <v/>
      </c>
    </row>
    <row r="104" spans="1:16" hidden="1" x14ac:dyDescent="0.25">
      <c r="A104" t="str">
        <f>IF('Master Sheet'!C105="Area 1 (Meenu S)",'Master Sheet'!A105,"")</f>
        <v/>
      </c>
      <c r="B104" t="str">
        <f>IF('Master Sheet'!C105="Area 1 (Meenu S)",'Master Sheet'!B105,"")</f>
        <v/>
      </c>
      <c r="C104" t="s">
        <v>4</v>
      </c>
      <c r="D104" t="str">
        <f>IF('Master Sheet'!C105="Area 1 (Meenu S)",'Master Sheet'!D105,"")</f>
        <v/>
      </c>
      <c r="E104" t="str">
        <f>IF('Master Sheet'!C105="Area 1 (Meenu S)",'Master Sheet'!E105,"")</f>
        <v/>
      </c>
      <c r="F104" t="str">
        <f>IF('Master Sheet'!C105="Area 1 (Meenu S)",'Master Sheet'!F105,"")</f>
        <v/>
      </c>
      <c r="G104" t="str">
        <f>IF('Master Sheet'!C105="Area 1 (Meenu S)",'Master Sheet'!G105,"")</f>
        <v/>
      </c>
      <c r="H104" t="str">
        <f>IF('Master Sheet'!C105="Area 1 (Meenu S)",'Master Sheet'!H105,"")</f>
        <v/>
      </c>
      <c r="I104" t="str">
        <f>IF('Master Sheet'!C105="Area 1 (Meenu S)",'Master Sheet'!I105,"")</f>
        <v/>
      </c>
      <c r="J104" t="str">
        <f>IF('Master Sheet'!C105="Area 1 (Meenu S)",'Master Sheet'!J105,"")</f>
        <v/>
      </c>
      <c r="K104" t="str">
        <f>IF('Master Sheet'!C105="Area 1 (Meenu S)",'Master Sheet'!K105,"")</f>
        <v/>
      </c>
      <c r="L104" t="str">
        <f>IF('Master Sheet'!C105="Area 1 (Meenu S)",'Master Sheet'!L105,"")</f>
        <v/>
      </c>
      <c r="M104" t="str">
        <f>IF('Master Sheet'!C105="Area 1 (Meenu S)",'Master Sheet'!M105,"")</f>
        <v/>
      </c>
      <c r="N104" t="str">
        <f>IF('Master Sheet'!C105="Area 1 (Meenu S)",'Master Sheet'!N105,"")</f>
        <v/>
      </c>
      <c r="O104" t="str">
        <f>IF('Master Sheet'!C105="Area 1 (Meenu S)",'Master Sheet'!O105,"")</f>
        <v/>
      </c>
      <c r="P104" t="str">
        <f>IF('Master Sheet'!C105="Area 1 (Meenu S)",'Master Sheet'!P105,"")</f>
        <v/>
      </c>
    </row>
    <row r="105" spans="1:16" hidden="1" x14ac:dyDescent="0.25">
      <c r="A105" t="str">
        <f>IF('Master Sheet'!C106="Area 1 (Meenu S)",'Master Sheet'!A106,"")</f>
        <v/>
      </c>
      <c r="B105" t="str">
        <f>IF('Master Sheet'!C106="Area 1 (Meenu S)",'Master Sheet'!B106,"")</f>
        <v/>
      </c>
      <c r="C105" t="s">
        <v>4</v>
      </c>
      <c r="D105" t="str">
        <f>IF('Master Sheet'!C106="Area 1 (Meenu S)",'Master Sheet'!D106,"")</f>
        <v/>
      </c>
      <c r="E105" t="str">
        <f>IF('Master Sheet'!C106="Area 1 (Meenu S)",'Master Sheet'!E106,"")</f>
        <v/>
      </c>
      <c r="F105" t="str">
        <f>IF('Master Sheet'!C106="Area 1 (Meenu S)",'Master Sheet'!F106,"")</f>
        <v/>
      </c>
      <c r="G105" t="str">
        <f>IF('Master Sheet'!C106="Area 1 (Meenu S)",'Master Sheet'!G106,"")</f>
        <v/>
      </c>
      <c r="H105" t="str">
        <f>IF('Master Sheet'!C106="Area 1 (Meenu S)",'Master Sheet'!H106,"")</f>
        <v/>
      </c>
      <c r="I105" t="str">
        <f>IF('Master Sheet'!C106="Area 1 (Meenu S)",'Master Sheet'!I106,"")</f>
        <v/>
      </c>
      <c r="J105" t="str">
        <f>IF('Master Sheet'!C106="Area 1 (Meenu S)",'Master Sheet'!J106,"")</f>
        <v/>
      </c>
      <c r="K105" t="str">
        <f>IF('Master Sheet'!C106="Area 1 (Meenu S)",'Master Sheet'!K106,"")</f>
        <v/>
      </c>
      <c r="L105" t="str">
        <f>IF('Master Sheet'!C106="Area 1 (Meenu S)",'Master Sheet'!L106,"")</f>
        <v/>
      </c>
      <c r="M105" t="str">
        <f>IF('Master Sheet'!C106="Area 1 (Meenu S)",'Master Sheet'!M106,"")</f>
        <v/>
      </c>
      <c r="N105" t="str">
        <f>IF('Master Sheet'!C106="Area 1 (Meenu S)",'Master Sheet'!N106,"")</f>
        <v/>
      </c>
      <c r="O105" t="str">
        <f>IF('Master Sheet'!C106="Area 1 (Meenu S)",'Master Sheet'!O106,"")</f>
        <v/>
      </c>
      <c r="P105" t="str">
        <f>IF('Master Sheet'!C106="Area 1 (Meenu S)",'Master Sheet'!P106,"")</f>
        <v/>
      </c>
    </row>
    <row r="106" spans="1:16" hidden="1" x14ac:dyDescent="0.25">
      <c r="A106" t="str">
        <f>IF('Master Sheet'!C107="Area 1 (Meenu S)",'Master Sheet'!A107,"")</f>
        <v/>
      </c>
      <c r="B106" t="str">
        <f>IF('Master Sheet'!C107="Area 1 (Meenu S)",'Master Sheet'!B107,"")</f>
        <v/>
      </c>
      <c r="C106" t="s">
        <v>4</v>
      </c>
      <c r="D106" t="str">
        <f>IF('Master Sheet'!C107="Area 1 (Meenu S)",'Master Sheet'!D107,"")</f>
        <v/>
      </c>
      <c r="E106" t="str">
        <f>IF('Master Sheet'!C107="Area 1 (Meenu S)",'Master Sheet'!E107,"")</f>
        <v/>
      </c>
      <c r="F106" t="str">
        <f>IF('Master Sheet'!C107="Area 1 (Meenu S)",'Master Sheet'!F107,"")</f>
        <v/>
      </c>
      <c r="G106" t="str">
        <f>IF('Master Sheet'!C107="Area 1 (Meenu S)",'Master Sheet'!G107,"")</f>
        <v/>
      </c>
      <c r="H106" t="str">
        <f>IF('Master Sheet'!C107="Area 1 (Meenu S)",'Master Sheet'!H107,"")</f>
        <v/>
      </c>
      <c r="I106" t="str">
        <f>IF('Master Sheet'!C107="Area 1 (Meenu S)",'Master Sheet'!I107,"")</f>
        <v/>
      </c>
      <c r="J106" t="str">
        <f>IF('Master Sheet'!C107="Area 1 (Meenu S)",'Master Sheet'!J107,"")</f>
        <v/>
      </c>
      <c r="K106" t="str">
        <f>IF('Master Sheet'!C107="Area 1 (Meenu S)",'Master Sheet'!K107,"")</f>
        <v/>
      </c>
      <c r="L106" t="str">
        <f>IF('Master Sheet'!C107="Area 1 (Meenu S)",'Master Sheet'!L107,"")</f>
        <v/>
      </c>
      <c r="M106" t="str">
        <f>IF('Master Sheet'!C107="Area 1 (Meenu S)",'Master Sheet'!M107,"")</f>
        <v/>
      </c>
      <c r="N106" t="str">
        <f>IF('Master Sheet'!C107="Area 1 (Meenu S)",'Master Sheet'!N107,"")</f>
        <v/>
      </c>
      <c r="O106" t="str">
        <f>IF('Master Sheet'!C107="Area 1 (Meenu S)",'Master Sheet'!O107,"")</f>
        <v/>
      </c>
      <c r="P106" t="str">
        <f>IF('Master Sheet'!C107="Area 1 (Meenu S)",'Master Sheet'!P107,"")</f>
        <v/>
      </c>
    </row>
    <row r="107" spans="1:16" hidden="1" x14ac:dyDescent="0.25">
      <c r="A107" t="str">
        <f>IF('Master Sheet'!C108="Area 1 (Meenu S)",'Master Sheet'!A108,"")</f>
        <v/>
      </c>
      <c r="B107" t="str">
        <f>IF('Master Sheet'!C108="Area 1 (Meenu S)",'Master Sheet'!B108,"")</f>
        <v/>
      </c>
      <c r="C107" t="s">
        <v>4</v>
      </c>
      <c r="D107" t="str">
        <f>IF('Master Sheet'!C108="Area 1 (Meenu S)",'Master Sheet'!D108,"")</f>
        <v/>
      </c>
      <c r="E107" t="str">
        <f>IF('Master Sheet'!C108="Area 1 (Meenu S)",'Master Sheet'!E108,"")</f>
        <v/>
      </c>
      <c r="F107" t="str">
        <f>IF('Master Sheet'!C108="Area 1 (Meenu S)",'Master Sheet'!F108,"")</f>
        <v/>
      </c>
      <c r="G107" t="str">
        <f>IF('Master Sheet'!C108="Area 1 (Meenu S)",'Master Sheet'!G108,"")</f>
        <v/>
      </c>
      <c r="H107" t="str">
        <f>IF('Master Sheet'!C108="Area 1 (Meenu S)",'Master Sheet'!H108,"")</f>
        <v/>
      </c>
      <c r="I107" t="str">
        <f>IF('Master Sheet'!C108="Area 1 (Meenu S)",'Master Sheet'!I108,"")</f>
        <v/>
      </c>
      <c r="J107" t="str">
        <f>IF('Master Sheet'!C108="Area 1 (Meenu S)",'Master Sheet'!J108,"")</f>
        <v/>
      </c>
      <c r="K107" t="str">
        <f>IF('Master Sheet'!C108="Area 1 (Meenu S)",'Master Sheet'!K108,"")</f>
        <v/>
      </c>
      <c r="L107" t="str">
        <f>IF('Master Sheet'!C108="Area 1 (Meenu S)",'Master Sheet'!L108,"")</f>
        <v/>
      </c>
      <c r="M107" t="str">
        <f>IF('Master Sheet'!C108="Area 1 (Meenu S)",'Master Sheet'!M108,"")</f>
        <v/>
      </c>
      <c r="N107" t="str">
        <f>IF('Master Sheet'!C108="Area 1 (Meenu S)",'Master Sheet'!N108,"")</f>
        <v/>
      </c>
      <c r="O107" t="str">
        <f>IF('Master Sheet'!C108="Area 1 (Meenu S)",'Master Sheet'!O108,"")</f>
        <v/>
      </c>
      <c r="P107" t="str">
        <f>IF('Master Sheet'!C108="Area 1 (Meenu S)",'Master Sheet'!P108,"")</f>
        <v/>
      </c>
    </row>
    <row r="108" spans="1:16" hidden="1" x14ac:dyDescent="0.25">
      <c r="A108" t="str">
        <f>IF('Master Sheet'!C109="Area 1 (Meenu S)",'Master Sheet'!A109,"")</f>
        <v/>
      </c>
      <c r="B108" t="str">
        <f>IF('Master Sheet'!C109="Area 1 (Meenu S)",'Master Sheet'!B109,"")</f>
        <v/>
      </c>
      <c r="C108" t="s">
        <v>4</v>
      </c>
      <c r="D108" t="str">
        <f>IF('Master Sheet'!C109="Area 1 (Meenu S)",'Master Sheet'!D109,"")</f>
        <v/>
      </c>
      <c r="E108" t="str">
        <f>IF('Master Sheet'!C109="Area 1 (Meenu S)",'Master Sheet'!E109,"")</f>
        <v/>
      </c>
      <c r="F108" t="str">
        <f>IF('Master Sheet'!C109="Area 1 (Meenu S)",'Master Sheet'!F109,"")</f>
        <v/>
      </c>
      <c r="G108" t="str">
        <f>IF('Master Sheet'!C109="Area 1 (Meenu S)",'Master Sheet'!G109,"")</f>
        <v/>
      </c>
      <c r="H108" t="str">
        <f>IF('Master Sheet'!C109="Area 1 (Meenu S)",'Master Sheet'!H109,"")</f>
        <v/>
      </c>
      <c r="I108" t="str">
        <f>IF('Master Sheet'!C109="Area 1 (Meenu S)",'Master Sheet'!I109,"")</f>
        <v/>
      </c>
      <c r="J108" t="str">
        <f>IF('Master Sheet'!C109="Area 1 (Meenu S)",'Master Sheet'!J109,"")</f>
        <v/>
      </c>
      <c r="K108" t="str">
        <f>IF('Master Sheet'!C109="Area 1 (Meenu S)",'Master Sheet'!K109,"")</f>
        <v/>
      </c>
      <c r="L108" t="str">
        <f>IF('Master Sheet'!C109="Area 1 (Meenu S)",'Master Sheet'!L109,"")</f>
        <v/>
      </c>
      <c r="M108" t="str">
        <f>IF('Master Sheet'!C109="Area 1 (Meenu S)",'Master Sheet'!M109,"")</f>
        <v/>
      </c>
      <c r="N108" t="str">
        <f>IF('Master Sheet'!C109="Area 1 (Meenu S)",'Master Sheet'!N109,"")</f>
        <v/>
      </c>
      <c r="O108" t="str">
        <f>IF('Master Sheet'!C109="Area 1 (Meenu S)",'Master Sheet'!O109,"")</f>
        <v/>
      </c>
      <c r="P108" t="str">
        <f>IF('Master Sheet'!C109="Area 1 (Meenu S)",'Master Sheet'!P109,"")</f>
        <v/>
      </c>
    </row>
    <row r="109" spans="1:16" hidden="1" x14ac:dyDescent="0.25">
      <c r="A109" t="str">
        <f>IF('Master Sheet'!C110="Area 1 (Meenu S)",'Master Sheet'!A110,"")</f>
        <v/>
      </c>
      <c r="B109" t="str">
        <f>IF('Master Sheet'!C110="Area 1 (Meenu S)",'Master Sheet'!B110,"")</f>
        <v/>
      </c>
      <c r="C109" t="s">
        <v>4</v>
      </c>
      <c r="D109" t="str">
        <f>IF('Master Sheet'!C110="Area 1 (Meenu S)",'Master Sheet'!D110,"")</f>
        <v/>
      </c>
      <c r="E109" t="str">
        <f>IF('Master Sheet'!C110="Area 1 (Meenu S)",'Master Sheet'!E110,"")</f>
        <v/>
      </c>
      <c r="F109" t="str">
        <f>IF('Master Sheet'!C110="Area 1 (Meenu S)",'Master Sheet'!F110,"")</f>
        <v/>
      </c>
      <c r="G109" t="str">
        <f>IF('Master Sheet'!C110="Area 1 (Meenu S)",'Master Sheet'!G110,"")</f>
        <v/>
      </c>
      <c r="H109" t="str">
        <f>IF('Master Sheet'!C110="Area 1 (Meenu S)",'Master Sheet'!H110,"")</f>
        <v/>
      </c>
      <c r="I109" t="str">
        <f>IF('Master Sheet'!C110="Area 1 (Meenu S)",'Master Sheet'!I110,"")</f>
        <v/>
      </c>
      <c r="J109" t="str">
        <f>IF('Master Sheet'!C110="Area 1 (Meenu S)",'Master Sheet'!J110,"")</f>
        <v/>
      </c>
      <c r="K109" t="str">
        <f>IF('Master Sheet'!C110="Area 1 (Meenu S)",'Master Sheet'!K110,"")</f>
        <v/>
      </c>
      <c r="L109" t="str">
        <f>IF('Master Sheet'!C110="Area 1 (Meenu S)",'Master Sheet'!L110,"")</f>
        <v/>
      </c>
      <c r="M109" t="str">
        <f>IF('Master Sheet'!C110="Area 1 (Meenu S)",'Master Sheet'!M110,"")</f>
        <v/>
      </c>
      <c r="N109" t="str">
        <f>IF('Master Sheet'!C110="Area 1 (Meenu S)",'Master Sheet'!N110,"")</f>
        <v/>
      </c>
      <c r="O109" t="str">
        <f>IF('Master Sheet'!C110="Area 1 (Meenu S)",'Master Sheet'!O110,"")</f>
        <v/>
      </c>
      <c r="P109" t="str">
        <f>IF('Master Sheet'!C110="Area 1 (Meenu S)",'Master Sheet'!P110,"")</f>
        <v/>
      </c>
    </row>
    <row r="110" spans="1:16" hidden="1" x14ac:dyDescent="0.25">
      <c r="A110" t="str">
        <f>IF('Master Sheet'!C111="Area 1 (Meenu S)",'Master Sheet'!A111,"")</f>
        <v/>
      </c>
      <c r="B110" t="str">
        <f>IF('Master Sheet'!C111="Area 1 (Meenu S)",'Master Sheet'!B111,"")</f>
        <v/>
      </c>
      <c r="C110" t="s">
        <v>4</v>
      </c>
      <c r="D110" t="str">
        <f>IF('Master Sheet'!C111="Area 1 (Meenu S)",'Master Sheet'!D111,"")</f>
        <v/>
      </c>
      <c r="E110" t="str">
        <f>IF('Master Sheet'!C111="Area 1 (Meenu S)",'Master Sheet'!E111,"")</f>
        <v/>
      </c>
      <c r="F110" t="str">
        <f>IF('Master Sheet'!C111="Area 1 (Meenu S)",'Master Sheet'!F111,"")</f>
        <v/>
      </c>
      <c r="G110" t="str">
        <f>IF('Master Sheet'!C111="Area 1 (Meenu S)",'Master Sheet'!G111,"")</f>
        <v/>
      </c>
      <c r="H110" t="str">
        <f>IF('Master Sheet'!C111="Area 1 (Meenu S)",'Master Sheet'!H111,"")</f>
        <v/>
      </c>
      <c r="I110" t="str">
        <f>IF('Master Sheet'!C111="Area 1 (Meenu S)",'Master Sheet'!I111,"")</f>
        <v/>
      </c>
      <c r="J110" t="str">
        <f>IF('Master Sheet'!C111="Area 1 (Meenu S)",'Master Sheet'!J111,"")</f>
        <v/>
      </c>
      <c r="K110" t="str">
        <f>IF('Master Sheet'!C111="Area 1 (Meenu S)",'Master Sheet'!K111,"")</f>
        <v/>
      </c>
      <c r="L110" t="str">
        <f>IF('Master Sheet'!C111="Area 1 (Meenu S)",'Master Sheet'!L111,"")</f>
        <v/>
      </c>
      <c r="M110" t="str">
        <f>IF('Master Sheet'!C111="Area 1 (Meenu S)",'Master Sheet'!M111,"")</f>
        <v/>
      </c>
      <c r="N110" t="str">
        <f>IF('Master Sheet'!C111="Area 1 (Meenu S)",'Master Sheet'!N111,"")</f>
        <v/>
      </c>
      <c r="O110" t="str">
        <f>IF('Master Sheet'!C111="Area 1 (Meenu S)",'Master Sheet'!O111,"")</f>
        <v/>
      </c>
      <c r="P110" t="str">
        <f>IF('Master Sheet'!C111="Area 1 (Meenu S)",'Master Sheet'!P111,"")</f>
        <v/>
      </c>
    </row>
    <row r="111" spans="1:16" hidden="1" x14ac:dyDescent="0.25">
      <c r="A111" t="str">
        <f>IF('Master Sheet'!C112="Area 1 (Meenu S)",'Master Sheet'!A112,"")</f>
        <v/>
      </c>
      <c r="B111" t="str">
        <f>IF('Master Sheet'!C112="Area 1 (Meenu S)",'Master Sheet'!B112,"")</f>
        <v/>
      </c>
      <c r="C111" t="s">
        <v>4</v>
      </c>
      <c r="D111" t="str">
        <f>IF('Master Sheet'!C112="Area 1 (Meenu S)",'Master Sheet'!D112,"")</f>
        <v/>
      </c>
      <c r="E111" t="str">
        <f>IF('Master Sheet'!C112="Area 1 (Meenu S)",'Master Sheet'!E112,"")</f>
        <v/>
      </c>
      <c r="F111" t="str">
        <f>IF('Master Sheet'!C112="Area 1 (Meenu S)",'Master Sheet'!F112,"")</f>
        <v/>
      </c>
      <c r="G111" t="str">
        <f>IF('Master Sheet'!C112="Area 1 (Meenu S)",'Master Sheet'!G112,"")</f>
        <v/>
      </c>
      <c r="H111" t="str">
        <f>IF('Master Sheet'!C112="Area 1 (Meenu S)",'Master Sheet'!H112,"")</f>
        <v/>
      </c>
      <c r="I111" t="str">
        <f>IF('Master Sheet'!C112="Area 1 (Meenu S)",'Master Sheet'!I112,"")</f>
        <v/>
      </c>
      <c r="J111" t="str">
        <f>IF('Master Sheet'!C112="Area 1 (Meenu S)",'Master Sheet'!J112,"")</f>
        <v/>
      </c>
      <c r="K111" t="str">
        <f>IF('Master Sheet'!C112="Area 1 (Meenu S)",'Master Sheet'!K112,"")</f>
        <v/>
      </c>
      <c r="L111" t="str">
        <f>IF('Master Sheet'!C112="Area 1 (Meenu S)",'Master Sheet'!L112,"")</f>
        <v/>
      </c>
      <c r="M111" t="str">
        <f>IF('Master Sheet'!C112="Area 1 (Meenu S)",'Master Sheet'!M112,"")</f>
        <v/>
      </c>
      <c r="N111" t="str">
        <f>IF('Master Sheet'!C112="Area 1 (Meenu S)",'Master Sheet'!N112,"")</f>
        <v/>
      </c>
      <c r="O111" t="str">
        <f>IF('Master Sheet'!C112="Area 1 (Meenu S)",'Master Sheet'!O112,"")</f>
        <v/>
      </c>
      <c r="P111" t="str">
        <f>IF('Master Sheet'!C112="Area 1 (Meenu S)",'Master Sheet'!P112,"")</f>
        <v/>
      </c>
    </row>
    <row r="112" spans="1:16" hidden="1" x14ac:dyDescent="0.25">
      <c r="A112" t="str">
        <f>IF('Master Sheet'!C113="Area 1 (Meenu S)",'Master Sheet'!A113,"")</f>
        <v/>
      </c>
      <c r="B112" t="str">
        <f>IF('Master Sheet'!C113="Area 1 (Meenu S)",'Master Sheet'!B113,"")</f>
        <v/>
      </c>
      <c r="C112" t="s">
        <v>4</v>
      </c>
      <c r="D112" t="str">
        <f>IF('Master Sheet'!C113="Area 1 (Meenu S)",'Master Sheet'!D113,"")</f>
        <v/>
      </c>
      <c r="E112" t="str">
        <f>IF('Master Sheet'!C113="Area 1 (Meenu S)",'Master Sheet'!E113,"")</f>
        <v/>
      </c>
      <c r="F112" t="str">
        <f>IF('Master Sheet'!C113="Area 1 (Meenu S)",'Master Sheet'!F113,"")</f>
        <v/>
      </c>
      <c r="G112" t="str">
        <f>IF('Master Sheet'!C113="Area 1 (Meenu S)",'Master Sheet'!G113,"")</f>
        <v/>
      </c>
      <c r="H112" t="str">
        <f>IF('Master Sheet'!C113="Area 1 (Meenu S)",'Master Sheet'!H113,"")</f>
        <v/>
      </c>
      <c r="I112" t="str">
        <f>IF('Master Sheet'!C113="Area 1 (Meenu S)",'Master Sheet'!I113,"")</f>
        <v/>
      </c>
      <c r="J112" t="str">
        <f>IF('Master Sheet'!C113="Area 1 (Meenu S)",'Master Sheet'!J113,"")</f>
        <v/>
      </c>
      <c r="K112" t="str">
        <f>IF('Master Sheet'!C113="Area 1 (Meenu S)",'Master Sheet'!K113,"")</f>
        <v/>
      </c>
      <c r="L112" t="str">
        <f>IF('Master Sheet'!C113="Area 1 (Meenu S)",'Master Sheet'!L113,"")</f>
        <v/>
      </c>
      <c r="M112" t="str">
        <f>IF('Master Sheet'!C113="Area 1 (Meenu S)",'Master Sheet'!M113,"")</f>
        <v/>
      </c>
      <c r="N112" t="str">
        <f>IF('Master Sheet'!C113="Area 1 (Meenu S)",'Master Sheet'!N113,"")</f>
        <v/>
      </c>
      <c r="O112" t="str">
        <f>IF('Master Sheet'!C113="Area 1 (Meenu S)",'Master Sheet'!O113,"")</f>
        <v/>
      </c>
      <c r="P112" t="str">
        <f>IF('Master Sheet'!C113="Area 1 (Meenu S)",'Master Sheet'!P113,"")</f>
        <v/>
      </c>
    </row>
    <row r="113" spans="1:16" hidden="1" x14ac:dyDescent="0.25">
      <c r="A113" t="str">
        <f>IF('Master Sheet'!C114="Area 1 (Meenu S)",'Master Sheet'!A114,"")</f>
        <v/>
      </c>
      <c r="B113" t="str">
        <f>IF('Master Sheet'!C114="Area 1 (Meenu S)",'Master Sheet'!B114,"")</f>
        <v/>
      </c>
      <c r="C113" t="s">
        <v>4</v>
      </c>
      <c r="D113" t="str">
        <f>IF('Master Sheet'!C114="Area 1 (Meenu S)",'Master Sheet'!D114,"")</f>
        <v/>
      </c>
      <c r="E113" t="str">
        <f>IF('Master Sheet'!C114="Area 1 (Meenu S)",'Master Sheet'!E114,"")</f>
        <v/>
      </c>
      <c r="F113" t="str">
        <f>IF('Master Sheet'!C114="Area 1 (Meenu S)",'Master Sheet'!F114,"")</f>
        <v/>
      </c>
      <c r="G113" t="str">
        <f>IF('Master Sheet'!C114="Area 1 (Meenu S)",'Master Sheet'!G114,"")</f>
        <v/>
      </c>
      <c r="H113" t="str">
        <f>IF('Master Sheet'!C114="Area 1 (Meenu S)",'Master Sheet'!H114,"")</f>
        <v/>
      </c>
      <c r="I113" t="str">
        <f>IF('Master Sheet'!C114="Area 1 (Meenu S)",'Master Sheet'!I114,"")</f>
        <v/>
      </c>
      <c r="J113" t="str">
        <f>IF('Master Sheet'!C114="Area 1 (Meenu S)",'Master Sheet'!J114,"")</f>
        <v/>
      </c>
      <c r="K113" t="str">
        <f>IF('Master Sheet'!C114="Area 1 (Meenu S)",'Master Sheet'!K114,"")</f>
        <v/>
      </c>
      <c r="L113" t="str">
        <f>IF('Master Sheet'!C114="Area 1 (Meenu S)",'Master Sheet'!L114,"")</f>
        <v/>
      </c>
      <c r="M113" t="str">
        <f>IF('Master Sheet'!C114="Area 1 (Meenu S)",'Master Sheet'!M114,"")</f>
        <v/>
      </c>
      <c r="N113" t="str">
        <f>IF('Master Sheet'!C114="Area 1 (Meenu S)",'Master Sheet'!N114,"")</f>
        <v/>
      </c>
      <c r="O113" t="str">
        <f>IF('Master Sheet'!C114="Area 1 (Meenu S)",'Master Sheet'!O114,"")</f>
        <v/>
      </c>
      <c r="P113" t="str">
        <f>IF('Master Sheet'!C114="Area 1 (Meenu S)",'Master Sheet'!P114,"")</f>
        <v/>
      </c>
    </row>
    <row r="114" spans="1:16" hidden="1" x14ac:dyDescent="0.25">
      <c r="A114" t="str">
        <f>IF('Master Sheet'!C115="Area 1 (Meenu S)",'Master Sheet'!A115,"")</f>
        <v/>
      </c>
      <c r="B114" t="str">
        <f>IF('Master Sheet'!C115="Area 1 (Meenu S)",'Master Sheet'!B115,"")</f>
        <v/>
      </c>
      <c r="C114" t="s">
        <v>4</v>
      </c>
      <c r="D114" t="str">
        <f>IF('Master Sheet'!C115="Area 1 (Meenu S)",'Master Sheet'!D115,"")</f>
        <v/>
      </c>
      <c r="E114" t="str">
        <f>IF('Master Sheet'!C115="Area 1 (Meenu S)",'Master Sheet'!E115,"")</f>
        <v/>
      </c>
      <c r="F114" t="str">
        <f>IF('Master Sheet'!C115="Area 1 (Meenu S)",'Master Sheet'!F115,"")</f>
        <v/>
      </c>
      <c r="G114" t="str">
        <f>IF('Master Sheet'!C115="Area 1 (Meenu S)",'Master Sheet'!G115,"")</f>
        <v/>
      </c>
      <c r="H114" t="str">
        <f>IF('Master Sheet'!C115="Area 1 (Meenu S)",'Master Sheet'!H115,"")</f>
        <v/>
      </c>
      <c r="I114" t="str">
        <f>IF('Master Sheet'!C115="Area 1 (Meenu S)",'Master Sheet'!I115,"")</f>
        <v/>
      </c>
      <c r="J114" t="str">
        <f>IF('Master Sheet'!C115="Area 1 (Meenu S)",'Master Sheet'!J115,"")</f>
        <v/>
      </c>
      <c r="K114" t="str">
        <f>IF('Master Sheet'!C115="Area 1 (Meenu S)",'Master Sheet'!K115,"")</f>
        <v/>
      </c>
      <c r="L114" t="str">
        <f>IF('Master Sheet'!C115="Area 1 (Meenu S)",'Master Sheet'!L115,"")</f>
        <v/>
      </c>
      <c r="M114" t="str">
        <f>IF('Master Sheet'!C115="Area 1 (Meenu S)",'Master Sheet'!M115,"")</f>
        <v/>
      </c>
      <c r="N114" t="str">
        <f>IF('Master Sheet'!C115="Area 1 (Meenu S)",'Master Sheet'!N115,"")</f>
        <v/>
      </c>
      <c r="O114" t="str">
        <f>IF('Master Sheet'!C115="Area 1 (Meenu S)",'Master Sheet'!O115,"")</f>
        <v/>
      </c>
      <c r="P114" t="str">
        <f>IF('Master Sheet'!C115="Area 1 (Meenu S)",'Master Sheet'!P115,"")</f>
        <v/>
      </c>
    </row>
    <row r="115" spans="1:16" hidden="1" x14ac:dyDescent="0.25">
      <c r="A115" t="str">
        <f>IF('Master Sheet'!C116="Area 1 (Meenu S)",'Master Sheet'!A116,"")</f>
        <v/>
      </c>
      <c r="B115" t="str">
        <f>IF('Master Sheet'!C116="Area 1 (Meenu S)",'Master Sheet'!B116,"")</f>
        <v/>
      </c>
      <c r="C115" t="s">
        <v>4</v>
      </c>
      <c r="D115" t="str">
        <f>IF('Master Sheet'!C116="Area 1 (Meenu S)",'Master Sheet'!D116,"")</f>
        <v/>
      </c>
      <c r="E115" t="str">
        <f>IF('Master Sheet'!C116="Area 1 (Meenu S)",'Master Sheet'!E116,"")</f>
        <v/>
      </c>
      <c r="F115" t="str">
        <f>IF('Master Sheet'!C116="Area 1 (Meenu S)",'Master Sheet'!F116,"")</f>
        <v/>
      </c>
      <c r="G115" t="str">
        <f>IF('Master Sheet'!C116="Area 1 (Meenu S)",'Master Sheet'!G116,"")</f>
        <v/>
      </c>
      <c r="H115" t="str">
        <f>IF('Master Sheet'!C116="Area 1 (Meenu S)",'Master Sheet'!H116,"")</f>
        <v/>
      </c>
      <c r="I115" t="str">
        <f>IF('Master Sheet'!C116="Area 1 (Meenu S)",'Master Sheet'!I116,"")</f>
        <v/>
      </c>
      <c r="J115" t="str">
        <f>IF('Master Sheet'!C116="Area 1 (Meenu S)",'Master Sheet'!J116,"")</f>
        <v/>
      </c>
      <c r="K115" t="str">
        <f>IF('Master Sheet'!C116="Area 1 (Meenu S)",'Master Sheet'!K116,"")</f>
        <v/>
      </c>
      <c r="L115" t="str">
        <f>IF('Master Sheet'!C116="Area 1 (Meenu S)",'Master Sheet'!L116,"")</f>
        <v/>
      </c>
      <c r="M115" t="str">
        <f>IF('Master Sheet'!C116="Area 1 (Meenu S)",'Master Sheet'!M116,"")</f>
        <v/>
      </c>
      <c r="N115" t="str">
        <f>IF('Master Sheet'!C116="Area 1 (Meenu S)",'Master Sheet'!N116,"")</f>
        <v/>
      </c>
      <c r="O115" t="str">
        <f>IF('Master Sheet'!C116="Area 1 (Meenu S)",'Master Sheet'!O116,"")</f>
        <v/>
      </c>
      <c r="P115" t="str">
        <f>IF('Master Sheet'!C116="Area 1 (Meenu S)",'Master Sheet'!P116,"")</f>
        <v/>
      </c>
    </row>
    <row r="116" spans="1:16" hidden="1" x14ac:dyDescent="0.25">
      <c r="A116" t="str">
        <f>IF('Master Sheet'!C117="Area 1 (Meenu S)",'Master Sheet'!A117,"")</f>
        <v/>
      </c>
      <c r="B116" t="str">
        <f>IF('Master Sheet'!C117="Area 1 (Meenu S)",'Master Sheet'!B117,"")</f>
        <v/>
      </c>
      <c r="C116" t="s">
        <v>4</v>
      </c>
      <c r="D116" t="str">
        <f>IF('Master Sheet'!C117="Area 1 (Meenu S)",'Master Sheet'!D117,"")</f>
        <v/>
      </c>
      <c r="E116" t="str">
        <f>IF('Master Sheet'!C117="Area 1 (Meenu S)",'Master Sheet'!E117,"")</f>
        <v/>
      </c>
      <c r="F116" t="str">
        <f>IF('Master Sheet'!C117="Area 1 (Meenu S)",'Master Sheet'!F117,"")</f>
        <v/>
      </c>
      <c r="G116" t="str">
        <f>IF('Master Sheet'!C117="Area 1 (Meenu S)",'Master Sheet'!G117,"")</f>
        <v/>
      </c>
      <c r="H116" t="str">
        <f>IF('Master Sheet'!C117="Area 1 (Meenu S)",'Master Sheet'!H117,"")</f>
        <v/>
      </c>
      <c r="I116" t="str">
        <f>IF('Master Sheet'!C117="Area 1 (Meenu S)",'Master Sheet'!I117,"")</f>
        <v/>
      </c>
      <c r="J116" t="str">
        <f>IF('Master Sheet'!C117="Area 1 (Meenu S)",'Master Sheet'!J117,"")</f>
        <v/>
      </c>
      <c r="K116" t="str">
        <f>IF('Master Sheet'!C117="Area 1 (Meenu S)",'Master Sheet'!K117,"")</f>
        <v/>
      </c>
      <c r="L116" t="str">
        <f>IF('Master Sheet'!C117="Area 1 (Meenu S)",'Master Sheet'!L117,"")</f>
        <v/>
      </c>
      <c r="M116" t="str">
        <f>IF('Master Sheet'!C117="Area 1 (Meenu S)",'Master Sheet'!M117,"")</f>
        <v/>
      </c>
      <c r="N116" t="str">
        <f>IF('Master Sheet'!C117="Area 1 (Meenu S)",'Master Sheet'!N117,"")</f>
        <v/>
      </c>
      <c r="O116" t="str">
        <f>IF('Master Sheet'!C117="Area 1 (Meenu S)",'Master Sheet'!O117,"")</f>
        <v/>
      </c>
      <c r="P116" t="str">
        <f>IF('Master Sheet'!C117="Area 1 (Meenu S)",'Master Sheet'!P117,"")</f>
        <v/>
      </c>
    </row>
    <row r="117" spans="1:16" hidden="1" x14ac:dyDescent="0.25">
      <c r="A117" t="str">
        <f>IF('Master Sheet'!C118="Area 1 (Meenu S)",'Master Sheet'!A118,"")</f>
        <v/>
      </c>
      <c r="B117" t="str">
        <f>IF('Master Sheet'!C118="Area 1 (Meenu S)",'Master Sheet'!B118,"")</f>
        <v/>
      </c>
      <c r="C117" t="s">
        <v>4</v>
      </c>
      <c r="D117" t="str">
        <f>IF('Master Sheet'!C118="Area 1 (Meenu S)",'Master Sheet'!D118,"")</f>
        <v/>
      </c>
      <c r="E117" t="str">
        <f>IF('Master Sheet'!C118="Area 1 (Meenu S)",'Master Sheet'!E118,"")</f>
        <v/>
      </c>
      <c r="F117" t="str">
        <f>IF('Master Sheet'!C118="Area 1 (Meenu S)",'Master Sheet'!F118,"")</f>
        <v/>
      </c>
      <c r="G117" t="str">
        <f>IF('Master Sheet'!C118="Area 1 (Meenu S)",'Master Sheet'!G118,"")</f>
        <v/>
      </c>
      <c r="H117" t="str">
        <f>IF('Master Sheet'!C118="Area 1 (Meenu S)",'Master Sheet'!H118,"")</f>
        <v/>
      </c>
      <c r="I117" t="str">
        <f>IF('Master Sheet'!C118="Area 1 (Meenu S)",'Master Sheet'!I118,"")</f>
        <v/>
      </c>
      <c r="J117" t="str">
        <f>IF('Master Sheet'!C118="Area 1 (Meenu S)",'Master Sheet'!J118,"")</f>
        <v/>
      </c>
      <c r="K117" t="str">
        <f>IF('Master Sheet'!C118="Area 1 (Meenu S)",'Master Sheet'!K118,"")</f>
        <v/>
      </c>
      <c r="L117" t="str">
        <f>IF('Master Sheet'!C118="Area 1 (Meenu S)",'Master Sheet'!L118,"")</f>
        <v/>
      </c>
      <c r="M117" t="str">
        <f>IF('Master Sheet'!C118="Area 1 (Meenu S)",'Master Sheet'!M118,"")</f>
        <v/>
      </c>
      <c r="N117" t="str">
        <f>IF('Master Sheet'!C118="Area 1 (Meenu S)",'Master Sheet'!N118,"")</f>
        <v/>
      </c>
      <c r="O117" t="str">
        <f>IF('Master Sheet'!C118="Area 1 (Meenu S)",'Master Sheet'!O118,"")</f>
        <v/>
      </c>
      <c r="P117" t="str">
        <f>IF('Master Sheet'!C118="Area 1 (Meenu S)",'Master Sheet'!P118,"")</f>
        <v/>
      </c>
    </row>
    <row r="118" spans="1:16" hidden="1" x14ac:dyDescent="0.25">
      <c r="A118" t="str">
        <f>IF('Master Sheet'!C119="Area 1 (Meenu S)",'Master Sheet'!A119,"")</f>
        <v/>
      </c>
      <c r="B118" t="str">
        <f>IF('Master Sheet'!C119="Area 1 (Meenu S)",'Master Sheet'!B119,"")</f>
        <v/>
      </c>
      <c r="C118" t="s">
        <v>4</v>
      </c>
      <c r="D118" t="str">
        <f>IF('Master Sheet'!C119="Area 1 (Meenu S)",'Master Sheet'!D119,"")</f>
        <v/>
      </c>
      <c r="E118" t="str">
        <f>IF('Master Sheet'!C119="Area 1 (Meenu S)",'Master Sheet'!E119,"")</f>
        <v/>
      </c>
      <c r="F118" t="str">
        <f>IF('Master Sheet'!C119="Area 1 (Meenu S)",'Master Sheet'!F119,"")</f>
        <v/>
      </c>
      <c r="G118" t="str">
        <f>IF('Master Sheet'!C119="Area 1 (Meenu S)",'Master Sheet'!G119,"")</f>
        <v/>
      </c>
      <c r="H118" t="str">
        <f>IF('Master Sheet'!C119="Area 1 (Meenu S)",'Master Sheet'!H119,"")</f>
        <v/>
      </c>
      <c r="I118" t="str">
        <f>IF('Master Sheet'!C119="Area 1 (Meenu S)",'Master Sheet'!I119,"")</f>
        <v/>
      </c>
      <c r="J118" t="str">
        <f>IF('Master Sheet'!C119="Area 1 (Meenu S)",'Master Sheet'!J119,"")</f>
        <v/>
      </c>
      <c r="K118" t="str">
        <f>IF('Master Sheet'!C119="Area 1 (Meenu S)",'Master Sheet'!K119,"")</f>
        <v/>
      </c>
      <c r="L118" t="str">
        <f>IF('Master Sheet'!C119="Area 1 (Meenu S)",'Master Sheet'!L119,"")</f>
        <v/>
      </c>
      <c r="M118" t="str">
        <f>IF('Master Sheet'!C119="Area 1 (Meenu S)",'Master Sheet'!M119,"")</f>
        <v/>
      </c>
      <c r="N118" t="str">
        <f>IF('Master Sheet'!C119="Area 1 (Meenu S)",'Master Sheet'!N119,"")</f>
        <v/>
      </c>
      <c r="O118" t="str">
        <f>IF('Master Sheet'!C119="Area 1 (Meenu S)",'Master Sheet'!O119,"")</f>
        <v/>
      </c>
      <c r="P118" t="str">
        <f>IF('Master Sheet'!C119="Area 1 (Meenu S)",'Master Sheet'!P119,"")</f>
        <v/>
      </c>
    </row>
    <row r="119" spans="1:16" hidden="1" x14ac:dyDescent="0.25">
      <c r="A119" t="str">
        <f>IF('Master Sheet'!C120="Area 1 (Meenu S)",'Master Sheet'!A120,"")</f>
        <v/>
      </c>
      <c r="B119" t="str">
        <f>IF('Master Sheet'!C120="Area 1 (Meenu S)",'Master Sheet'!B120,"")</f>
        <v/>
      </c>
      <c r="C119" t="s">
        <v>4</v>
      </c>
      <c r="D119" t="str">
        <f>IF('Master Sheet'!C120="Area 1 (Meenu S)",'Master Sheet'!D120,"")</f>
        <v/>
      </c>
      <c r="E119" t="str">
        <f>IF('Master Sheet'!C120="Area 1 (Meenu S)",'Master Sheet'!E120,"")</f>
        <v/>
      </c>
      <c r="F119" t="str">
        <f>IF('Master Sheet'!C120="Area 1 (Meenu S)",'Master Sheet'!F120,"")</f>
        <v/>
      </c>
      <c r="G119" t="str">
        <f>IF('Master Sheet'!C120="Area 1 (Meenu S)",'Master Sheet'!G120,"")</f>
        <v/>
      </c>
      <c r="H119" t="str">
        <f>IF('Master Sheet'!C120="Area 1 (Meenu S)",'Master Sheet'!H120,"")</f>
        <v/>
      </c>
      <c r="I119" t="str">
        <f>IF('Master Sheet'!C120="Area 1 (Meenu S)",'Master Sheet'!I120,"")</f>
        <v/>
      </c>
      <c r="J119" t="str">
        <f>IF('Master Sheet'!C120="Area 1 (Meenu S)",'Master Sheet'!J120,"")</f>
        <v/>
      </c>
      <c r="K119" t="str">
        <f>IF('Master Sheet'!C120="Area 1 (Meenu S)",'Master Sheet'!K120,"")</f>
        <v/>
      </c>
      <c r="L119" t="str">
        <f>IF('Master Sheet'!C120="Area 1 (Meenu S)",'Master Sheet'!L120,"")</f>
        <v/>
      </c>
      <c r="M119" t="str">
        <f>IF('Master Sheet'!C120="Area 1 (Meenu S)",'Master Sheet'!M120,"")</f>
        <v/>
      </c>
      <c r="N119" t="str">
        <f>IF('Master Sheet'!C120="Area 1 (Meenu S)",'Master Sheet'!N120,"")</f>
        <v/>
      </c>
      <c r="O119" t="str">
        <f>IF('Master Sheet'!C120="Area 1 (Meenu S)",'Master Sheet'!O120,"")</f>
        <v/>
      </c>
      <c r="P119" t="str">
        <f>IF('Master Sheet'!C120="Area 1 (Meenu S)",'Master Sheet'!P120,"")</f>
        <v/>
      </c>
    </row>
    <row r="120" spans="1:16" hidden="1" x14ac:dyDescent="0.25">
      <c r="A120" t="str">
        <f>IF('Master Sheet'!C121="Area 1 (Meenu S)",'Master Sheet'!A121,"")</f>
        <v/>
      </c>
      <c r="B120" t="str">
        <f>IF('Master Sheet'!C121="Area 1 (Meenu S)",'Master Sheet'!B121,"")</f>
        <v/>
      </c>
      <c r="C120" t="s">
        <v>4</v>
      </c>
      <c r="D120" t="str">
        <f>IF('Master Sheet'!C121="Area 1 (Meenu S)",'Master Sheet'!D121,"")</f>
        <v/>
      </c>
      <c r="E120" t="str">
        <f>IF('Master Sheet'!C121="Area 1 (Meenu S)",'Master Sheet'!E121,"")</f>
        <v/>
      </c>
      <c r="F120" t="str">
        <f>IF('Master Sheet'!C121="Area 1 (Meenu S)",'Master Sheet'!F121,"")</f>
        <v/>
      </c>
      <c r="G120" t="str">
        <f>IF('Master Sheet'!C121="Area 1 (Meenu S)",'Master Sheet'!G121,"")</f>
        <v/>
      </c>
      <c r="H120" t="str">
        <f>IF('Master Sheet'!C121="Area 1 (Meenu S)",'Master Sheet'!H121,"")</f>
        <v/>
      </c>
      <c r="I120" t="str">
        <f>IF('Master Sheet'!C121="Area 1 (Meenu S)",'Master Sheet'!I121,"")</f>
        <v/>
      </c>
      <c r="J120" t="str">
        <f>IF('Master Sheet'!C121="Area 1 (Meenu S)",'Master Sheet'!J121,"")</f>
        <v/>
      </c>
      <c r="K120" t="str">
        <f>IF('Master Sheet'!C121="Area 1 (Meenu S)",'Master Sheet'!K121,"")</f>
        <v/>
      </c>
      <c r="L120" t="str">
        <f>IF('Master Sheet'!C121="Area 1 (Meenu S)",'Master Sheet'!L121,"")</f>
        <v/>
      </c>
      <c r="M120" t="str">
        <f>IF('Master Sheet'!C121="Area 1 (Meenu S)",'Master Sheet'!M121,"")</f>
        <v/>
      </c>
      <c r="N120" t="str">
        <f>IF('Master Sheet'!C121="Area 1 (Meenu S)",'Master Sheet'!N121,"")</f>
        <v/>
      </c>
      <c r="O120" t="str">
        <f>IF('Master Sheet'!C121="Area 1 (Meenu S)",'Master Sheet'!O121,"")</f>
        <v/>
      </c>
      <c r="P120" t="str">
        <f>IF('Master Sheet'!C121="Area 1 (Meenu S)",'Master Sheet'!P121,"")</f>
        <v/>
      </c>
    </row>
    <row r="121" spans="1:16" hidden="1" x14ac:dyDescent="0.25">
      <c r="A121" t="str">
        <f>IF('Master Sheet'!C122="Area 1 (Meenu S)",'Master Sheet'!A122,"")</f>
        <v/>
      </c>
      <c r="B121" t="str">
        <f>IF('Master Sheet'!C122="Area 1 (Meenu S)",'Master Sheet'!B122,"")</f>
        <v/>
      </c>
      <c r="C121" t="s">
        <v>4</v>
      </c>
      <c r="D121" t="str">
        <f>IF('Master Sheet'!C122="Area 1 (Meenu S)",'Master Sheet'!D122,"")</f>
        <v/>
      </c>
      <c r="E121" t="str">
        <f>IF('Master Sheet'!C122="Area 1 (Meenu S)",'Master Sheet'!E122,"")</f>
        <v/>
      </c>
      <c r="F121" t="str">
        <f>IF('Master Sheet'!C122="Area 1 (Meenu S)",'Master Sheet'!F122,"")</f>
        <v/>
      </c>
      <c r="G121" t="str">
        <f>IF('Master Sheet'!C122="Area 1 (Meenu S)",'Master Sheet'!G122,"")</f>
        <v/>
      </c>
      <c r="H121" t="str">
        <f>IF('Master Sheet'!C122="Area 1 (Meenu S)",'Master Sheet'!H122,"")</f>
        <v/>
      </c>
      <c r="I121" t="str">
        <f>IF('Master Sheet'!C122="Area 1 (Meenu S)",'Master Sheet'!I122,"")</f>
        <v/>
      </c>
      <c r="J121" t="str">
        <f>IF('Master Sheet'!C122="Area 1 (Meenu S)",'Master Sheet'!J122,"")</f>
        <v/>
      </c>
      <c r="K121" t="str">
        <f>IF('Master Sheet'!C122="Area 1 (Meenu S)",'Master Sheet'!K122,"")</f>
        <v/>
      </c>
      <c r="L121" t="str">
        <f>IF('Master Sheet'!C122="Area 1 (Meenu S)",'Master Sheet'!L122,"")</f>
        <v/>
      </c>
      <c r="M121" t="str">
        <f>IF('Master Sheet'!C122="Area 1 (Meenu S)",'Master Sheet'!M122,"")</f>
        <v/>
      </c>
      <c r="N121" t="str">
        <f>IF('Master Sheet'!C122="Area 1 (Meenu S)",'Master Sheet'!N122,"")</f>
        <v/>
      </c>
      <c r="O121" t="str">
        <f>IF('Master Sheet'!C122="Area 1 (Meenu S)",'Master Sheet'!O122,"")</f>
        <v/>
      </c>
      <c r="P121" t="str">
        <f>IF('Master Sheet'!C122="Area 1 (Meenu S)",'Master Sheet'!P122,"")</f>
        <v/>
      </c>
    </row>
    <row r="122" spans="1:16" hidden="1" x14ac:dyDescent="0.25">
      <c r="A122" t="str">
        <f>IF('Master Sheet'!C123="Area 1 (Meenu S)",'Master Sheet'!A123,"")</f>
        <v/>
      </c>
      <c r="B122" t="str">
        <f>IF('Master Sheet'!C123="Area 1 (Meenu S)",'Master Sheet'!B123,"")</f>
        <v/>
      </c>
      <c r="C122" t="s">
        <v>4</v>
      </c>
      <c r="D122" t="str">
        <f>IF('Master Sheet'!C123="Area 1 (Meenu S)",'Master Sheet'!D123,"")</f>
        <v/>
      </c>
      <c r="E122" t="str">
        <f>IF('Master Sheet'!C123="Area 1 (Meenu S)",'Master Sheet'!E123,"")</f>
        <v/>
      </c>
      <c r="F122" t="str">
        <f>IF('Master Sheet'!C123="Area 1 (Meenu S)",'Master Sheet'!F123,"")</f>
        <v/>
      </c>
      <c r="G122" t="str">
        <f>IF('Master Sheet'!C123="Area 1 (Meenu S)",'Master Sheet'!G123,"")</f>
        <v/>
      </c>
      <c r="H122" t="str">
        <f>IF('Master Sheet'!C123="Area 1 (Meenu S)",'Master Sheet'!H123,"")</f>
        <v/>
      </c>
      <c r="I122" t="str">
        <f>IF('Master Sheet'!C123="Area 1 (Meenu S)",'Master Sheet'!I123,"")</f>
        <v/>
      </c>
      <c r="J122" t="str">
        <f>IF('Master Sheet'!C123="Area 1 (Meenu S)",'Master Sheet'!J123,"")</f>
        <v/>
      </c>
      <c r="K122" t="str">
        <f>IF('Master Sheet'!C123="Area 1 (Meenu S)",'Master Sheet'!K123,"")</f>
        <v/>
      </c>
      <c r="L122" t="str">
        <f>IF('Master Sheet'!C123="Area 1 (Meenu S)",'Master Sheet'!L123,"")</f>
        <v/>
      </c>
      <c r="M122" t="str">
        <f>IF('Master Sheet'!C123="Area 1 (Meenu S)",'Master Sheet'!M123,"")</f>
        <v/>
      </c>
      <c r="N122" t="str">
        <f>IF('Master Sheet'!C123="Area 1 (Meenu S)",'Master Sheet'!N123,"")</f>
        <v/>
      </c>
      <c r="O122" t="str">
        <f>IF('Master Sheet'!C123="Area 1 (Meenu S)",'Master Sheet'!O123,"")</f>
        <v/>
      </c>
      <c r="P122" t="str">
        <f>IF('Master Sheet'!C123="Area 1 (Meenu S)",'Master Sheet'!P123,"")</f>
        <v/>
      </c>
    </row>
    <row r="123" spans="1:16" hidden="1" x14ac:dyDescent="0.25">
      <c r="A123" t="str">
        <f>IF('Master Sheet'!C124="Area 1 (Meenu S)",'Master Sheet'!A124,"")</f>
        <v/>
      </c>
      <c r="B123" t="str">
        <f>IF('Master Sheet'!C124="Area 1 (Meenu S)",'Master Sheet'!B124,"")</f>
        <v/>
      </c>
      <c r="C123" t="s">
        <v>4</v>
      </c>
      <c r="D123" t="str">
        <f>IF('Master Sheet'!C124="Area 1 (Meenu S)",'Master Sheet'!D124,"")</f>
        <v/>
      </c>
      <c r="E123" t="str">
        <f>IF('Master Sheet'!C124="Area 1 (Meenu S)",'Master Sheet'!E124,"")</f>
        <v/>
      </c>
      <c r="F123" t="str">
        <f>IF('Master Sheet'!C124="Area 1 (Meenu S)",'Master Sheet'!F124,"")</f>
        <v/>
      </c>
      <c r="G123" t="str">
        <f>IF('Master Sheet'!C124="Area 1 (Meenu S)",'Master Sheet'!G124,"")</f>
        <v/>
      </c>
      <c r="H123" t="str">
        <f>IF('Master Sheet'!C124="Area 1 (Meenu S)",'Master Sheet'!H124,"")</f>
        <v/>
      </c>
      <c r="I123" t="str">
        <f>IF('Master Sheet'!C124="Area 1 (Meenu S)",'Master Sheet'!I124,"")</f>
        <v/>
      </c>
      <c r="J123" t="str">
        <f>IF('Master Sheet'!C124="Area 1 (Meenu S)",'Master Sheet'!J124,"")</f>
        <v/>
      </c>
      <c r="K123" t="str">
        <f>IF('Master Sheet'!C124="Area 1 (Meenu S)",'Master Sheet'!K124,"")</f>
        <v/>
      </c>
      <c r="L123" t="str">
        <f>IF('Master Sheet'!C124="Area 1 (Meenu S)",'Master Sheet'!L124,"")</f>
        <v/>
      </c>
      <c r="M123" t="str">
        <f>IF('Master Sheet'!C124="Area 1 (Meenu S)",'Master Sheet'!M124,"")</f>
        <v/>
      </c>
      <c r="N123" t="str">
        <f>IF('Master Sheet'!C124="Area 1 (Meenu S)",'Master Sheet'!N124,"")</f>
        <v/>
      </c>
      <c r="O123" t="str">
        <f>IF('Master Sheet'!C124="Area 1 (Meenu S)",'Master Sheet'!O124,"")</f>
        <v/>
      </c>
      <c r="P123" t="str">
        <f>IF('Master Sheet'!C124="Area 1 (Meenu S)",'Master Sheet'!P124,"")</f>
        <v/>
      </c>
    </row>
    <row r="124" spans="1:16" hidden="1" x14ac:dyDescent="0.25">
      <c r="A124" t="str">
        <f>IF('Master Sheet'!C125="Area 1 (Meenu S)",'Master Sheet'!A125,"")</f>
        <v/>
      </c>
      <c r="B124" t="str">
        <f>IF('Master Sheet'!C125="Area 1 (Meenu S)",'Master Sheet'!B125,"")</f>
        <v/>
      </c>
      <c r="C124" t="s">
        <v>4</v>
      </c>
      <c r="D124" t="str">
        <f>IF('Master Sheet'!C125="Area 1 (Meenu S)",'Master Sheet'!D125,"")</f>
        <v/>
      </c>
      <c r="E124" t="str">
        <f>IF('Master Sheet'!C125="Area 1 (Meenu S)",'Master Sheet'!E125,"")</f>
        <v/>
      </c>
      <c r="F124" t="str">
        <f>IF('Master Sheet'!C125="Area 1 (Meenu S)",'Master Sheet'!F125,"")</f>
        <v/>
      </c>
      <c r="G124" t="str">
        <f>IF('Master Sheet'!C125="Area 1 (Meenu S)",'Master Sheet'!G125,"")</f>
        <v/>
      </c>
      <c r="H124" t="str">
        <f>IF('Master Sheet'!C125="Area 1 (Meenu S)",'Master Sheet'!H125,"")</f>
        <v/>
      </c>
      <c r="I124" t="str">
        <f>IF('Master Sheet'!C125="Area 1 (Meenu S)",'Master Sheet'!I125,"")</f>
        <v/>
      </c>
      <c r="J124" t="str">
        <f>IF('Master Sheet'!C125="Area 1 (Meenu S)",'Master Sheet'!J125,"")</f>
        <v/>
      </c>
      <c r="K124" t="str">
        <f>IF('Master Sheet'!C125="Area 1 (Meenu S)",'Master Sheet'!K125,"")</f>
        <v/>
      </c>
      <c r="L124" t="str">
        <f>IF('Master Sheet'!C125="Area 1 (Meenu S)",'Master Sheet'!L125,"")</f>
        <v/>
      </c>
      <c r="M124" t="str">
        <f>IF('Master Sheet'!C125="Area 1 (Meenu S)",'Master Sheet'!M125,"")</f>
        <v/>
      </c>
      <c r="N124" t="str">
        <f>IF('Master Sheet'!C125="Area 1 (Meenu S)",'Master Sheet'!N125,"")</f>
        <v/>
      </c>
      <c r="O124" t="str">
        <f>IF('Master Sheet'!C125="Area 1 (Meenu S)",'Master Sheet'!O125,"")</f>
        <v/>
      </c>
      <c r="P124" t="str">
        <f>IF('Master Sheet'!C125="Area 1 (Meenu S)",'Master Sheet'!P125,"")</f>
        <v/>
      </c>
    </row>
    <row r="125" spans="1:16" hidden="1" x14ac:dyDescent="0.25">
      <c r="A125" t="str">
        <f>IF('Master Sheet'!C126="Area 1 (Meenu S)",'Master Sheet'!A126,"")</f>
        <v/>
      </c>
      <c r="B125" t="str">
        <f>IF('Master Sheet'!C126="Area 1 (Meenu S)",'Master Sheet'!B126,"")</f>
        <v/>
      </c>
      <c r="C125" t="s">
        <v>4</v>
      </c>
      <c r="D125" t="str">
        <f>IF('Master Sheet'!C126="Area 1 (Meenu S)",'Master Sheet'!D126,"")</f>
        <v/>
      </c>
      <c r="E125" t="str">
        <f>IF('Master Sheet'!C126="Area 1 (Meenu S)",'Master Sheet'!E126,"")</f>
        <v/>
      </c>
      <c r="F125" t="str">
        <f>IF('Master Sheet'!C126="Area 1 (Meenu S)",'Master Sheet'!F126,"")</f>
        <v/>
      </c>
      <c r="G125" t="str">
        <f>IF('Master Sheet'!C126="Area 1 (Meenu S)",'Master Sheet'!G126,"")</f>
        <v/>
      </c>
      <c r="H125" t="str">
        <f>IF('Master Sheet'!C126="Area 1 (Meenu S)",'Master Sheet'!H126,"")</f>
        <v/>
      </c>
      <c r="I125" t="str">
        <f>IF('Master Sheet'!C126="Area 1 (Meenu S)",'Master Sheet'!I126,"")</f>
        <v/>
      </c>
      <c r="J125" t="str">
        <f>IF('Master Sheet'!C126="Area 1 (Meenu S)",'Master Sheet'!J126,"")</f>
        <v/>
      </c>
      <c r="K125" t="str">
        <f>IF('Master Sheet'!C126="Area 1 (Meenu S)",'Master Sheet'!K126,"")</f>
        <v/>
      </c>
      <c r="L125" t="str">
        <f>IF('Master Sheet'!C126="Area 1 (Meenu S)",'Master Sheet'!L126,"")</f>
        <v/>
      </c>
      <c r="M125" t="str">
        <f>IF('Master Sheet'!C126="Area 1 (Meenu S)",'Master Sheet'!M126,"")</f>
        <v/>
      </c>
      <c r="N125" t="str">
        <f>IF('Master Sheet'!C126="Area 1 (Meenu S)",'Master Sheet'!N126,"")</f>
        <v/>
      </c>
      <c r="O125" t="str">
        <f>IF('Master Sheet'!C126="Area 1 (Meenu S)",'Master Sheet'!O126,"")</f>
        <v/>
      </c>
      <c r="P125" t="str">
        <f>IF('Master Sheet'!C126="Area 1 (Meenu S)",'Master Sheet'!P126,"")</f>
        <v/>
      </c>
    </row>
    <row r="126" spans="1:16" hidden="1" x14ac:dyDescent="0.25">
      <c r="A126" t="str">
        <f>IF('Master Sheet'!C127="Area 1 (Meenu S)",'Master Sheet'!A127,"")</f>
        <v/>
      </c>
      <c r="B126" t="str">
        <f>IF('Master Sheet'!C127="Area 1 (Meenu S)",'Master Sheet'!B127,"")</f>
        <v/>
      </c>
      <c r="C126" t="s">
        <v>4</v>
      </c>
      <c r="D126" t="str">
        <f>IF('Master Sheet'!C127="Area 1 (Meenu S)",'Master Sheet'!D127,"")</f>
        <v/>
      </c>
      <c r="E126" t="str">
        <f>IF('Master Sheet'!C127="Area 1 (Meenu S)",'Master Sheet'!E127,"")</f>
        <v/>
      </c>
      <c r="F126" t="str">
        <f>IF('Master Sheet'!C127="Area 1 (Meenu S)",'Master Sheet'!F127,"")</f>
        <v/>
      </c>
      <c r="G126" t="str">
        <f>IF('Master Sheet'!C127="Area 1 (Meenu S)",'Master Sheet'!G127,"")</f>
        <v/>
      </c>
      <c r="H126" t="str">
        <f>IF('Master Sheet'!C127="Area 1 (Meenu S)",'Master Sheet'!H127,"")</f>
        <v/>
      </c>
      <c r="I126" t="str">
        <f>IF('Master Sheet'!C127="Area 1 (Meenu S)",'Master Sheet'!I127,"")</f>
        <v/>
      </c>
      <c r="J126" t="str">
        <f>IF('Master Sheet'!C127="Area 1 (Meenu S)",'Master Sheet'!J127,"")</f>
        <v/>
      </c>
      <c r="K126" t="str">
        <f>IF('Master Sheet'!C127="Area 1 (Meenu S)",'Master Sheet'!K127,"")</f>
        <v/>
      </c>
      <c r="L126" t="str">
        <f>IF('Master Sheet'!C127="Area 1 (Meenu S)",'Master Sheet'!L127,"")</f>
        <v/>
      </c>
      <c r="M126" t="str">
        <f>IF('Master Sheet'!C127="Area 1 (Meenu S)",'Master Sheet'!M127,"")</f>
        <v/>
      </c>
      <c r="N126" t="str">
        <f>IF('Master Sheet'!C127="Area 1 (Meenu S)",'Master Sheet'!N127,"")</f>
        <v/>
      </c>
      <c r="O126" t="str">
        <f>IF('Master Sheet'!C127="Area 1 (Meenu S)",'Master Sheet'!O127,"")</f>
        <v/>
      </c>
      <c r="P126" t="str">
        <f>IF('Master Sheet'!C127="Area 1 (Meenu S)",'Master Sheet'!P127,"")</f>
        <v/>
      </c>
    </row>
    <row r="127" spans="1:16" hidden="1" x14ac:dyDescent="0.25">
      <c r="A127" t="str">
        <f>IF('Master Sheet'!C128="Area 1 (Meenu S)",'Master Sheet'!A128,"")</f>
        <v/>
      </c>
      <c r="B127" t="str">
        <f>IF('Master Sheet'!C128="Area 1 (Meenu S)",'Master Sheet'!B128,"")</f>
        <v/>
      </c>
      <c r="C127" t="s">
        <v>4</v>
      </c>
      <c r="D127" t="str">
        <f>IF('Master Sheet'!C128="Area 1 (Meenu S)",'Master Sheet'!D128,"")</f>
        <v/>
      </c>
      <c r="E127" t="str">
        <f>IF('Master Sheet'!C128="Area 1 (Meenu S)",'Master Sheet'!E128,"")</f>
        <v/>
      </c>
      <c r="F127" t="str">
        <f>IF('Master Sheet'!C128="Area 1 (Meenu S)",'Master Sheet'!F128,"")</f>
        <v/>
      </c>
      <c r="G127" t="str">
        <f>IF('Master Sheet'!C128="Area 1 (Meenu S)",'Master Sheet'!G128,"")</f>
        <v/>
      </c>
      <c r="H127" t="str">
        <f>IF('Master Sheet'!C128="Area 1 (Meenu S)",'Master Sheet'!H128,"")</f>
        <v/>
      </c>
      <c r="I127" t="str">
        <f>IF('Master Sheet'!C128="Area 1 (Meenu S)",'Master Sheet'!I128,"")</f>
        <v/>
      </c>
      <c r="J127" t="str">
        <f>IF('Master Sheet'!C128="Area 1 (Meenu S)",'Master Sheet'!J128,"")</f>
        <v/>
      </c>
      <c r="K127" t="str">
        <f>IF('Master Sheet'!C128="Area 1 (Meenu S)",'Master Sheet'!K128,"")</f>
        <v/>
      </c>
      <c r="L127" t="str">
        <f>IF('Master Sheet'!C128="Area 1 (Meenu S)",'Master Sheet'!L128,"")</f>
        <v/>
      </c>
      <c r="M127" t="str">
        <f>IF('Master Sheet'!C128="Area 1 (Meenu S)",'Master Sheet'!M128,"")</f>
        <v/>
      </c>
      <c r="N127" t="str">
        <f>IF('Master Sheet'!C128="Area 1 (Meenu S)",'Master Sheet'!N128,"")</f>
        <v/>
      </c>
      <c r="O127" t="str">
        <f>IF('Master Sheet'!C128="Area 1 (Meenu S)",'Master Sheet'!O128,"")</f>
        <v/>
      </c>
      <c r="P127" t="str">
        <f>IF('Master Sheet'!C128="Area 1 (Meenu S)",'Master Sheet'!P128,"")</f>
        <v/>
      </c>
    </row>
    <row r="128" spans="1:16" hidden="1" x14ac:dyDescent="0.25">
      <c r="A128" t="str">
        <f>IF('Master Sheet'!C129="Area 1 (Meenu S)",'Master Sheet'!A129,"")</f>
        <v/>
      </c>
      <c r="B128" t="str">
        <f>IF('Master Sheet'!C129="Area 1 (Meenu S)",'Master Sheet'!B129,"")</f>
        <v/>
      </c>
      <c r="C128" t="s">
        <v>4</v>
      </c>
      <c r="D128" t="str">
        <f>IF('Master Sheet'!C129="Area 1 (Meenu S)",'Master Sheet'!D129,"")</f>
        <v/>
      </c>
      <c r="E128" t="str">
        <f>IF('Master Sheet'!C129="Area 1 (Meenu S)",'Master Sheet'!E129,"")</f>
        <v/>
      </c>
      <c r="F128" t="str">
        <f>IF('Master Sheet'!C129="Area 1 (Meenu S)",'Master Sheet'!F129,"")</f>
        <v/>
      </c>
      <c r="G128" t="str">
        <f>IF('Master Sheet'!C129="Area 1 (Meenu S)",'Master Sheet'!G129,"")</f>
        <v/>
      </c>
      <c r="H128" t="str">
        <f>IF('Master Sheet'!C129="Area 1 (Meenu S)",'Master Sheet'!H129,"")</f>
        <v/>
      </c>
      <c r="I128" t="str">
        <f>IF('Master Sheet'!C129="Area 1 (Meenu S)",'Master Sheet'!I129,"")</f>
        <v/>
      </c>
      <c r="J128" t="str">
        <f>IF('Master Sheet'!C129="Area 1 (Meenu S)",'Master Sheet'!J129,"")</f>
        <v/>
      </c>
      <c r="K128" t="str">
        <f>IF('Master Sheet'!C129="Area 1 (Meenu S)",'Master Sheet'!K129,"")</f>
        <v/>
      </c>
      <c r="L128" t="str">
        <f>IF('Master Sheet'!C129="Area 1 (Meenu S)",'Master Sheet'!L129,"")</f>
        <v/>
      </c>
      <c r="M128" t="str">
        <f>IF('Master Sheet'!C129="Area 1 (Meenu S)",'Master Sheet'!M129,"")</f>
        <v/>
      </c>
      <c r="N128" t="str">
        <f>IF('Master Sheet'!C129="Area 1 (Meenu S)",'Master Sheet'!N129,"")</f>
        <v/>
      </c>
      <c r="O128" t="str">
        <f>IF('Master Sheet'!C129="Area 1 (Meenu S)",'Master Sheet'!O129,"")</f>
        <v/>
      </c>
      <c r="P128" t="str">
        <f>IF('Master Sheet'!C129="Area 1 (Meenu S)",'Master Sheet'!P129,"")</f>
        <v/>
      </c>
    </row>
    <row r="129" spans="1:16" hidden="1" x14ac:dyDescent="0.25">
      <c r="A129" t="str">
        <f>IF('Master Sheet'!C130="Area 1 (Meenu S)",'Master Sheet'!A130,"")</f>
        <v/>
      </c>
      <c r="B129" t="str">
        <f>IF('Master Sheet'!C130="Area 1 (Meenu S)",'Master Sheet'!B130,"")</f>
        <v/>
      </c>
      <c r="C129" t="s">
        <v>4</v>
      </c>
      <c r="D129" t="str">
        <f>IF('Master Sheet'!C130="Area 1 (Meenu S)",'Master Sheet'!D130,"")</f>
        <v/>
      </c>
      <c r="E129" t="str">
        <f>IF('Master Sheet'!C130="Area 1 (Meenu S)",'Master Sheet'!E130,"")</f>
        <v/>
      </c>
      <c r="F129" t="str">
        <f>IF('Master Sheet'!C130="Area 1 (Meenu S)",'Master Sheet'!F130,"")</f>
        <v/>
      </c>
      <c r="G129" t="str">
        <f>IF('Master Sheet'!C130="Area 1 (Meenu S)",'Master Sheet'!G130,"")</f>
        <v/>
      </c>
      <c r="H129" t="str">
        <f>IF('Master Sheet'!C130="Area 1 (Meenu S)",'Master Sheet'!H130,"")</f>
        <v/>
      </c>
      <c r="I129" t="str">
        <f>IF('Master Sheet'!C130="Area 1 (Meenu S)",'Master Sheet'!I130,"")</f>
        <v/>
      </c>
      <c r="J129" t="str">
        <f>IF('Master Sheet'!C130="Area 1 (Meenu S)",'Master Sheet'!J130,"")</f>
        <v/>
      </c>
      <c r="K129" t="str">
        <f>IF('Master Sheet'!C130="Area 1 (Meenu S)",'Master Sheet'!K130,"")</f>
        <v/>
      </c>
      <c r="L129" t="str">
        <f>IF('Master Sheet'!C130="Area 1 (Meenu S)",'Master Sheet'!L130,"")</f>
        <v/>
      </c>
      <c r="M129" t="str">
        <f>IF('Master Sheet'!C130="Area 1 (Meenu S)",'Master Sheet'!M130,"")</f>
        <v/>
      </c>
      <c r="N129" t="str">
        <f>IF('Master Sheet'!C130="Area 1 (Meenu S)",'Master Sheet'!N130,"")</f>
        <v/>
      </c>
      <c r="O129" t="str">
        <f>IF('Master Sheet'!C130="Area 1 (Meenu S)",'Master Sheet'!O130,"")</f>
        <v/>
      </c>
      <c r="P129" t="str">
        <f>IF('Master Sheet'!C130="Area 1 (Meenu S)",'Master Sheet'!P130,"")</f>
        <v/>
      </c>
    </row>
    <row r="130" spans="1:16" hidden="1" x14ac:dyDescent="0.25">
      <c r="A130" t="str">
        <f>IF('Master Sheet'!C131="Area 1 (Meenu S)",'Master Sheet'!A131,"")</f>
        <v/>
      </c>
      <c r="B130" t="str">
        <f>IF('Master Sheet'!C131="Area 1 (Meenu S)",'Master Sheet'!B131,"")</f>
        <v/>
      </c>
      <c r="C130" t="s">
        <v>4</v>
      </c>
      <c r="D130" t="str">
        <f>IF('Master Sheet'!C131="Area 1 (Meenu S)",'Master Sheet'!D131,"")</f>
        <v/>
      </c>
      <c r="E130" t="str">
        <f>IF('Master Sheet'!C131="Area 1 (Meenu S)",'Master Sheet'!E131,"")</f>
        <v/>
      </c>
      <c r="F130" t="str">
        <f>IF('Master Sheet'!C131="Area 1 (Meenu S)",'Master Sheet'!F131,"")</f>
        <v/>
      </c>
      <c r="G130" t="str">
        <f>IF('Master Sheet'!C131="Area 1 (Meenu S)",'Master Sheet'!G131,"")</f>
        <v/>
      </c>
      <c r="H130" t="str">
        <f>IF('Master Sheet'!C131="Area 1 (Meenu S)",'Master Sheet'!H131,"")</f>
        <v/>
      </c>
      <c r="I130" t="str">
        <f>IF('Master Sheet'!C131="Area 1 (Meenu S)",'Master Sheet'!I131,"")</f>
        <v/>
      </c>
      <c r="J130" t="str">
        <f>IF('Master Sheet'!C131="Area 1 (Meenu S)",'Master Sheet'!J131,"")</f>
        <v/>
      </c>
      <c r="K130" t="str">
        <f>IF('Master Sheet'!C131="Area 1 (Meenu S)",'Master Sheet'!K131,"")</f>
        <v/>
      </c>
      <c r="L130" t="str">
        <f>IF('Master Sheet'!C131="Area 1 (Meenu S)",'Master Sheet'!L131,"")</f>
        <v/>
      </c>
      <c r="M130" t="str">
        <f>IF('Master Sheet'!C131="Area 1 (Meenu S)",'Master Sheet'!M131,"")</f>
        <v/>
      </c>
      <c r="N130" t="str">
        <f>IF('Master Sheet'!C131="Area 1 (Meenu S)",'Master Sheet'!N131,"")</f>
        <v/>
      </c>
      <c r="O130" t="str">
        <f>IF('Master Sheet'!C131="Area 1 (Meenu S)",'Master Sheet'!O131,"")</f>
        <v/>
      </c>
      <c r="P130" t="str">
        <f>IF('Master Sheet'!C131="Area 1 (Meenu S)",'Master Sheet'!P131,"")</f>
        <v/>
      </c>
    </row>
    <row r="131" spans="1:16" hidden="1" x14ac:dyDescent="0.25">
      <c r="A131" t="str">
        <f>IF('Master Sheet'!C132="Area 1 (Meenu S)",'Master Sheet'!A132,"")</f>
        <v/>
      </c>
      <c r="B131" t="str">
        <f>IF('Master Sheet'!C132="Area 1 (Meenu S)",'Master Sheet'!B132,"")</f>
        <v/>
      </c>
      <c r="C131" t="s">
        <v>4</v>
      </c>
      <c r="D131" t="str">
        <f>IF('Master Sheet'!C132="Area 1 (Meenu S)",'Master Sheet'!D132,"")</f>
        <v/>
      </c>
      <c r="E131" t="str">
        <f>IF('Master Sheet'!C132="Area 1 (Meenu S)",'Master Sheet'!E132,"")</f>
        <v/>
      </c>
      <c r="F131" t="str">
        <f>IF('Master Sheet'!C132="Area 1 (Meenu S)",'Master Sheet'!F132,"")</f>
        <v/>
      </c>
      <c r="G131" t="str">
        <f>IF('Master Sheet'!C132="Area 1 (Meenu S)",'Master Sheet'!G132,"")</f>
        <v/>
      </c>
      <c r="H131" t="str">
        <f>IF('Master Sheet'!C132="Area 1 (Meenu S)",'Master Sheet'!H132,"")</f>
        <v/>
      </c>
      <c r="I131" t="str">
        <f>IF('Master Sheet'!C132="Area 1 (Meenu S)",'Master Sheet'!I132,"")</f>
        <v/>
      </c>
      <c r="J131" t="str">
        <f>IF('Master Sheet'!C132="Area 1 (Meenu S)",'Master Sheet'!J132,"")</f>
        <v/>
      </c>
      <c r="K131" t="str">
        <f>IF('Master Sheet'!C132="Area 1 (Meenu S)",'Master Sheet'!K132,"")</f>
        <v/>
      </c>
      <c r="L131" t="str">
        <f>IF('Master Sheet'!C132="Area 1 (Meenu S)",'Master Sheet'!L132,"")</f>
        <v/>
      </c>
      <c r="M131" t="str">
        <f>IF('Master Sheet'!C132="Area 1 (Meenu S)",'Master Sheet'!M132,"")</f>
        <v/>
      </c>
      <c r="N131" t="str">
        <f>IF('Master Sheet'!C132="Area 1 (Meenu S)",'Master Sheet'!N132,"")</f>
        <v/>
      </c>
      <c r="O131" t="str">
        <f>IF('Master Sheet'!C132="Area 1 (Meenu S)",'Master Sheet'!O132,"")</f>
        <v/>
      </c>
      <c r="P131" t="str">
        <f>IF('Master Sheet'!C132="Area 1 (Meenu S)",'Master Sheet'!P132,"")</f>
        <v/>
      </c>
    </row>
    <row r="132" spans="1:16" hidden="1" x14ac:dyDescent="0.25">
      <c r="A132" t="str">
        <f>IF('Master Sheet'!C133="Area 1 (Meenu S)",'Master Sheet'!A133,"")</f>
        <v/>
      </c>
      <c r="B132" t="str">
        <f>IF('Master Sheet'!C133="Area 1 (Meenu S)",'Master Sheet'!B133,"")</f>
        <v/>
      </c>
      <c r="C132" t="s">
        <v>4</v>
      </c>
      <c r="D132" t="str">
        <f>IF('Master Sheet'!C133="Area 1 (Meenu S)",'Master Sheet'!D133,"")</f>
        <v/>
      </c>
      <c r="E132" t="str">
        <f>IF('Master Sheet'!C133="Area 1 (Meenu S)",'Master Sheet'!E133,"")</f>
        <v/>
      </c>
      <c r="F132" t="str">
        <f>IF('Master Sheet'!C133="Area 1 (Meenu S)",'Master Sheet'!F133,"")</f>
        <v/>
      </c>
      <c r="G132" t="str">
        <f>IF('Master Sheet'!C133="Area 1 (Meenu S)",'Master Sheet'!G133,"")</f>
        <v/>
      </c>
      <c r="H132" t="str">
        <f>IF('Master Sheet'!C133="Area 1 (Meenu S)",'Master Sheet'!H133,"")</f>
        <v/>
      </c>
      <c r="I132" t="str">
        <f>IF('Master Sheet'!C133="Area 1 (Meenu S)",'Master Sheet'!I133,"")</f>
        <v/>
      </c>
      <c r="J132" t="str">
        <f>IF('Master Sheet'!C133="Area 1 (Meenu S)",'Master Sheet'!J133,"")</f>
        <v/>
      </c>
      <c r="K132" t="str">
        <f>IF('Master Sheet'!C133="Area 1 (Meenu S)",'Master Sheet'!K133,"")</f>
        <v/>
      </c>
      <c r="L132" t="str">
        <f>IF('Master Sheet'!C133="Area 1 (Meenu S)",'Master Sheet'!L133,"")</f>
        <v/>
      </c>
      <c r="M132" t="str">
        <f>IF('Master Sheet'!C133="Area 1 (Meenu S)",'Master Sheet'!M133,"")</f>
        <v/>
      </c>
      <c r="N132" t="str">
        <f>IF('Master Sheet'!C133="Area 1 (Meenu S)",'Master Sheet'!N133,"")</f>
        <v/>
      </c>
      <c r="O132" t="str">
        <f>IF('Master Sheet'!C133="Area 1 (Meenu S)",'Master Sheet'!O133,"")</f>
        <v/>
      </c>
      <c r="P132" t="str">
        <f>IF('Master Sheet'!C133="Area 1 (Meenu S)",'Master Sheet'!P133,"")</f>
        <v/>
      </c>
    </row>
    <row r="133" spans="1:16" hidden="1" x14ac:dyDescent="0.25">
      <c r="A133" t="str">
        <f>IF('Master Sheet'!C134="Area 1 (Meenu S)",'Master Sheet'!A134,"")</f>
        <v/>
      </c>
      <c r="B133" t="str">
        <f>IF('Master Sheet'!C134="Area 1 (Meenu S)",'Master Sheet'!B134,"")</f>
        <v/>
      </c>
      <c r="C133" t="s">
        <v>4</v>
      </c>
      <c r="D133" t="str">
        <f>IF('Master Sheet'!C134="Area 1 (Meenu S)",'Master Sheet'!D134,"")</f>
        <v/>
      </c>
      <c r="E133" t="str">
        <f>IF('Master Sheet'!C134="Area 1 (Meenu S)",'Master Sheet'!E134,"")</f>
        <v/>
      </c>
      <c r="F133" t="str">
        <f>IF('Master Sheet'!C134="Area 1 (Meenu S)",'Master Sheet'!F134,"")</f>
        <v/>
      </c>
      <c r="G133" t="str">
        <f>IF('Master Sheet'!C134="Area 1 (Meenu S)",'Master Sheet'!G134,"")</f>
        <v/>
      </c>
      <c r="H133" t="str">
        <f>IF('Master Sheet'!C134="Area 1 (Meenu S)",'Master Sheet'!H134,"")</f>
        <v/>
      </c>
      <c r="I133" t="str">
        <f>IF('Master Sheet'!C134="Area 1 (Meenu S)",'Master Sheet'!I134,"")</f>
        <v/>
      </c>
      <c r="J133" t="str">
        <f>IF('Master Sheet'!C134="Area 1 (Meenu S)",'Master Sheet'!J134,"")</f>
        <v/>
      </c>
      <c r="K133" t="str">
        <f>IF('Master Sheet'!C134="Area 1 (Meenu S)",'Master Sheet'!K134,"")</f>
        <v/>
      </c>
      <c r="L133" t="str">
        <f>IF('Master Sheet'!C134="Area 1 (Meenu S)",'Master Sheet'!L134,"")</f>
        <v/>
      </c>
      <c r="M133" t="str">
        <f>IF('Master Sheet'!C134="Area 1 (Meenu S)",'Master Sheet'!M134,"")</f>
        <v/>
      </c>
      <c r="N133" t="str">
        <f>IF('Master Sheet'!C134="Area 1 (Meenu S)",'Master Sheet'!N134,"")</f>
        <v/>
      </c>
      <c r="O133" t="str">
        <f>IF('Master Sheet'!C134="Area 1 (Meenu S)",'Master Sheet'!O134,"")</f>
        <v/>
      </c>
      <c r="P133" t="str">
        <f>IF('Master Sheet'!C134="Area 1 (Meenu S)",'Master Sheet'!P134,"")</f>
        <v/>
      </c>
    </row>
    <row r="134" spans="1:16" hidden="1" x14ac:dyDescent="0.25">
      <c r="A134" t="str">
        <f>IF('Master Sheet'!C135="Area 1 (Meenu S)",'Master Sheet'!A135,"")</f>
        <v/>
      </c>
      <c r="B134" t="str">
        <f>IF('Master Sheet'!C135="Area 1 (Meenu S)",'Master Sheet'!B135,"")</f>
        <v/>
      </c>
      <c r="C134" t="s">
        <v>4</v>
      </c>
      <c r="D134" t="str">
        <f>IF('Master Sheet'!C135="Area 1 (Meenu S)",'Master Sheet'!D135,"")</f>
        <v/>
      </c>
      <c r="E134" t="str">
        <f>IF('Master Sheet'!C135="Area 1 (Meenu S)",'Master Sheet'!E135,"")</f>
        <v/>
      </c>
      <c r="F134" t="str">
        <f>IF('Master Sheet'!C135="Area 1 (Meenu S)",'Master Sheet'!F135,"")</f>
        <v/>
      </c>
      <c r="G134" t="str">
        <f>IF('Master Sheet'!C135="Area 1 (Meenu S)",'Master Sheet'!G135,"")</f>
        <v/>
      </c>
      <c r="H134" t="str">
        <f>IF('Master Sheet'!C135="Area 1 (Meenu S)",'Master Sheet'!H135,"")</f>
        <v/>
      </c>
      <c r="I134" t="str">
        <f>IF('Master Sheet'!C135="Area 1 (Meenu S)",'Master Sheet'!I135,"")</f>
        <v/>
      </c>
      <c r="J134" t="str">
        <f>IF('Master Sheet'!C135="Area 1 (Meenu S)",'Master Sheet'!J135,"")</f>
        <v/>
      </c>
      <c r="K134" t="str">
        <f>IF('Master Sheet'!C135="Area 1 (Meenu S)",'Master Sheet'!K135,"")</f>
        <v/>
      </c>
      <c r="L134" t="str">
        <f>IF('Master Sheet'!C135="Area 1 (Meenu S)",'Master Sheet'!L135,"")</f>
        <v/>
      </c>
      <c r="M134" t="str">
        <f>IF('Master Sheet'!C135="Area 1 (Meenu S)",'Master Sheet'!M135,"")</f>
        <v/>
      </c>
      <c r="N134" t="str">
        <f>IF('Master Sheet'!C135="Area 1 (Meenu S)",'Master Sheet'!N135,"")</f>
        <v/>
      </c>
      <c r="O134" t="str">
        <f>IF('Master Sheet'!C135="Area 1 (Meenu S)",'Master Sheet'!O135,"")</f>
        <v/>
      </c>
      <c r="P134" t="str">
        <f>IF('Master Sheet'!C135="Area 1 (Meenu S)",'Master Sheet'!P135,"")</f>
        <v/>
      </c>
    </row>
    <row r="135" spans="1:16" hidden="1" x14ac:dyDescent="0.25">
      <c r="A135" t="str">
        <f>IF('Master Sheet'!C136="Area 1 (Meenu S)",'Master Sheet'!A136,"")</f>
        <v/>
      </c>
      <c r="B135" t="str">
        <f>IF('Master Sheet'!C136="Area 1 (Meenu S)",'Master Sheet'!B136,"")</f>
        <v/>
      </c>
      <c r="C135" t="s">
        <v>4</v>
      </c>
      <c r="D135" t="str">
        <f>IF('Master Sheet'!C136="Area 1 (Meenu S)",'Master Sheet'!D136,"")</f>
        <v/>
      </c>
      <c r="E135" t="str">
        <f>IF('Master Sheet'!C136="Area 1 (Meenu S)",'Master Sheet'!E136,"")</f>
        <v/>
      </c>
      <c r="F135" t="str">
        <f>IF('Master Sheet'!C136="Area 1 (Meenu S)",'Master Sheet'!F136,"")</f>
        <v/>
      </c>
      <c r="G135" t="str">
        <f>IF('Master Sheet'!C136="Area 1 (Meenu S)",'Master Sheet'!G136,"")</f>
        <v/>
      </c>
      <c r="H135" t="str">
        <f>IF('Master Sheet'!C136="Area 1 (Meenu S)",'Master Sheet'!H136,"")</f>
        <v/>
      </c>
      <c r="I135" t="str">
        <f>IF('Master Sheet'!C136="Area 1 (Meenu S)",'Master Sheet'!I136,"")</f>
        <v/>
      </c>
      <c r="J135" t="str">
        <f>IF('Master Sheet'!C136="Area 1 (Meenu S)",'Master Sheet'!J136,"")</f>
        <v/>
      </c>
      <c r="K135" t="str">
        <f>IF('Master Sheet'!C136="Area 1 (Meenu S)",'Master Sheet'!K136,"")</f>
        <v/>
      </c>
      <c r="L135" t="str">
        <f>IF('Master Sheet'!C136="Area 1 (Meenu S)",'Master Sheet'!L136,"")</f>
        <v/>
      </c>
      <c r="M135" t="str">
        <f>IF('Master Sheet'!C136="Area 1 (Meenu S)",'Master Sheet'!M136,"")</f>
        <v/>
      </c>
      <c r="N135" t="str">
        <f>IF('Master Sheet'!C136="Area 1 (Meenu S)",'Master Sheet'!N136,"")</f>
        <v/>
      </c>
      <c r="O135" t="str">
        <f>IF('Master Sheet'!C136="Area 1 (Meenu S)",'Master Sheet'!O136,"")</f>
        <v/>
      </c>
      <c r="P135" t="str">
        <f>IF('Master Sheet'!C136="Area 1 (Meenu S)",'Master Sheet'!P136,"")</f>
        <v/>
      </c>
    </row>
    <row r="136" spans="1:16" hidden="1" x14ac:dyDescent="0.25">
      <c r="A136" t="str">
        <f>IF('Master Sheet'!C137="Area 1 (Meenu S)",'Master Sheet'!A137,"")</f>
        <v/>
      </c>
      <c r="B136" t="str">
        <f>IF('Master Sheet'!C137="Area 1 (Meenu S)",'Master Sheet'!B137,"")</f>
        <v/>
      </c>
      <c r="C136" t="s">
        <v>4</v>
      </c>
      <c r="D136" t="str">
        <f>IF('Master Sheet'!C137="Area 1 (Meenu S)",'Master Sheet'!D137,"")</f>
        <v/>
      </c>
      <c r="E136" t="str">
        <f>IF('Master Sheet'!C137="Area 1 (Meenu S)",'Master Sheet'!E137,"")</f>
        <v/>
      </c>
      <c r="F136" t="str">
        <f>IF('Master Sheet'!C137="Area 1 (Meenu S)",'Master Sheet'!F137,"")</f>
        <v/>
      </c>
      <c r="G136" t="str">
        <f>IF('Master Sheet'!C137="Area 1 (Meenu S)",'Master Sheet'!G137,"")</f>
        <v/>
      </c>
      <c r="H136" t="str">
        <f>IF('Master Sheet'!C137="Area 1 (Meenu S)",'Master Sheet'!H137,"")</f>
        <v/>
      </c>
      <c r="I136" t="str">
        <f>IF('Master Sheet'!C137="Area 1 (Meenu S)",'Master Sheet'!I137,"")</f>
        <v/>
      </c>
      <c r="J136" t="str">
        <f>IF('Master Sheet'!C137="Area 1 (Meenu S)",'Master Sheet'!J137,"")</f>
        <v/>
      </c>
      <c r="K136" t="str">
        <f>IF('Master Sheet'!C137="Area 1 (Meenu S)",'Master Sheet'!K137,"")</f>
        <v/>
      </c>
      <c r="L136" t="str">
        <f>IF('Master Sheet'!C137="Area 1 (Meenu S)",'Master Sheet'!L137,"")</f>
        <v/>
      </c>
      <c r="M136" t="str">
        <f>IF('Master Sheet'!C137="Area 1 (Meenu S)",'Master Sheet'!M137,"")</f>
        <v/>
      </c>
      <c r="N136" t="str">
        <f>IF('Master Sheet'!C137="Area 1 (Meenu S)",'Master Sheet'!N137,"")</f>
        <v/>
      </c>
      <c r="O136" t="str">
        <f>IF('Master Sheet'!C137="Area 1 (Meenu S)",'Master Sheet'!O137,"")</f>
        <v/>
      </c>
      <c r="P136" t="str">
        <f>IF('Master Sheet'!C137="Area 1 (Meenu S)",'Master Sheet'!P137,"")</f>
        <v/>
      </c>
    </row>
    <row r="137" spans="1:16" hidden="1" x14ac:dyDescent="0.25">
      <c r="A137" t="str">
        <f>IF('Master Sheet'!C138="Area 1 (Meenu S)",'Master Sheet'!A138,"")</f>
        <v/>
      </c>
      <c r="B137" t="str">
        <f>IF('Master Sheet'!C138="Area 1 (Meenu S)",'Master Sheet'!B138,"")</f>
        <v/>
      </c>
      <c r="C137" t="s">
        <v>4</v>
      </c>
      <c r="D137" t="str">
        <f>IF('Master Sheet'!C138="Area 1 (Meenu S)",'Master Sheet'!D138,"")</f>
        <v/>
      </c>
      <c r="E137" t="str">
        <f>IF('Master Sheet'!C138="Area 1 (Meenu S)",'Master Sheet'!E138,"")</f>
        <v/>
      </c>
      <c r="F137" t="str">
        <f>IF('Master Sheet'!C138="Area 1 (Meenu S)",'Master Sheet'!F138,"")</f>
        <v/>
      </c>
      <c r="G137" t="str">
        <f>IF('Master Sheet'!C138="Area 1 (Meenu S)",'Master Sheet'!G138,"")</f>
        <v/>
      </c>
      <c r="H137" t="str">
        <f>IF('Master Sheet'!C138="Area 1 (Meenu S)",'Master Sheet'!H138,"")</f>
        <v/>
      </c>
      <c r="I137" t="str">
        <f>IF('Master Sheet'!C138="Area 1 (Meenu S)",'Master Sheet'!I138,"")</f>
        <v/>
      </c>
      <c r="J137" t="str">
        <f>IF('Master Sheet'!C138="Area 1 (Meenu S)",'Master Sheet'!J138,"")</f>
        <v/>
      </c>
      <c r="K137" t="str">
        <f>IF('Master Sheet'!C138="Area 1 (Meenu S)",'Master Sheet'!K138,"")</f>
        <v/>
      </c>
      <c r="L137" t="str">
        <f>IF('Master Sheet'!C138="Area 1 (Meenu S)",'Master Sheet'!L138,"")</f>
        <v/>
      </c>
      <c r="M137" t="str">
        <f>IF('Master Sheet'!C138="Area 1 (Meenu S)",'Master Sheet'!M138,"")</f>
        <v/>
      </c>
      <c r="N137" t="str">
        <f>IF('Master Sheet'!C138="Area 1 (Meenu S)",'Master Sheet'!N138,"")</f>
        <v/>
      </c>
      <c r="O137" t="str">
        <f>IF('Master Sheet'!C138="Area 1 (Meenu S)",'Master Sheet'!O138,"")</f>
        <v/>
      </c>
      <c r="P137" t="str">
        <f>IF('Master Sheet'!C138="Area 1 (Meenu S)",'Master Sheet'!P138,"")</f>
        <v/>
      </c>
    </row>
    <row r="138" spans="1:16" hidden="1" x14ac:dyDescent="0.25">
      <c r="A138" t="str">
        <f>IF('Master Sheet'!C139="Area 1 (Meenu S)",'Master Sheet'!A139,"")</f>
        <v/>
      </c>
      <c r="B138" t="str">
        <f>IF('Master Sheet'!C139="Area 1 (Meenu S)",'Master Sheet'!B139,"")</f>
        <v/>
      </c>
      <c r="C138" t="s">
        <v>4</v>
      </c>
      <c r="D138" t="str">
        <f>IF('Master Sheet'!C139="Area 1 (Meenu S)",'Master Sheet'!D139,"")</f>
        <v/>
      </c>
      <c r="E138" t="str">
        <f>IF('Master Sheet'!C139="Area 1 (Meenu S)",'Master Sheet'!E139,"")</f>
        <v/>
      </c>
      <c r="F138" t="str">
        <f>IF('Master Sheet'!C139="Area 1 (Meenu S)",'Master Sheet'!F139,"")</f>
        <v/>
      </c>
      <c r="G138" t="str">
        <f>IF('Master Sheet'!C139="Area 1 (Meenu S)",'Master Sheet'!G139,"")</f>
        <v/>
      </c>
      <c r="H138" t="str">
        <f>IF('Master Sheet'!C139="Area 1 (Meenu S)",'Master Sheet'!H139,"")</f>
        <v/>
      </c>
      <c r="I138" t="str">
        <f>IF('Master Sheet'!C139="Area 1 (Meenu S)",'Master Sheet'!I139,"")</f>
        <v/>
      </c>
      <c r="J138" t="str">
        <f>IF('Master Sheet'!C139="Area 1 (Meenu S)",'Master Sheet'!J139,"")</f>
        <v/>
      </c>
      <c r="K138" t="str">
        <f>IF('Master Sheet'!C139="Area 1 (Meenu S)",'Master Sheet'!K139,"")</f>
        <v/>
      </c>
      <c r="L138" t="str">
        <f>IF('Master Sheet'!C139="Area 1 (Meenu S)",'Master Sheet'!L139,"")</f>
        <v/>
      </c>
      <c r="M138" t="str">
        <f>IF('Master Sheet'!C139="Area 1 (Meenu S)",'Master Sheet'!M139,"")</f>
        <v/>
      </c>
      <c r="N138" t="str">
        <f>IF('Master Sheet'!C139="Area 1 (Meenu S)",'Master Sheet'!N139,"")</f>
        <v/>
      </c>
      <c r="O138" t="str">
        <f>IF('Master Sheet'!C139="Area 1 (Meenu S)",'Master Sheet'!O139,"")</f>
        <v/>
      </c>
      <c r="P138" t="str">
        <f>IF('Master Sheet'!C139="Area 1 (Meenu S)",'Master Sheet'!P139,"")</f>
        <v/>
      </c>
    </row>
    <row r="139" spans="1:16" hidden="1" x14ac:dyDescent="0.25">
      <c r="A139" t="str">
        <f>IF('Master Sheet'!C140="Area 1 (Meenu S)",'Master Sheet'!A140,"")</f>
        <v/>
      </c>
      <c r="B139" t="str">
        <f>IF('Master Sheet'!C140="Area 1 (Meenu S)",'Master Sheet'!B140,"")</f>
        <v/>
      </c>
      <c r="C139" t="s">
        <v>4</v>
      </c>
      <c r="D139" t="str">
        <f>IF('Master Sheet'!C140="Area 1 (Meenu S)",'Master Sheet'!D140,"")</f>
        <v/>
      </c>
      <c r="E139" t="str">
        <f>IF('Master Sheet'!C140="Area 1 (Meenu S)",'Master Sheet'!E140,"")</f>
        <v/>
      </c>
      <c r="F139" t="str">
        <f>IF('Master Sheet'!C140="Area 1 (Meenu S)",'Master Sheet'!F140,"")</f>
        <v/>
      </c>
      <c r="G139" t="str">
        <f>IF('Master Sheet'!C140="Area 1 (Meenu S)",'Master Sheet'!G140,"")</f>
        <v/>
      </c>
      <c r="H139" t="str">
        <f>IF('Master Sheet'!C140="Area 1 (Meenu S)",'Master Sheet'!H140,"")</f>
        <v/>
      </c>
      <c r="I139" t="str">
        <f>IF('Master Sheet'!C140="Area 1 (Meenu S)",'Master Sheet'!I140,"")</f>
        <v/>
      </c>
      <c r="J139" t="str">
        <f>IF('Master Sheet'!C140="Area 1 (Meenu S)",'Master Sheet'!J140,"")</f>
        <v/>
      </c>
      <c r="K139" t="str">
        <f>IF('Master Sheet'!C140="Area 1 (Meenu S)",'Master Sheet'!K140,"")</f>
        <v/>
      </c>
      <c r="L139" t="str">
        <f>IF('Master Sheet'!C140="Area 1 (Meenu S)",'Master Sheet'!L140,"")</f>
        <v/>
      </c>
      <c r="M139" t="str">
        <f>IF('Master Sheet'!C140="Area 1 (Meenu S)",'Master Sheet'!M140,"")</f>
        <v/>
      </c>
      <c r="N139" t="str">
        <f>IF('Master Sheet'!C140="Area 1 (Meenu S)",'Master Sheet'!N140,"")</f>
        <v/>
      </c>
      <c r="O139" t="str">
        <f>IF('Master Sheet'!C140="Area 1 (Meenu S)",'Master Sheet'!O140,"")</f>
        <v/>
      </c>
      <c r="P139" t="str">
        <f>IF('Master Sheet'!C140="Area 1 (Meenu S)",'Master Sheet'!P140,"")</f>
        <v/>
      </c>
    </row>
    <row r="140" spans="1:16" hidden="1" x14ac:dyDescent="0.25">
      <c r="A140" t="str">
        <f>IF('Master Sheet'!C141="Area 1 (Meenu S)",'Master Sheet'!A141,"")</f>
        <v/>
      </c>
      <c r="B140" t="str">
        <f>IF('Master Sheet'!C141="Area 1 (Meenu S)",'Master Sheet'!B141,"")</f>
        <v/>
      </c>
      <c r="C140" t="s">
        <v>4</v>
      </c>
      <c r="D140" t="str">
        <f>IF('Master Sheet'!C141="Area 1 (Meenu S)",'Master Sheet'!D141,"")</f>
        <v/>
      </c>
      <c r="E140" t="str">
        <f>IF('Master Sheet'!C141="Area 1 (Meenu S)",'Master Sheet'!E141,"")</f>
        <v/>
      </c>
      <c r="F140" t="str">
        <f>IF('Master Sheet'!C141="Area 1 (Meenu S)",'Master Sheet'!F141,"")</f>
        <v/>
      </c>
      <c r="G140" t="str">
        <f>IF('Master Sheet'!C141="Area 1 (Meenu S)",'Master Sheet'!G141,"")</f>
        <v/>
      </c>
      <c r="H140" t="str">
        <f>IF('Master Sheet'!C141="Area 1 (Meenu S)",'Master Sheet'!H141,"")</f>
        <v/>
      </c>
      <c r="I140" t="str">
        <f>IF('Master Sheet'!C141="Area 1 (Meenu S)",'Master Sheet'!I141,"")</f>
        <v/>
      </c>
      <c r="J140" t="str">
        <f>IF('Master Sheet'!C141="Area 1 (Meenu S)",'Master Sheet'!J141,"")</f>
        <v/>
      </c>
      <c r="K140" t="str">
        <f>IF('Master Sheet'!C141="Area 1 (Meenu S)",'Master Sheet'!K141,"")</f>
        <v/>
      </c>
      <c r="L140" t="str">
        <f>IF('Master Sheet'!C141="Area 1 (Meenu S)",'Master Sheet'!L141,"")</f>
        <v/>
      </c>
      <c r="M140" t="str">
        <f>IF('Master Sheet'!C141="Area 1 (Meenu S)",'Master Sheet'!M141,"")</f>
        <v/>
      </c>
      <c r="N140" t="str">
        <f>IF('Master Sheet'!C141="Area 1 (Meenu S)",'Master Sheet'!N141,"")</f>
        <v/>
      </c>
      <c r="O140" t="str">
        <f>IF('Master Sheet'!C141="Area 1 (Meenu S)",'Master Sheet'!O141,"")</f>
        <v/>
      </c>
      <c r="P140" t="str">
        <f>IF('Master Sheet'!C141="Area 1 (Meenu S)",'Master Sheet'!P141,"")</f>
        <v/>
      </c>
    </row>
    <row r="141" spans="1:16" hidden="1" x14ac:dyDescent="0.25">
      <c r="A141" t="str">
        <f>IF('Master Sheet'!C142="Area 1 (Meenu S)",'Master Sheet'!A142,"")</f>
        <v/>
      </c>
      <c r="B141" t="str">
        <f>IF('Master Sheet'!C142="Area 1 (Meenu S)",'Master Sheet'!B142,"")</f>
        <v/>
      </c>
      <c r="C141" t="s">
        <v>4</v>
      </c>
      <c r="D141" t="str">
        <f>IF('Master Sheet'!C142="Area 1 (Meenu S)",'Master Sheet'!D142,"")</f>
        <v/>
      </c>
      <c r="E141" t="str">
        <f>IF('Master Sheet'!C142="Area 1 (Meenu S)",'Master Sheet'!E142,"")</f>
        <v/>
      </c>
      <c r="F141" t="str">
        <f>IF('Master Sheet'!C142="Area 1 (Meenu S)",'Master Sheet'!F142,"")</f>
        <v/>
      </c>
      <c r="G141" t="str">
        <f>IF('Master Sheet'!C142="Area 1 (Meenu S)",'Master Sheet'!G142,"")</f>
        <v/>
      </c>
      <c r="H141" t="str">
        <f>IF('Master Sheet'!C142="Area 1 (Meenu S)",'Master Sheet'!H142,"")</f>
        <v/>
      </c>
      <c r="I141" t="str">
        <f>IF('Master Sheet'!C142="Area 1 (Meenu S)",'Master Sheet'!I142,"")</f>
        <v/>
      </c>
      <c r="J141" t="str">
        <f>IF('Master Sheet'!C142="Area 1 (Meenu S)",'Master Sheet'!J142,"")</f>
        <v/>
      </c>
      <c r="K141" t="str">
        <f>IF('Master Sheet'!C142="Area 1 (Meenu S)",'Master Sheet'!K142,"")</f>
        <v/>
      </c>
      <c r="L141" t="str">
        <f>IF('Master Sheet'!C142="Area 1 (Meenu S)",'Master Sheet'!L142,"")</f>
        <v/>
      </c>
      <c r="M141" t="str">
        <f>IF('Master Sheet'!C142="Area 1 (Meenu S)",'Master Sheet'!M142,"")</f>
        <v/>
      </c>
      <c r="N141" t="str">
        <f>IF('Master Sheet'!C142="Area 1 (Meenu S)",'Master Sheet'!N142,"")</f>
        <v/>
      </c>
      <c r="O141" t="str">
        <f>IF('Master Sheet'!C142="Area 1 (Meenu S)",'Master Sheet'!O142,"")</f>
        <v/>
      </c>
      <c r="P141" t="str">
        <f>IF('Master Sheet'!C142="Area 1 (Meenu S)",'Master Sheet'!P142,"")</f>
        <v/>
      </c>
    </row>
    <row r="142" spans="1:16" hidden="1" x14ac:dyDescent="0.25">
      <c r="A142" t="str">
        <f>IF('Master Sheet'!C143="Area 1 (Meenu S)",'Master Sheet'!A143,"")</f>
        <v/>
      </c>
      <c r="B142" t="str">
        <f>IF('Master Sheet'!C143="Area 1 (Meenu S)",'Master Sheet'!B143,"")</f>
        <v/>
      </c>
      <c r="C142" t="s">
        <v>4</v>
      </c>
      <c r="D142" t="str">
        <f>IF('Master Sheet'!C143="Area 1 (Meenu S)",'Master Sheet'!D143,"")</f>
        <v/>
      </c>
      <c r="E142" t="str">
        <f>IF('Master Sheet'!C143="Area 1 (Meenu S)",'Master Sheet'!E143,"")</f>
        <v/>
      </c>
      <c r="F142" t="str">
        <f>IF('Master Sheet'!C143="Area 1 (Meenu S)",'Master Sheet'!F143,"")</f>
        <v/>
      </c>
      <c r="G142" t="str">
        <f>IF('Master Sheet'!C143="Area 1 (Meenu S)",'Master Sheet'!G143,"")</f>
        <v/>
      </c>
      <c r="H142" t="str">
        <f>IF('Master Sheet'!C143="Area 1 (Meenu S)",'Master Sheet'!H143,"")</f>
        <v/>
      </c>
      <c r="I142" t="str">
        <f>IF('Master Sheet'!C143="Area 1 (Meenu S)",'Master Sheet'!I143,"")</f>
        <v/>
      </c>
      <c r="J142" t="str">
        <f>IF('Master Sheet'!C143="Area 1 (Meenu S)",'Master Sheet'!J143,"")</f>
        <v/>
      </c>
      <c r="K142" t="str">
        <f>IF('Master Sheet'!C143="Area 1 (Meenu S)",'Master Sheet'!K143,"")</f>
        <v/>
      </c>
      <c r="L142" t="str">
        <f>IF('Master Sheet'!C143="Area 1 (Meenu S)",'Master Sheet'!L143,"")</f>
        <v/>
      </c>
      <c r="M142" t="str">
        <f>IF('Master Sheet'!C143="Area 1 (Meenu S)",'Master Sheet'!M143,"")</f>
        <v/>
      </c>
      <c r="N142" t="str">
        <f>IF('Master Sheet'!C143="Area 1 (Meenu S)",'Master Sheet'!N143,"")</f>
        <v/>
      </c>
      <c r="O142" t="str">
        <f>IF('Master Sheet'!C143="Area 1 (Meenu S)",'Master Sheet'!O143,"")</f>
        <v/>
      </c>
      <c r="P142" t="str">
        <f>IF('Master Sheet'!C143="Area 1 (Meenu S)",'Master Sheet'!P143,"")</f>
        <v/>
      </c>
    </row>
    <row r="143" spans="1:16" hidden="1" x14ac:dyDescent="0.25">
      <c r="A143" t="str">
        <f>IF('Master Sheet'!C144="Area 1 (Meenu S)",'Master Sheet'!A144,"")</f>
        <v/>
      </c>
      <c r="B143" t="str">
        <f>IF('Master Sheet'!C144="Area 1 (Meenu S)",'Master Sheet'!B144,"")</f>
        <v/>
      </c>
      <c r="C143" t="s">
        <v>4</v>
      </c>
      <c r="D143" t="str">
        <f>IF('Master Sheet'!C144="Area 1 (Meenu S)",'Master Sheet'!D144,"")</f>
        <v/>
      </c>
      <c r="E143" t="str">
        <f>IF('Master Sheet'!C144="Area 1 (Meenu S)",'Master Sheet'!E144,"")</f>
        <v/>
      </c>
      <c r="F143" t="str">
        <f>IF('Master Sheet'!C144="Area 1 (Meenu S)",'Master Sheet'!F144,"")</f>
        <v/>
      </c>
      <c r="G143" t="str">
        <f>IF('Master Sheet'!C144="Area 1 (Meenu S)",'Master Sheet'!G144,"")</f>
        <v/>
      </c>
      <c r="H143" t="str">
        <f>IF('Master Sheet'!C144="Area 1 (Meenu S)",'Master Sheet'!H144,"")</f>
        <v/>
      </c>
      <c r="I143" t="str">
        <f>IF('Master Sheet'!C144="Area 1 (Meenu S)",'Master Sheet'!I144,"")</f>
        <v/>
      </c>
      <c r="J143" t="str">
        <f>IF('Master Sheet'!C144="Area 1 (Meenu S)",'Master Sheet'!J144,"")</f>
        <v/>
      </c>
      <c r="K143" t="str">
        <f>IF('Master Sheet'!C144="Area 1 (Meenu S)",'Master Sheet'!K144,"")</f>
        <v/>
      </c>
      <c r="L143" t="str">
        <f>IF('Master Sheet'!C144="Area 1 (Meenu S)",'Master Sheet'!L144,"")</f>
        <v/>
      </c>
      <c r="M143" t="str">
        <f>IF('Master Sheet'!C144="Area 1 (Meenu S)",'Master Sheet'!M144,"")</f>
        <v/>
      </c>
      <c r="N143" t="str">
        <f>IF('Master Sheet'!C144="Area 1 (Meenu S)",'Master Sheet'!N144,"")</f>
        <v/>
      </c>
      <c r="O143" t="str">
        <f>IF('Master Sheet'!C144="Area 1 (Meenu S)",'Master Sheet'!O144,"")</f>
        <v/>
      </c>
      <c r="P143" t="str">
        <f>IF('Master Sheet'!C144="Area 1 (Meenu S)",'Master Sheet'!P144,"")</f>
        <v/>
      </c>
    </row>
    <row r="144" spans="1:16" hidden="1" x14ac:dyDescent="0.25">
      <c r="A144" t="str">
        <f>IF('Master Sheet'!C145="Area 1 (Meenu S)",'Master Sheet'!A145,"")</f>
        <v/>
      </c>
      <c r="B144" t="str">
        <f>IF('Master Sheet'!C145="Area 1 (Meenu S)",'Master Sheet'!B145,"")</f>
        <v/>
      </c>
      <c r="C144" t="s">
        <v>4</v>
      </c>
      <c r="D144" t="str">
        <f>IF('Master Sheet'!C145="Area 1 (Meenu S)",'Master Sheet'!D145,"")</f>
        <v/>
      </c>
      <c r="E144" t="str">
        <f>IF('Master Sheet'!C145="Area 1 (Meenu S)",'Master Sheet'!E145,"")</f>
        <v/>
      </c>
      <c r="F144" t="str">
        <f>IF('Master Sheet'!C145="Area 1 (Meenu S)",'Master Sheet'!F145,"")</f>
        <v/>
      </c>
      <c r="G144" t="str">
        <f>IF('Master Sheet'!C145="Area 1 (Meenu S)",'Master Sheet'!G145,"")</f>
        <v/>
      </c>
      <c r="H144" t="str">
        <f>IF('Master Sheet'!C145="Area 1 (Meenu S)",'Master Sheet'!H145,"")</f>
        <v/>
      </c>
      <c r="I144" t="str">
        <f>IF('Master Sheet'!C145="Area 1 (Meenu S)",'Master Sheet'!I145,"")</f>
        <v/>
      </c>
      <c r="J144" t="str">
        <f>IF('Master Sheet'!C145="Area 1 (Meenu S)",'Master Sheet'!J145,"")</f>
        <v/>
      </c>
      <c r="K144" t="str">
        <f>IF('Master Sheet'!C145="Area 1 (Meenu S)",'Master Sheet'!K145,"")</f>
        <v/>
      </c>
      <c r="L144" t="str">
        <f>IF('Master Sheet'!C145="Area 1 (Meenu S)",'Master Sheet'!L145,"")</f>
        <v/>
      </c>
      <c r="M144" t="str">
        <f>IF('Master Sheet'!C145="Area 1 (Meenu S)",'Master Sheet'!M145,"")</f>
        <v/>
      </c>
      <c r="N144" t="str">
        <f>IF('Master Sheet'!C145="Area 1 (Meenu S)",'Master Sheet'!N145,"")</f>
        <v/>
      </c>
      <c r="O144" t="str">
        <f>IF('Master Sheet'!C145="Area 1 (Meenu S)",'Master Sheet'!O145,"")</f>
        <v/>
      </c>
      <c r="P144" t="str">
        <f>IF('Master Sheet'!C145="Area 1 (Meenu S)",'Master Sheet'!P145,"")</f>
        <v/>
      </c>
    </row>
    <row r="145" spans="1:16" hidden="1" x14ac:dyDescent="0.25">
      <c r="A145" t="str">
        <f>IF('Master Sheet'!C146="Area 1 (Meenu S)",'Master Sheet'!A146,"")</f>
        <v/>
      </c>
      <c r="B145" t="str">
        <f>IF('Master Sheet'!C146="Area 1 (Meenu S)",'Master Sheet'!B146,"")</f>
        <v/>
      </c>
      <c r="C145" t="s">
        <v>4</v>
      </c>
      <c r="D145" t="str">
        <f>IF('Master Sheet'!C146="Area 1 (Meenu S)",'Master Sheet'!D146,"")</f>
        <v/>
      </c>
      <c r="E145" t="str">
        <f>IF('Master Sheet'!C146="Area 1 (Meenu S)",'Master Sheet'!E146,"")</f>
        <v/>
      </c>
      <c r="F145" t="str">
        <f>IF('Master Sheet'!C146="Area 1 (Meenu S)",'Master Sheet'!F146,"")</f>
        <v/>
      </c>
      <c r="G145" t="str">
        <f>IF('Master Sheet'!C146="Area 1 (Meenu S)",'Master Sheet'!G146,"")</f>
        <v/>
      </c>
      <c r="H145" t="str">
        <f>IF('Master Sheet'!C146="Area 1 (Meenu S)",'Master Sheet'!H146,"")</f>
        <v/>
      </c>
      <c r="I145" t="str">
        <f>IF('Master Sheet'!C146="Area 1 (Meenu S)",'Master Sheet'!I146,"")</f>
        <v/>
      </c>
      <c r="J145" t="str">
        <f>IF('Master Sheet'!C146="Area 1 (Meenu S)",'Master Sheet'!J146,"")</f>
        <v/>
      </c>
      <c r="K145" t="str">
        <f>IF('Master Sheet'!C146="Area 1 (Meenu S)",'Master Sheet'!K146,"")</f>
        <v/>
      </c>
      <c r="L145" t="str">
        <f>IF('Master Sheet'!C146="Area 1 (Meenu S)",'Master Sheet'!L146,"")</f>
        <v/>
      </c>
      <c r="M145" t="str">
        <f>IF('Master Sheet'!C146="Area 1 (Meenu S)",'Master Sheet'!M146,"")</f>
        <v/>
      </c>
      <c r="N145" t="str">
        <f>IF('Master Sheet'!C146="Area 1 (Meenu S)",'Master Sheet'!N146,"")</f>
        <v/>
      </c>
      <c r="O145" t="str">
        <f>IF('Master Sheet'!C146="Area 1 (Meenu S)",'Master Sheet'!O146,"")</f>
        <v/>
      </c>
      <c r="P145" t="str">
        <f>IF('Master Sheet'!C146="Area 1 (Meenu S)",'Master Sheet'!P146,"")</f>
        <v/>
      </c>
    </row>
    <row r="146" spans="1:16" hidden="1" x14ac:dyDescent="0.25">
      <c r="A146" t="str">
        <f>IF('Master Sheet'!C147="Area 1 (Meenu S)",'Master Sheet'!A147,"")</f>
        <v/>
      </c>
      <c r="B146" t="str">
        <f>IF('Master Sheet'!C147="Area 1 (Meenu S)",'Master Sheet'!B147,"")</f>
        <v/>
      </c>
      <c r="C146" t="s">
        <v>4</v>
      </c>
      <c r="D146" t="str">
        <f>IF('Master Sheet'!C147="Area 1 (Meenu S)",'Master Sheet'!D147,"")</f>
        <v/>
      </c>
      <c r="E146" t="str">
        <f>IF('Master Sheet'!C147="Area 1 (Meenu S)",'Master Sheet'!E147,"")</f>
        <v/>
      </c>
      <c r="F146" t="str">
        <f>IF('Master Sheet'!C147="Area 1 (Meenu S)",'Master Sheet'!F147,"")</f>
        <v/>
      </c>
      <c r="G146" t="str">
        <f>IF('Master Sheet'!C147="Area 1 (Meenu S)",'Master Sheet'!G147,"")</f>
        <v/>
      </c>
      <c r="H146" t="str">
        <f>IF('Master Sheet'!C147="Area 1 (Meenu S)",'Master Sheet'!H147,"")</f>
        <v/>
      </c>
      <c r="I146" t="str">
        <f>IF('Master Sheet'!C147="Area 1 (Meenu S)",'Master Sheet'!I147,"")</f>
        <v/>
      </c>
      <c r="J146" t="str">
        <f>IF('Master Sheet'!C147="Area 1 (Meenu S)",'Master Sheet'!J147,"")</f>
        <v/>
      </c>
      <c r="K146" t="str">
        <f>IF('Master Sheet'!C147="Area 1 (Meenu S)",'Master Sheet'!K147,"")</f>
        <v/>
      </c>
      <c r="L146" t="str">
        <f>IF('Master Sheet'!C147="Area 1 (Meenu S)",'Master Sheet'!L147,"")</f>
        <v/>
      </c>
      <c r="M146" t="str">
        <f>IF('Master Sheet'!C147="Area 1 (Meenu S)",'Master Sheet'!M147,"")</f>
        <v/>
      </c>
      <c r="N146" t="str">
        <f>IF('Master Sheet'!C147="Area 1 (Meenu S)",'Master Sheet'!N147,"")</f>
        <v/>
      </c>
      <c r="O146" t="str">
        <f>IF('Master Sheet'!C147="Area 1 (Meenu S)",'Master Sheet'!O147,"")</f>
        <v/>
      </c>
      <c r="P146" t="str">
        <f>IF('Master Sheet'!C147="Area 1 (Meenu S)",'Master Sheet'!P147,"")</f>
        <v/>
      </c>
    </row>
    <row r="147" spans="1:16" hidden="1" x14ac:dyDescent="0.25">
      <c r="A147" t="str">
        <f>IF('Master Sheet'!C148="Area 1 (Meenu S)",'Master Sheet'!A148,"")</f>
        <v/>
      </c>
      <c r="B147" t="str">
        <f>IF('Master Sheet'!C148="Area 1 (Meenu S)",'Master Sheet'!B148,"")</f>
        <v/>
      </c>
      <c r="C147" t="s">
        <v>4</v>
      </c>
      <c r="D147" t="str">
        <f>IF('Master Sheet'!C148="Area 1 (Meenu S)",'Master Sheet'!D148,"")</f>
        <v/>
      </c>
      <c r="E147" t="str">
        <f>IF('Master Sheet'!C148="Area 1 (Meenu S)",'Master Sheet'!E148,"")</f>
        <v/>
      </c>
      <c r="F147" t="str">
        <f>IF('Master Sheet'!C148="Area 1 (Meenu S)",'Master Sheet'!F148,"")</f>
        <v/>
      </c>
      <c r="G147" t="str">
        <f>IF('Master Sheet'!C148="Area 1 (Meenu S)",'Master Sheet'!G148,"")</f>
        <v/>
      </c>
      <c r="H147" t="str">
        <f>IF('Master Sheet'!C148="Area 1 (Meenu S)",'Master Sheet'!H148,"")</f>
        <v/>
      </c>
      <c r="I147" t="str">
        <f>IF('Master Sheet'!C148="Area 1 (Meenu S)",'Master Sheet'!I148,"")</f>
        <v/>
      </c>
      <c r="J147" t="str">
        <f>IF('Master Sheet'!C148="Area 1 (Meenu S)",'Master Sheet'!J148,"")</f>
        <v/>
      </c>
      <c r="K147" t="str">
        <f>IF('Master Sheet'!C148="Area 1 (Meenu S)",'Master Sheet'!K148,"")</f>
        <v/>
      </c>
      <c r="L147" t="str">
        <f>IF('Master Sheet'!C148="Area 1 (Meenu S)",'Master Sheet'!L148,"")</f>
        <v/>
      </c>
      <c r="M147" t="str">
        <f>IF('Master Sheet'!C148="Area 1 (Meenu S)",'Master Sheet'!M148,"")</f>
        <v/>
      </c>
      <c r="N147" t="str">
        <f>IF('Master Sheet'!C148="Area 1 (Meenu S)",'Master Sheet'!N148,"")</f>
        <v/>
      </c>
      <c r="O147" t="str">
        <f>IF('Master Sheet'!C148="Area 1 (Meenu S)",'Master Sheet'!O148,"")</f>
        <v/>
      </c>
      <c r="P147" t="str">
        <f>IF('Master Sheet'!C148="Area 1 (Meenu S)",'Master Sheet'!P148,"")</f>
        <v/>
      </c>
    </row>
    <row r="148" spans="1:16" hidden="1" x14ac:dyDescent="0.25">
      <c r="A148" t="str">
        <f>IF('Master Sheet'!C149="Area 1 (Meenu S)",'Master Sheet'!A149,"")</f>
        <v/>
      </c>
      <c r="B148" t="str">
        <f>IF('Master Sheet'!C149="Area 1 (Meenu S)",'Master Sheet'!B149,"")</f>
        <v/>
      </c>
      <c r="C148" t="s">
        <v>4</v>
      </c>
      <c r="D148" t="str">
        <f>IF('Master Sheet'!C149="Area 1 (Meenu S)",'Master Sheet'!D149,"")</f>
        <v/>
      </c>
      <c r="E148" t="str">
        <f>IF('Master Sheet'!C149="Area 1 (Meenu S)",'Master Sheet'!E149,"")</f>
        <v/>
      </c>
      <c r="F148" t="str">
        <f>IF('Master Sheet'!C149="Area 1 (Meenu S)",'Master Sheet'!F149,"")</f>
        <v/>
      </c>
      <c r="G148" t="str">
        <f>IF('Master Sheet'!C149="Area 1 (Meenu S)",'Master Sheet'!G149,"")</f>
        <v/>
      </c>
      <c r="H148" t="str">
        <f>IF('Master Sheet'!C149="Area 1 (Meenu S)",'Master Sheet'!H149,"")</f>
        <v/>
      </c>
      <c r="I148" t="str">
        <f>IF('Master Sheet'!C149="Area 1 (Meenu S)",'Master Sheet'!I149,"")</f>
        <v/>
      </c>
      <c r="J148" t="str">
        <f>IF('Master Sheet'!C149="Area 1 (Meenu S)",'Master Sheet'!J149,"")</f>
        <v/>
      </c>
      <c r="K148" t="str">
        <f>IF('Master Sheet'!C149="Area 1 (Meenu S)",'Master Sheet'!K149,"")</f>
        <v/>
      </c>
      <c r="L148" t="str">
        <f>IF('Master Sheet'!C149="Area 1 (Meenu S)",'Master Sheet'!L149,"")</f>
        <v/>
      </c>
      <c r="M148" t="str">
        <f>IF('Master Sheet'!C149="Area 1 (Meenu S)",'Master Sheet'!M149,"")</f>
        <v/>
      </c>
      <c r="N148" t="str">
        <f>IF('Master Sheet'!C149="Area 1 (Meenu S)",'Master Sheet'!N149,"")</f>
        <v/>
      </c>
      <c r="O148" t="str">
        <f>IF('Master Sheet'!C149="Area 1 (Meenu S)",'Master Sheet'!O149,"")</f>
        <v/>
      </c>
      <c r="P148" t="str">
        <f>IF('Master Sheet'!C149="Area 1 (Meenu S)",'Master Sheet'!P149,"")</f>
        <v/>
      </c>
    </row>
    <row r="149" spans="1:16" hidden="1" x14ac:dyDescent="0.25">
      <c r="A149" t="str">
        <f>IF('Master Sheet'!C150="Area 1 (Meenu S)",'Master Sheet'!A150,"")</f>
        <v/>
      </c>
      <c r="B149" t="str">
        <f>IF('Master Sheet'!C150="Area 1 (Meenu S)",'Master Sheet'!B150,"")</f>
        <v/>
      </c>
      <c r="C149" t="s">
        <v>4</v>
      </c>
      <c r="D149" t="str">
        <f>IF('Master Sheet'!C150="Area 1 (Meenu S)",'Master Sheet'!D150,"")</f>
        <v/>
      </c>
      <c r="E149" t="str">
        <f>IF('Master Sheet'!C150="Area 1 (Meenu S)",'Master Sheet'!E150,"")</f>
        <v/>
      </c>
      <c r="F149" t="str">
        <f>IF('Master Sheet'!C150="Area 1 (Meenu S)",'Master Sheet'!F150,"")</f>
        <v/>
      </c>
      <c r="G149" t="str">
        <f>IF('Master Sheet'!C150="Area 1 (Meenu S)",'Master Sheet'!G150,"")</f>
        <v/>
      </c>
      <c r="H149" t="str">
        <f>IF('Master Sheet'!C150="Area 1 (Meenu S)",'Master Sheet'!H150,"")</f>
        <v/>
      </c>
      <c r="I149" t="str">
        <f>IF('Master Sheet'!C150="Area 1 (Meenu S)",'Master Sheet'!I150,"")</f>
        <v/>
      </c>
      <c r="J149" t="str">
        <f>IF('Master Sheet'!C150="Area 1 (Meenu S)",'Master Sheet'!J150,"")</f>
        <v/>
      </c>
      <c r="K149" t="str">
        <f>IF('Master Sheet'!C150="Area 1 (Meenu S)",'Master Sheet'!K150,"")</f>
        <v/>
      </c>
      <c r="L149" t="str">
        <f>IF('Master Sheet'!C150="Area 1 (Meenu S)",'Master Sheet'!L150,"")</f>
        <v/>
      </c>
      <c r="M149" t="str">
        <f>IF('Master Sheet'!C150="Area 1 (Meenu S)",'Master Sheet'!M150,"")</f>
        <v/>
      </c>
      <c r="N149" t="str">
        <f>IF('Master Sheet'!C150="Area 1 (Meenu S)",'Master Sheet'!N150,"")</f>
        <v/>
      </c>
      <c r="O149" t="str">
        <f>IF('Master Sheet'!C150="Area 1 (Meenu S)",'Master Sheet'!O150,"")</f>
        <v/>
      </c>
      <c r="P149" t="str">
        <f>IF('Master Sheet'!C150="Area 1 (Meenu S)",'Master Sheet'!P150,"")</f>
        <v/>
      </c>
    </row>
    <row r="150" spans="1:16" hidden="1" x14ac:dyDescent="0.25">
      <c r="A150" t="str">
        <f>IF('Master Sheet'!C151="Area 1 (Meenu S)",'Master Sheet'!A151,"")</f>
        <v/>
      </c>
      <c r="B150" t="str">
        <f>IF('Master Sheet'!C151="Area 1 (Meenu S)",'Master Sheet'!B151,"")</f>
        <v/>
      </c>
      <c r="C150" t="s">
        <v>4</v>
      </c>
      <c r="D150" t="str">
        <f>IF('Master Sheet'!C151="Area 1 (Meenu S)",'Master Sheet'!D151,"")</f>
        <v/>
      </c>
      <c r="E150" t="str">
        <f>IF('Master Sheet'!C151="Area 1 (Meenu S)",'Master Sheet'!E151,"")</f>
        <v/>
      </c>
      <c r="F150" t="str">
        <f>IF('Master Sheet'!C151="Area 1 (Meenu S)",'Master Sheet'!F151,"")</f>
        <v/>
      </c>
      <c r="G150" t="str">
        <f>IF('Master Sheet'!C151="Area 1 (Meenu S)",'Master Sheet'!G151,"")</f>
        <v/>
      </c>
      <c r="H150" t="str">
        <f>IF('Master Sheet'!C151="Area 1 (Meenu S)",'Master Sheet'!H151,"")</f>
        <v/>
      </c>
      <c r="I150" t="str">
        <f>IF('Master Sheet'!C151="Area 1 (Meenu S)",'Master Sheet'!I151,"")</f>
        <v/>
      </c>
      <c r="J150" t="str">
        <f>IF('Master Sheet'!C151="Area 1 (Meenu S)",'Master Sheet'!J151,"")</f>
        <v/>
      </c>
      <c r="K150" t="str">
        <f>IF('Master Sheet'!C151="Area 1 (Meenu S)",'Master Sheet'!K151,"")</f>
        <v/>
      </c>
      <c r="L150" t="str">
        <f>IF('Master Sheet'!C151="Area 1 (Meenu S)",'Master Sheet'!L151,"")</f>
        <v/>
      </c>
      <c r="M150" t="str">
        <f>IF('Master Sheet'!C151="Area 1 (Meenu S)",'Master Sheet'!M151,"")</f>
        <v/>
      </c>
      <c r="N150" t="str">
        <f>IF('Master Sheet'!C151="Area 1 (Meenu S)",'Master Sheet'!N151,"")</f>
        <v/>
      </c>
      <c r="O150" t="str">
        <f>IF('Master Sheet'!C151="Area 1 (Meenu S)",'Master Sheet'!O151,"")</f>
        <v/>
      </c>
      <c r="P150" t="str">
        <f>IF('Master Sheet'!C151="Area 1 (Meenu S)",'Master Sheet'!P151,"")</f>
        <v/>
      </c>
    </row>
    <row r="151" spans="1:16" hidden="1" x14ac:dyDescent="0.25">
      <c r="A151" t="str">
        <f>IF('Master Sheet'!C152="Area 1 (Meenu S)",'Master Sheet'!A152,"")</f>
        <v/>
      </c>
      <c r="B151" t="str">
        <f>IF('Master Sheet'!C152="Area 1 (Meenu S)",'Master Sheet'!B152,"")</f>
        <v/>
      </c>
      <c r="C151" t="s">
        <v>4</v>
      </c>
      <c r="D151" t="str">
        <f>IF('Master Sheet'!C152="Area 1 (Meenu S)",'Master Sheet'!D152,"")</f>
        <v/>
      </c>
      <c r="E151" t="str">
        <f>IF('Master Sheet'!C152="Area 1 (Meenu S)",'Master Sheet'!E152,"")</f>
        <v/>
      </c>
      <c r="F151" t="str">
        <f>IF('Master Sheet'!C152="Area 1 (Meenu S)",'Master Sheet'!F152,"")</f>
        <v/>
      </c>
      <c r="G151" t="str">
        <f>IF('Master Sheet'!C152="Area 1 (Meenu S)",'Master Sheet'!G152,"")</f>
        <v/>
      </c>
      <c r="H151" t="str">
        <f>IF('Master Sheet'!C152="Area 1 (Meenu S)",'Master Sheet'!H152,"")</f>
        <v/>
      </c>
      <c r="I151" t="str">
        <f>IF('Master Sheet'!C152="Area 1 (Meenu S)",'Master Sheet'!I152,"")</f>
        <v/>
      </c>
      <c r="J151" t="str">
        <f>IF('Master Sheet'!C152="Area 1 (Meenu S)",'Master Sheet'!J152,"")</f>
        <v/>
      </c>
      <c r="K151" t="str">
        <f>IF('Master Sheet'!C152="Area 1 (Meenu S)",'Master Sheet'!K152,"")</f>
        <v/>
      </c>
      <c r="L151" t="str">
        <f>IF('Master Sheet'!C152="Area 1 (Meenu S)",'Master Sheet'!L152,"")</f>
        <v/>
      </c>
      <c r="M151" t="str">
        <f>IF('Master Sheet'!C152="Area 1 (Meenu S)",'Master Sheet'!M152,"")</f>
        <v/>
      </c>
      <c r="N151" t="str">
        <f>IF('Master Sheet'!C152="Area 1 (Meenu S)",'Master Sheet'!N152,"")</f>
        <v/>
      </c>
      <c r="O151" t="str">
        <f>IF('Master Sheet'!C152="Area 1 (Meenu S)",'Master Sheet'!O152,"")</f>
        <v/>
      </c>
      <c r="P151" t="str">
        <f>IF('Master Sheet'!C152="Area 1 (Meenu S)",'Master Sheet'!P152,"")</f>
        <v/>
      </c>
    </row>
    <row r="152" spans="1:16" ht="15.75" x14ac:dyDescent="0.25">
      <c r="A152" s="2"/>
      <c r="B152" s="2"/>
      <c r="D152" s="30">
        <f>SUBTOTAL(9,D2:D151)</f>
        <v>4600</v>
      </c>
      <c r="E152" s="30">
        <f t="shared" ref="E152:M152" si="0">SUBTOTAL(9,E2:E151)</f>
        <v>500</v>
      </c>
      <c r="F152" s="30">
        <f t="shared" si="0"/>
        <v>2350</v>
      </c>
      <c r="G152" s="30">
        <f t="shared" si="0"/>
        <v>8100</v>
      </c>
      <c r="H152" s="30">
        <f t="shared" si="0"/>
        <v>0</v>
      </c>
      <c r="I152" s="30">
        <f t="shared" si="0"/>
        <v>0</v>
      </c>
      <c r="J152" s="30">
        <f t="shared" si="0"/>
        <v>0</v>
      </c>
      <c r="K152" s="30">
        <f t="shared" si="0"/>
        <v>0</v>
      </c>
      <c r="L152" s="30">
        <f t="shared" si="0"/>
        <v>0</v>
      </c>
      <c r="M152" s="30">
        <f t="shared" si="0"/>
        <v>0</v>
      </c>
      <c r="N152" s="30">
        <f>D152+E152+F152+G152+H152+I152+J152+K152+L152+M152</f>
        <v>15550</v>
      </c>
      <c r="O152" s="31"/>
      <c r="P152" s="31"/>
    </row>
  </sheetData>
  <autoFilter ref="A1:P151">
    <filterColumn colId="0">
      <customFilters>
        <customFilter operator="notEqual" val=" "/>
      </customFilters>
    </filterColumn>
  </autoFilter>
  <printOptions horizontalCentered="1"/>
  <pageMargins left="0.75" right="0.75" top="1" bottom="1" header="0.5" footer="0.5"/>
  <pageSetup paperSize="8" scale="11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52"/>
  <sheetViews>
    <sheetView zoomScale="85" zoomScaleNormal="85" workbookViewId="0">
      <pane ySplit="32" topLeftCell="A33" activePane="bottomLeft" state="frozen"/>
      <selection activeCell="R176" activeCellId="1" sqref="O155 R176"/>
      <selection pane="bottomLeft" activeCell="O161" sqref="O161"/>
    </sheetView>
  </sheetViews>
  <sheetFormatPr defaultRowHeight="15" x14ac:dyDescent="0.25"/>
  <cols>
    <col min="1" max="1" width="12.28515625" customWidth="1"/>
    <col min="2" max="2" width="26.5703125" style="11" customWidth="1"/>
    <col min="3" max="3" width="3.42578125" hidden="1" customWidth="1"/>
    <col min="4" max="13" width="8.85546875" style="12"/>
    <col min="14" max="14" width="11.7109375" style="12" customWidth="1"/>
    <col min="15" max="15" width="11.5703125" style="12" customWidth="1"/>
    <col min="16" max="16" width="12.28515625" customWidth="1"/>
  </cols>
  <sheetData>
    <row r="1" spans="1:16" ht="19.899999999999999" customHeight="1" x14ac:dyDescent="0.25">
      <c r="A1" s="18" t="s">
        <v>11</v>
      </c>
      <c r="B1" s="19" t="s">
        <v>12</v>
      </c>
      <c r="C1" s="6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21" t="s">
        <v>23</v>
      </c>
      <c r="N1" s="21" t="s">
        <v>24</v>
      </c>
      <c r="O1" s="21" t="s">
        <v>25</v>
      </c>
      <c r="P1" s="18" t="s">
        <v>26</v>
      </c>
    </row>
    <row r="2" spans="1:16" hidden="1" x14ac:dyDescent="0.25">
      <c r="A2" t="str">
        <f>IF('Master Sheet'!C3="Area 2 (Viswakala S)",'Master Sheet'!A3,"")</f>
        <v/>
      </c>
      <c r="B2" t="str">
        <f>IF('Master Sheet'!C3="Area 2 (Viswakala S)",'Master Sheet'!B3,"")</f>
        <v/>
      </c>
      <c r="C2" t="s">
        <v>5</v>
      </c>
      <c r="D2" t="str">
        <f>IF('Master Sheet'!C3="Area 2 (Viswakala S)",'Master Sheet'!D3,"")</f>
        <v/>
      </c>
      <c r="E2" t="str">
        <f>IF('Master Sheet'!C3="Area 2 (Viswakala S)",'Master Sheet'!E3,"")</f>
        <v/>
      </c>
      <c r="F2" t="str">
        <f>IF('Master Sheet'!C3="Area 2 (Viswakala S)",'Master Sheet'!F3,"")</f>
        <v/>
      </c>
      <c r="G2" t="str">
        <f>IF('Master Sheet'!C3="Area 2 (Viswakala S)",'Master Sheet'!G3,"")</f>
        <v/>
      </c>
      <c r="H2" t="str">
        <f>IF('Master Sheet'!C3="Area 2 (Viswakala S)",'Master Sheet'!H3,"")</f>
        <v/>
      </c>
      <c r="I2" t="str">
        <f>IF('Master Sheet'!C3="Area 2 (Viswakala S)",'Master Sheet'!I3,"")</f>
        <v/>
      </c>
      <c r="J2" t="str">
        <f>IF('Master Sheet'!C3="Area 2 (Viswakala S)",'Master Sheet'!J3,"")</f>
        <v/>
      </c>
      <c r="K2" t="str">
        <f>IF('Master Sheet'!C3="Area 2 (Viswakala S)",'Master Sheet'!K3,"")</f>
        <v/>
      </c>
      <c r="L2" t="str">
        <f>IF('Master Sheet'!C3="Area 2 (Viswakala S)",'Master Sheet'!L3,"")</f>
        <v/>
      </c>
      <c r="M2" t="str">
        <f>IF('Master Sheet'!C3="Area 2 (Viswakala S)",'Master Sheet'!M3,"")</f>
        <v/>
      </c>
      <c r="N2" t="str">
        <f>IF('Master Sheet'!C3="Area 2 (Viswakala S)",'Master Sheet'!N3,"")</f>
        <v/>
      </c>
      <c r="O2" t="str">
        <f>IF('Master Sheet'!C3="Area 2 (Viswakala S)",'Master Sheet'!O3,"")</f>
        <v/>
      </c>
      <c r="P2" t="str">
        <f>IF('Master Sheet'!C3="Area 2 (Viswakala S)",'Master Sheet'!P3,"")</f>
        <v/>
      </c>
    </row>
    <row r="3" spans="1:16" hidden="1" x14ac:dyDescent="0.25">
      <c r="A3" t="str">
        <f>IF('Master Sheet'!C4="Area 2 (Viswakala S)",'Master Sheet'!A4,"")</f>
        <v/>
      </c>
      <c r="B3" t="str">
        <f>IF('Master Sheet'!C4="Area 2 (Viswakala S)",'Master Sheet'!B4,"")</f>
        <v/>
      </c>
      <c r="C3" t="s">
        <v>5</v>
      </c>
      <c r="D3" t="str">
        <f>IF('Master Sheet'!C4="Area 2 (Viswakala S)",'Master Sheet'!D4,"")</f>
        <v/>
      </c>
      <c r="E3" t="str">
        <f>IF('Master Sheet'!C4="Area 2 (Viswakala S)",'Master Sheet'!E4,"")</f>
        <v/>
      </c>
      <c r="F3" t="str">
        <f>IF('Master Sheet'!C4="Area 2 (Viswakala S)",'Master Sheet'!F4,"")</f>
        <v/>
      </c>
      <c r="G3" t="str">
        <f>IF('Master Sheet'!C4="Area 2 (Viswakala S)",'Master Sheet'!G4,"")</f>
        <v/>
      </c>
      <c r="H3" t="str">
        <f>IF('Master Sheet'!C4="Area 2 (Viswakala S)",'Master Sheet'!H4,"")</f>
        <v/>
      </c>
      <c r="I3" t="str">
        <f>IF('Master Sheet'!C4="Area 2 (Viswakala S)",'Master Sheet'!I4,"")</f>
        <v/>
      </c>
      <c r="J3" t="str">
        <f>IF('Master Sheet'!C4="Area 2 (Viswakala S)",'Master Sheet'!J4,"")</f>
        <v/>
      </c>
      <c r="K3" t="str">
        <f>IF('Master Sheet'!C4="Area 2 (Viswakala S)",'Master Sheet'!K4,"")</f>
        <v/>
      </c>
      <c r="L3" t="str">
        <f>IF('Master Sheet'!C4="Area 2 (Viswakala S)",'Master Sheet'!L4,"")</f>
        <v/>
      </c>
      <c r="M3" t="str">
        <f>IF('Master Sheet'!C4="Area 2 (Viswakala S)",'Master Sheet'!M4,"")</f>
        <v/>
      </c>
      <c r="N3" t="str">
        <f>IF('Master Sheet'!C4="Area 2 (Viswakala S)",'Master Sheet'!N4,"")</f>
        <v/>
      </c>
      <c r="O3" t="str">
        <f>IF('Master Sheet'!C4="Area 2 (Viswakala S)",'Master Sheet'!O4,"")</f>
        <v/>
      </c>
      <c r="P3" t="str">
        <f>IF('Master Sheet'!C4="Area 2 (Viswakala S)",'Master Sheet'!P4,"")</f>
        <v/>
      </c>
    </row>
    <row r="4" spans="1:16" hidden="1" x14ac:dyDescent="0.25">
      <c r="A4" t="str">
        <f>IF('Master Sheet'!C5="Area 2 (Viswakala S)",'Master Sheet'!A5,"")</f>
        <v/>
      </c>
      <c r="B4" t="str">
        <f>IF('Master Sheet'!C5="Area 2 (Viswakala S)",'Master Sheet'!B5,"")</f>
        <v/>
      </c>
      <c r="C4" t="s">
        <v>5</v>
      </c>
      <c r="D4" t="str">
        <f>IF('Master Sheet'!C5="Area 2 (Viswakala S)",'Master Sheet'!D5,"")</f>
        <v/>
      </c>
      <c r="E4" t="str">
        <f>IF('Master Sheet'!C5="Area 2 (Viswakala S)",'Master Sheet'!E5,"")</f>
        <v/>
      </c>
      <c r="F4" t="str">
        <f>IF('Master Sheet'!C5="Area 2 (Viswakala S)",'Master Sheet'!F5,"")</f>
        <v/>
      </c>
      <c r="G4" t="str">
        <f>IF('Master Sheet'!C5="Area 2 (Viswakala S)",'Master Sheet'!G5,"")</f>
        <v/>
      </c>
      <c r="H4" t="str">
        <f>IF('Master Sheet'!C5="Area 2 (Viswakala S)",'Master Sheet'!H5,"")</f>
        <v/>
      </c>
      <c r="I4" t="str">
        <f>IF('Master Sheet'!C5="Area 2 (Viswakala S)",'Master Sheet'!I5,"")</f>
        <v/>
      </c>
      <c r="J4" t="str">
        <f>IF('Master Sheet'!C5="Area 2 (Viswakala S)",'Master Sheet'!J5,"")</f>
        <v/>
      </c>
      <c r="K4" t="str">
        <f>IF('Master Sheet'!C5="Area 2 (Viswakala S)",'Master Sheet'!K5,"")</f>
        <v/>
      </c>
      <c r="L4" t="str">
        <f>IF('Master Sheet'!C5="Area 2 (Viswakala S)",'Master Sheet'!L5,"")</f>
        <v/>
      </c>
      <c r="M4" t="str">
        <f>IF('Master Sheet'!C5="Area 2 (Viswakala S)",'Master Sheet'!M5,"")</f>
        <v/>
      </c>
      <c r="N4" t="str">
        <f>IF('Master Sheet'!C5="Area 2 (Viswakala S)",'Master Sheet'!N5,"")</f>
        <v/>
      </c>
      <c r="O4" t="str">
        <f>IF('Master Sheet'!C5="Area 2 (Viswakala S)",'Master Sheet'!O5,"")</f>
        <v/>
      </c>
      <c r="P4" t="str">
        <f>IF('Master Sheet'!C5="Area 2 (Viswakala S)",'Master Sheet'!P5,"")</f>
        <v/>
      </c>
    </row>
    <row r="5" spans="1:16" hidden="1" x14ac:dyDescent="0.25">
      <c r="A5" t="str">
        <f>IF('Master Sheet'!C6="Area 2 (Viswakala S)",'Master Sheet'!A6,"")</f>
        <v/>
      </c>
      <c r="B5" t="str">
        <f>IF('Master Sheet'!C6="Area 2 (Viswakala S)",'Master Sheet'!B6,"")</f>
        <v/>
      </c>
      <c r="C5" t="s">
        <v>5</v>
      </c>
      <c r="D5" t="str">
        <f>IF('Master Sheet'!C6="Area 2 (Viswakala S)",'Master Sheet'!D6,"")</f>
        <v/>
      </c>
      <c r="E5" t="str">
        <f>IF('Master Sheet'!C6="Area 2 (Viswakala S)",'Master Sheet'!E6,"")</f>
        <v/>
      </c>
      <c r="F5" t="str">
        <f>IF('Master Sheet'!C6="Area 2 (Viswakala S)",'Master Sheet'!F6,"")</f>
        <v/>
      </c>
      <c r="G5" t="str">
        <f>IF('Master Sheet'!C6="Area 2 (Viswakala S)",'Master Sheet'!G6,"")</f>
        <v/>
      </c>
      <c r="H5" t="str">
        <f>IF('Master Sheet'!C6="Area 2 (Viswakala S)",'Master Sheet'!H6,"")</f>
        <v/>
      </c>
      <c r="I5" t="str">
        <f>IF('Master Sheet'!C6="Area 2 (Viswakala S)",'Master Sheet'!I6,"")</f>
        <v/>
      </c>
      <c r="J5" t="str">
        <f>IF('Master Sheet'!C6="Area 2 (Viswakala S)",'Master Sheet'!J6,"")</f>
        <v/>
      </c>
      <c r="K5" t="str">
        <f>IF('Master Sheet'!C6="Area 2 (Viswakala S)",'Master Sheet'!K6,"")</f>
        <v/>
      </c>
      <c r="L5" t="str">
        <f>IF('Master Sheet'!C6="Area 2 (Viswakala S)",'Master Sheet'!L6,"")</f>
        <v/>
      </c>
      <c r="M5" t="str">
        <f>IF('Master Sheet'!C6="Area 2 (Viswakala S)",'Master Sheet'!M6,"")</f>
        <v/>
      </c>
      <c r="N5" t="str">
        <f>IF('Master Sheet'!C6="Area 2 (Viswakala S)",'Master Sheet'!N6,"")</f>
        <v/>
      </c>
      <c r="O5" t="str">
        <f>IF('Master Sheet'!C6="Area 2 (Viswakala S)",'Master Sheet'!O6,"")</f>
        <v/>
      </c>
      <c r="P5" t="str">
        <f>IF('Master Sheet'!C6="Area 2 (Viswakala S)",'Master Sheet'!P6,"")</f>
        <v/>
      </c>
    </row>
    <row r="6" spans="1:16" hidden="1" x14ac:dyDescent="0.25">
      <c r="A6" t="str">
        <f>IF('Master Sheet'!C7="Area 2 (Viswakala S)",'Master Sheet'!A7,"")</f>
        <v/>
      </c>
      <c r="B6" t="str">
        <f>IF('Master Sheet'!C7="Area 2 (Viswakala S)",'Master Sheet'!B7,"")</f>
        <v/>
      </c>
      <c r="C6" t="s">
        <v>5</v>
      </c>
      <c r="D6" t="str">
        <f>IF('Master Sheet'!C7="Area 2 (Viswakala S)",'Master Sheet'!D7,"")</f>
        <v/>
      </c>
      <c r="E6" t="str">
        <f>IF('Master Sheet'!C7="Area 2 (Viswakala S)",'Master Sheet'!E7,"")</f>
        <v/>
      </c>
      <c r="F6" t="str">
        <f>IF('Master Sheet'!C7="Area 2 (Viswakala S)",'Master Sheet'!F7,"")</f>
        <v/>
      </c>
      <c r="G6" t="str">
        <f>IF('Master Sheet'!C7="Area 2 (Viswakala S)",'Master Sheet'!G7,"")</f>
        <v/>
      </c>
      <c r="H6" t="str">
        <f>IF('Master Sheet'!C7="Area 2 (Viswakala S)",'Master Sheet'!H7,"")</f>
        <v/>
      </c>
      <c r="I6" t="str">
        <f>IF('Master Sheet'!C7="Area 2 (Viswakala S)",'Master Sheet'!I7,"")</f>
        <v/>
      </c>
      <c r="J6" t="str">
        <f>IF('Master Sheet'!C7="Area 2 (Viswakala S)",'Master Sheet'!J7,"")</f>
        <v/>
      </c>
      <c r="K6" t="str">
        <f>IF('Master Sheet'!C7="Area 2 (Viswakala S)",'Master Sheet'!K7,"")</f>
        <v/>
      </c>
      <c r="L6" t="str">
        <f>IF('Master Sheet'!C7="Area 2 (Viswakala S)",'Master Sheet'!L7,"")</f>
        <v/>
      </c>
      <c r="M6" t="str">
        <f>IF('Master Sheet'!C7="Area 2 (Viswakala S)",'Master Sheet'!M7,"")</f>
        <v/>
      </c>
      <c r="N6" t="str">
        <f>IF('Master Sheet'!C7="Area 2 (Viswakala S)",'Master Sheet'!N7,"")</f>
        <v/>
      </c>
      <c r="O6" t="str">
        <f>IF('Master Sheet'!C7="Area 2 (Viswakala S)",'Master Sheet'!O7,"")</f>
        <v/>
      </c>
      <c r="P6" t="str">
        <f>IF('Master Sheet'!C7="Area 2 (Viswakala S)",'Master Sheet'!P7,"")</f>
        <v/>
      </c>
    </row>
    <row r="7" spans="1:16" hidden="1" x14ac:dyDescent="0.25">
      <c r="A7" t="str">
        <f>IF('Master Sheet'!C8="Area 2 (Viswakala S)",'Master Sheet'!A8,"")</f>
        <v/>
      </c>
      <c r="B7" t="str">
        <f>IF('Master Sheet'!C8="Area 2 (Viswakala S)",'Master Sheet'!B8,"")</f>
        <v/>
      </c>
      <c r="C7" t="s">
        <v>5</v>
      </c>
      <c r="D7" t="str">
        <f>IF('Master Sheet'!C8="Area 2 (Viswakala S)",'Master Sheet'!D8,"")</f>
        <v/>
      </c>
      <c r="E7" t="str">
        <f>IF('Master Sheet'!C8="Area 2 (Viswakala S)",'Master Sheet'!E8,"")</f>
        <v/>
      </c>
      <c r="F7" t="str">
        <f>IF('Master Sheet'!C8="Area 2 (Viswakala S)",'Master Sheet'!F8,"")</f>
        <v/>
      </c>
      <c r="G7" t="str">
        <f>IF('Master Sheet'!C8="Area 2 (Viswakala S)",'Master Sheet'!G8,"")</f>
        <v/>
      </c>
      <c r="H7" t="str">
        <f>IF('Master Sheet'!C8="Area 2 (Viswakala S)",'Master Sheet'!H8,"")</f>
        <v/>
      </c>
      <c r="I7" t="str">
        <f>IF('Master Sheet'!C8="Area 2 (Viswakala S)",'Master Sheet'!I8,"")</f>
        <v/>
      </c>
      <c r="J7" t="str">
        <f>IF('Master Sheet'!C8="Area 2 (Viswakala S)",'Master Sheet'!J8,"")</f>
        <v/>
      </c>
      <c r="K7" t="str">
        <f>IF('Master Sheet'!C8="Area 2 (Viswakala S)",'Master Sheet'!K8,"")</f>
        <v/>
      </c>
      <c r="L7" t="str">
        <f>IF('Master Sheet'!C8="Area 2 (Viswakala S)",'Master Sheet'!L8,"")</f>
        <v/>
      </c>
      <c r="M7" t="str">
        <f>IF('Master Sheet'!C8="Area 2 (Viswakala S)",'Master Sheet'!M8,"")</f>
        <v/>
      </c>
      <c r="N7" t="str">
        <f>IF('Master Sheet'!C8="Area 2 (Viswakala S)",'Master Sheet'!N8,"")</f>
        <v/>
      </c>
      <c r="O7" t="str">
        <f>IF('Master Sheet'!C8="Area 2 (Viswakala S)",'Master Sheet'!O8,"")</f>
        <v/>
      </c>
      <c r="P7" t="str">
        <f>IF('Master Sheet'!C8="Area 2 (Viswakala S)",'Master Sheet'!P8,"")</f>
        <v/>
      </c>
    </row>
    <row r="8" spans="1:16" hidden="1" x14ac:dyDescent="0.25">
      <c r="A8" t="str">
        <f>IF('Master Sheet'!C9="Area 2 (Viswakala S)",'Master Sheet'!A9,"")</f>
        <v/>
      </c>
      <c r="B8" t="str">
        <f>IF('Master Sheet'!C9="Area 2 (Viswakala S)",'Master Sheet'!B9,"")</f>
        <v/>
      </c>
      <c r="C8" t="s">
        <v>5</v>
      </c>
      <c r="D8" t="str">
        <f>IF('Master Sheet'!C9="Area 2 (Viswakala S)",'Master Sheet'!D9,"")</f>
        <v/>
      </c>
      <c r="E8" t="str">
        <f>IF('Master Sheet'!C9="Area 2 (Viswakala S)",'Master Sheet'!E9,"")</f>
        <v/>
      </c>
      <c r="F8" t="str">
        <f>IF('Master Sheet'!C9="Area 2 (Viswakala S)",'Master Sheet'!F9,"")</f>
        <v/>
      </c>
      <c r="G8" t="str">
        <f>IF('Master Sheet'!C9="Area 2 (Viswakala S)",'Master Sheet'!G9,"")</f>
        <v/>
      </c>
      <c r="H8" t="str">
        <f>IF('Master Sheet'!C9="Area 2 (Viswakala S)",'Master Sheet'!H9,"")</f>
        <v/>
      </c>
      <c r="I8" t="str">
        <f>IF('Master Sheet'!C9="Area 2 (Viswakala S)",'Master Sheet'!I9,"")</f>
        <v/>
      </c>
      <c r="J8" t="str">
        <f>IF('Master Sheet'!C9="Area 2 (Viswakala S)",'Master Sheet'!J9,"")</f>
        <v/>
      </c>
      <c r="K8" t="str">
        <f>IF('Master Sheet'!C9="Area 2 (Viswakala S)",'Master Sheet'!K9,"")</f>
        <v/>
      </c>
      <c r="L8" t="str">
        <f>IF('Master Sheet'!C9="Area 2 (Viswakala S)",'Master Sheet'!L9,"")</f>
        <v/>
      </c>
      <c r="M8" t="str">
        <f>IF('Master Sheet'!C9="Area 2 (Viswakala S)",'Master Sheet'!M9,"")</f>
        <v/>
      </c>
      <c r="N8" t="str">
        <f>IF('Master Sheet'!C9="Area 2 (Viswakala S)",'Master Sheet'!N9,"")</f>
        <v/>
      </c>
      <c r="O8" t="str">
        <f>IF('Master Sheet'!C9="Area 2 (Viswakala S)",'Master Sheet'!O9,"")</f>
        <v/>
      </c>
      <c r="P8" t="str">
        <f>IF('Master Sheet'!C9="Area 2 (Viswakala S)",'Master Sheet'!P9,"")</f>
        <v/>
      </c>
    </row>
    <row r="9" spans="1:16" hidden="1" x14ac:dyDescent="0.25">
      <c r="A9" t="str">
        <f>IF('Master Sheet'!C10="Area 2 (Viswakala S)",'Master Sheet'!A10,"")</f>
        <v/>
      </c>
      <c r="B9" t="str">
        <f>IF('Master Sheet'!C10="Area 2 (Viswakala S)",'Master Sheet'!B10,"")</f>
        <v/>
      </c>
      <c r="C9" t="s">
        <v>5</v>
      </c>
      <c r="D9" t="str">
        <f>IF('Master Sheet'!C10="Area 2 (Viswakala S)",'Master Sheet'!D10,"")</f>
        <v/>
      </c>
      <c r="E9" t="str">
        <f>IF('Master Sheet'!C10="Area 2 (Viswakala S)",'Master Sheet'!E10,"")</f>
        <v/>
      </c>
      <c r="F9" t="str">
        <f>IF('Master Sheet'!C10="Area 2 (Viswakala S)",'Master Sheet'!F10,"")</f>
        <v/>
      </c>
      <c r="G9" t="str">
        <f>IF('Master Sheet'!C10="Area 2 (Viswakala S)",'Master Sheet'!G10,"")</f>
        <v/>
      </c>
      <c r="H9" t="str">
        <f>IF('Master Sheet'!C10="Area 2 (Viswakala S)",'Master Sheet'!H10,"")</f>
        <v/>
      </c>
      <c r="I9" t="str">
        <f>IF('Master Sheet'!C10="Area 2 (Viswakala S)",'Master Sheet'!I10,"")</f>
        <v/>
      </c>
      <c r="J9" t="str">
        <f>IF('Master Sheet'!C10="Area 2 (Viswakala S)",'Master Sheet'!J10,"")</f>
        <v/>
      </c>
      <c r="K9" t="str">
        <f>IF('Master Sheet'!C10="Area 2 (Viswakala S)",'Master Sheet'!K10,"")</f>
        <v/>
      </c>
      <c r="L9" t="str">
        <f>IF('Master Sheet'!C10="Area 2 (Viswakala S)",'Master Sheet'!L10,"")</f>
        <v/>
      </c>
      <c r="M9" t="str">
        <f>IF('Master Sheet'!C10="Area 2 (Viswakala S)",'Master Sheet'!M10,"")</f>
        <v/>
      </c>
      <c r="N9" t="str">
        <f>IF('Master Sheet'!C10="Area 2 (Viswakala S)",'Master Sheet'!N10,"")</f>
        <v/>
      </c>
      <c r="O9" t="str">
        <f>IF('Master Sheet'!C10="Area 2 (Viswakala S)",'Master Sheet'!O10,"")</f>
        <v/>
      </c>
      <c r="P9" t="str">
        <f>IF('Master Sheet'!C10="Area 2 (Viswakala S)",'Master Sheet'!P10,"")</f>
        <v/>
      </c>
    </row>
    <row r="10" spans="1:16" hidden="1" x14ac:dyDescent="0.25">
      <c r="A10" t="str">
        <f>IF('Master Sheet'!C11="Area 2 (Viswakala S)",'Master Sheet'!A11,"")</f>
        <v/>
      </c>
      <c r="B10" t="str">
        <f>IF('Master Sheet'!C11="Area 2 (Viswakala S)",'Master Sheet'!B11,"")</f>
        <v/>
      </c>
      <c r="C10" t="s">
        <v>5</v>
      </c>
      <c r="D10" t="str">
        <f>IF('Master Sheet'!C11="Area 2 (Viswakala S)",'Master Sheet'!D11,"")</f>
        <v/>
      </c>
      <c r="E10" t="str">
        <f>IF('Master Sheet'!C11="Area 2 (Viswakala S)",'Master Sheet'!E11,"")</f>
        <v/>
      </c>
      <c r="F10" t="str">
        <f>IF('Master Sheet'!C11="Area 2 (Viswakala S)",'Master Sheet'!F11,"")</f>
        <v/>
      </c>
      <c r="G10" t="str">
        <f>IF('Master Sheet'!C11="Area 2 (Viswakala S)",'Master Sheet'!G11,"")</f>
        <v/>
      </c>
      <c r="H10" t="str">
        <f>IF('Master Sheet'!C11="Area 2 (Viswakala S)",'Master Sheet'!H11,"")</f>
        <v/>
      </c>
      <c r="I10" t="str">
        <f>IF('Master Sheet'!C11="Area 2 (Viswakala S)",'Master Sheet'!I11,"")</f>
        <v/>
      </c>
      <c r="J10" t="str">
        <f>IF('Master Sheet'!C11="Area 2 (Viswakala S)",'Master Sheet'!J11,"")</f>
        <v/>
      </c>
      <c r="K10" t="str">
        <f>IF('Master Sheet'!C11="Area 2 (Viswakala S)",'Master Sheet'!K11,"")</f>
        <v/>
      </c>
      <c r="L10" t="str">
        <f>IF('Master Sheet'!C11="Area 2 (Viswakala S)",'Master Sheet'!L11,"")</f>
        <v/>
      </c>
      <c r="M10" t="str">
        <f>IF('Master Sheet'!C11="Area 2 (Viswakala S)",'Master Sheet'!M11,"")</f>
        <v/>
      </c>
      <c r="N10" t="str">
        <f>IF('Master Sheet'!C11="Area 2 (Viswakala S)",'Master Sheet'!N11,"")</f>
        <v/>
      </c>
      <c r="O10" t="str">
        <f>IF('Master Sheet'!C11="Area 2 (Viswakala S)",'Master Sheet'!O11,"")</f>
        <v/>
      </c>
      <c r="P10" t="str">
        <f>IF('Master Sheet'!C11="Area 2 (Viswakala S)",'Master Sheet'!P11,"")</f>
        <v/>
      </c>
    </row>
    <row r="11" spans="1:16" hidden="1" x14ac:dyDescent="0.25">
      <c r="A11" t="str">
        <f>IF('Master Sheet'!C12="Area 2 (Viswakala S)",'Master Sheet'!A12,"")</f>
        <v/>
      </c>
      <c r="B11" t="str">
        <f>IF('Master Sheet'!C12="Area 2 (Viswakala S)",'Master Sheet'!B12,"")</f>
        <v/>
      </c>
      <c r="C11" t="s">
        <v>5</v>
      </c>
      <c r="D11" t="str">
        <f>IF('Master Sheet'!C12="Area 2 (Viswakala S)",'Master Sheet'!D12,"")</f>
        <v/>
      </c>
      <c r="E11" t="str">
        <f>IF('Master Sheet'!C12="Area 2 (Viswakala S)",'Master Sheet'!E12,"")</f>
        <v/>
      </c>
      <c r="F11" t="str">
        <f>IF('Master Sheet'!C12="Area 2 (Viswakala S)",'Master Sheet'!F12,"")</f>
        <v/>
      </c>
      <c r="G11" t="str">
        <f>IF('Master Sheet'!C12="Area 2 (Viswakala S)",'Master Sheet'!G12,"")</f>
        <v/>
      </c>
      <c r="H11" t="str">
        <f>IF('Master Sheet'!C12="Area 2 (Viswakala S)",'Master Sheet'!H12,"")</f>
        <v/>
      </c>
      <c r="I11" t="str">
        <f>IF('Master Sheet'!C12="Area 2 (Viswakala S)",'Master Sheet'!I12,"")</f>
        <v/>
      </c>
      <c r="J11" t="str">
        <f>IF('Master Sheet'!C12="Area 2 (Viswakala S)",'Master Sheet'!J12,"")</f>
        <v/>
      </c>
      <c r="K11" t="str">
        <f>IF('Master Sheet'!C12="Area 2 (Viswakala S)",'Master Sheet'!K12,"")</f>
        <v/>
      </c>
      <c r="L11" t="str">
        <f>IF('Master Sheet'!C12="Area 2 (Viswakala S)",'Master Sheet'!L12,"")</f>
        <v/>
      </c>
      <c r="M11" t="str">
        <f>IF('Master Sheet'!C12="Area 2 (Viswakala S)",'Master Sheet'!M12,"")</f>
        <v/>
      </c>
      <c r="N11" t="str">
        <f>IF('Master Sheet'!C12="Area 2 (Viswakala S)",'Master Sheet'!N12,"")</f>
        <v/>
      </c>
      <c r="O11" t="str">
        <f>IF('Master Sheet'!C12="Area 2 (Viswakala S)",'Master Sheet'!O12,"")</f>
        <v/>
      </c>
      <c r="P11" t="str">
        <f>IF('Master Sheet'!C12="Area 2 (Viswakala S)",'Master Sheet'!P12,"")</f>
        <v/>
      </c>
    </row>
    <row r="12" spans="1:16" hidden="1" x14ac:dyDescent="0.25">
      <c r="A12" t="str">
        <f>IF('Master Sheet'!C13="Area 2 (Viswakala S)",'Master Sheet'!A13,"")</f>
        <v/>
      </c>
      <c r="B12" t="str">
        <f>IF('Master Sheet'!C13="Area 2 (Viswakala S)",'Master Sheet'!B13,"")</f>
        <v/>
      </c>
      <c r="C12" t="s">
        <v>5</v>
      </c>
      <c r="D12" t="str">
        <f>IF('Master Sheet'!C13="Area 2 (Viswakala S)",'Master Sheet'!D13,"")</f>
        <v/>
      </c>
      <c r="E12" t="str">
        <f>IF('Master Sheet'!C13="Area 2 (Viswakala S)",'Master Sheet'!E13,"")</f>
        <v/>
      </c>
      <c r="F12" t="str">
        <f>IF('Master Sheet'!C13="Area 2 (Viswakala S)",'Master Sheet'!F13,"")</f>
        <v/>
      </c>
      <c r="G12" t="str">
        <f>IF('Master Sheet'!C13="Area 2 (Viswakala S)",'Master Sheet'!G13,"")</f>
        <v/>
      </c>
      <c r="H12" t="str">
        <f>IF('Master Sheet'!C13="Area 2 (Viswakala S)",'Master Sheet'!H13,"")</f>
        <v/>
      </c>
      <c r="I12" t="str">
        <f>IF('Master Sheet'!C13="Area 2 (Viswakala S)",'Master Sheet'!I13,"")</f>
        <v/>
      </c>
      <c r="J12" t="str">
        <f>IF('Master Sheet'!C13="Area 2 (Viswakala S)",'Master Sheet'!J13,"")</f>
        <v/>
      </c>
      <c r="K12" t="str">
        <f>IF('Master Sheet'!C13="Area 2 (Viswakala S)",'Master Sheet'!K13,"")</f>
        <v/>
      </c>
      <c r="L12" t="str">
        <f>IF('Master Sheet'!C13="Area 2 (Viswakala S)",'Master Sheet'!L13,"")</f>
        <v/>
      </c>
      <c r="M12" t="str">
        <f>IF('Master Sheet'!C13="Area 2 (Viswakala S)",'Master Sheet'!M13,"")</f>
        <v/>
      </c>
      <c r="N12" t="str">
        <f>IF('Master Sheet'!C13="Area 2 (Viswakala S)",'Master Sheet'!N13,"")</f>
        <v/>
      </c>
      <c r="O12" t="str">
        <f>IF('Master Sheet'!C13="Area 2 (Viswakala S)",'Master Sheet'!O13,"")</f>
        <v/>
      </c>
      <c r="P12" t="str">
        <f>IF('Master Sheet'!C13="Area 2 (Viswakala S)",'Master Sheet'!P13,"")</f>
        <v/>
      </c>
    </row>
    <row r="13" spans="1:16" hidden="1" x14ac:dyDescent="0.25">
      <c r="A13" t="str">
        <f>IF('Master Sheet'!C14="Area 2 (Viswakala S)",'Master Sheet'!A14,"")</f>
        <v/>
      </c>
      <c r="B13" t="str">
        <f>IF('Master Sheet'!C14="Area 2 (Viswakala S)",'Master Sheet'!B14,"")</f>
        <v/>
      </c>
      <c r="C13" t="s">
        <v>5</v>
      </c>
      <c r="D13" t="str">
        <f>IF('Master Sheet'!C14="Area 2 (Viswakala S)",'Master Sheet'!D14,"")</f>
        <v/>
      </c>
      <c r="E13" t="str">
        <f>IF('Master Sheet'!C14="Area 2 (Viswakala S)",'Master Sheet'!E14,"")</f>
        <v/>
      </c>
      <c r="F13" t="str">
        <f>IF('Master Sheet'!C14="Area 2 (Viswakala S)",'Master Sheet'!F14,"")</f>
        <v/>
      </c>
      <c r="G13" t="str">
        <f>IF('Master Sheet'!C14="Area 2 (Viswakala S)",'Master Sheet'!G14,"")</f>
        <v/>
      </c>
      <c r="H13" t="str">
        <f>IF('Master Sheet'!C14="Area 2 (Viswakala S)",'Master Sheet'!H14,"")</f>
        <v/>
      </c>
      <c r="I13" t="str">
        <f>IF('Master Sheet'!C14="Area 2 (Viswakala S)",'Master Sheet'!I14,"")</f>
        <v/>
      </c>
      <c r="J13" t="str">
        <f>IF('Master Sheet'!C14="Area 2 (Viswakala S)",'Master Sheet'!J14,"")</f>
        <v/>
      </c>
      <c r="K13" t="str">
        <f>IF('Master Sheet'!C14="Area 2 (Viswakala S)",'Master Sheet'!K14,"")</f>
        <v/>
      </c>
      <c r="L13" t="str">
        <f>IF('Master Sheet'!C14="Area 2 (Viswakala S)",'Master Sheet'!L14,"")</f>
        <v/>
      </c>
      <c r="M13" t="str">
        <f>IF('Master Sheet'!C14="Area 2 (Viswakala S)",'Master Sheet'!M14,"")</f>
        <v/>
      </c>
      <c r="N13" t="str">
        <f>IF('Master Sheet'!C14="Area 2 (Viswakala S)",'Master Sheet'!N14,"")</f>
        <v/>
      </c>
      <c r="O13" t="str">
        <f>IF('Master Sheet'!C14="Area 2 (Viswakala S)",'Master Sheet'!O14,"")</f>
        <v/>
      </c>
      <c r="P13" t="str">
        <f>IF('Master Sheet'!C14="Area 2 (Viswakala S)",'Master Sheet'!P14,"")</f>
        <v/>
      </c>
    </row>
    <row r="14" spans="1:16" hidden="1" x14ac:dyDescent="0.25">
      <c r="A14" t="str">
        <f>IF('Master Sheet'!C15="Area 2 (Viswakala S)",'Master Sheet'!A15,"")</f>
        <v/>
      </c>
      <c r="B14" t="str">
        <f>IF('Master Sheet'!C15="Area 2 (Viswakala S)",'Master Sheet'!B15,"")</f>
        <v/>
      </c>
      <c r="C14" t="s">
        <v>5</v>
      </c>
      <c r="D14" t="str">
        <f>IF('Master Sheet'!C15="Area 2 (Viswakala S)",'Master Sheet'!D15,"")</f>
        <v/>
      </c>
      <c r="E14" t="str">
        <f>IF('Master Sheet'!C15="Area 2 (Viswakala S)",'Master Sheet'!E15,"")</f>
        <v/>
      </c>
      <c r="F14" t="str">
        <f>IF('Master Sheet'!C15="Area 2 (Viswakala S)",'Master Sheet'!F15,"")</f>
        <v/>
      </c>
      <c r="G14" t="str">
        <f>IF('Master Sheet'!C15="Area 2 (Viswakala S)",'Master Sheet'!G15,"")</f>
        <v/>
      </c>
      <c r="H14" t="str">
        <f>IF('Master Sheet'!C15="Area 2 (Viswakala S)",'Master Sheet'!H15,"")</f>
        <v/>
      </c>
      <c r="I14" t="str">
        <f>IF('Master Sheet'!C15="Area 2 (Viswakala S)",'Master Sheet'!I15,"")</f>
        <v/>
      </c>
      <c r="J14" t="str">
        <f>IF('Master Sheet'!C15="Area 2 (Viswakala S)",'Master Sheet'!J15,"")</f>
        <v/>
      </c>
      <c r="K14" t="str">
        <f>IF('Master Sheet'!C15="Area 2 (Viswakala S)",'Master Sheet'!K15,"")</f>
        <v/>
      </c>
      <c r="L14" t="str">
        <f>IF('Master Sheet'!C15="Area 2 (Viswakala S)",'Master Sheet'!L15,"")</f>
        <v/>
      </c>
      <c r="M14" t="str">
        <f>IF('Master Sheet'!C15="Area 2 (Viswakala S)",'Master Sheet'!M15,"")</f>
        <v/>
      </c>
      <c r="N14" t="str">
        <f>IF('Master Sheet'!C15="Area 2 (Viswakala S)",'Master Sheet'!N15,"")</f>
        <v/>
      </c>
      <c r="O14" t="str">
        <f>IF('Master Sheet'!C15="Area 2 (Viswakala S)",'Master Sheet'!O15,"")</f>
        <v/>
      </c>
      <c r="P14" t="str">
        <f>IF('Master Sheet'!C15="Area 2 (Viswakala S)",'Master Sheet'!P15,"")</f>
        <v/>
      </c>
    </row>
    <row r="15" spans="1:16" hidden="1" x14ac:dyDescent="0.25">
      <c r="A15" t="str">
        <f>IF('Master Sheet'!C16="Area 2 (Viswakala S)",'Master Sheet'!A16,"")</f>
        <v/>
      </c>
      <c r="B15" t="str">
        <f>IF('Master Sheet'!C16="Area 2 (Viswakala S)",'Master Sheet'!B16,"")</f>
        <v/>
      </c>
      <c r="C15" t="s">
        <v>5</v>
      </c>
      <c r="D15" t="str">
        <f>IF('Master Sheet'!C16="Area 2 (Viswakala S)",'Master Sheet'!D16,"")</f>
        <v/>
      </c>
      <c r="E15" t="str">
        <f>IF('Master Sheet'!C16="Area 2 (Viswakala S)",'Master Sheet'!E16,"")</f>
        <v/>
      </c>
      <c r="F15" t="str">
        <f>IF('Master Sheet'!C16="Area 2 (Viswakala S)",'Master Sheet'!F16,"")</f>
        <v/>
      </c>
      <c r="G15" t="str">
        <f>IF('Master Sheet'!C16="Area 2 (Viswakala S)",'Master Sheet'!G16,"")</f>
        <v/>
      </c>
      <c r="H15" t="str">
        <f>IF('Master Sheet'!C16="Area 2 (Viswakala S)",'Master Sheet'!H16,"")</f>
        <v/>
      </c>
      <c r="I15" t="str">
        <f>IF('Master Sheet'!C16="Area 2 (Viswakala S)",'Master Sheet'!I16,"")</f>
        <v/>
      </c>
      <c r="J15" t="str">
        <f>IF('Master Sheet'!C16="Area 2 (Viswakala S)",'Master Sheet'!J16,"")</f>
        <v/>
      </c>
      <c r="K15" t="str">
        <f>IF('Master Sheet'!C16="Area 2 (Viswakala S)",'Master Sheet'!K16,"")</f>
        <v/>
      </c>
      <c r="L15" t="str">
        <f>IF('Master Sheet'!C16="Area 2 (Viswakala S)",'Master Sheet'!L16,"")</f>
        <v/>
      </c>
      <c r="M15" t="str">
        <f>IF('Master Sheet'!C16="Area 2 (Viswakala S)",'Master Sheet'!M16,"")</f>
        <v/>
      </c>
      <c r="N15" t="str">
        <f>IF('Master Sheet'!C16="Area 2 (Viswakala S)",'Master Sheet'!N16,"")</f>
        <v/>
      </c>
      <c r="O15" t="str">
        <f>IF('Master Sheet'!C16="Area 2 (Viswakala S)",'Master Sheet'!O16,"")</f>
        <v/>
      </c>
      <c r="P15" t="str">
        <f>IF('Master Sheet'!C16="Area 2 (Viswakala S)",'Master Sheet'!P16,"")</f>
        <v/>
      </c>
    </row>
    <row r="16" spans="1:16" hidden="1" x14ac:dyDescent="0.25">
      <c r="A16" t="str">
        <f>IF('Master Sheet'!C17="Area 2 (Viswakala S)",'Master Sheet'!A17,"")</f>
        <v/>
      </c>
      <c r="B16" t="str">
        <f>IF('Master Sheet'!C17="Area 2 (Viswakala S)",'Master Sheet'!B17,"")</f>
        <v/>
      </c>
      <c r="C16" t="s">
        <v>5</v>
      </c>
      <c r="D16" t="str">
        <f>IF('Master Sheet'!C17="Area 2 (Viswakala S)",'Master Sheet'!D17,"")</f>
        <v/>
      </c>
      <c r="E16" t="str">
        <f>IF('Master Sheet'!C17="Area 2 (Viswakala S)",'Master Sheet'!E17,"")</f>
        <v/>
      </c>
      <c r="F16" t="str">
        <f>IF('Master Sheet'!C17="Area 2 (Viswakala S)",'Master Sheet'!F17,"")</f>
        <v/>
      </c>
      <c r="G16" t="str">
        <f>IF('Master Sheet'!C17="Area 2 (Viswakala S)",'Master Sheet'!G17,"")</f>
        <v/>
      </c>
      <c r="H16" t="str">
        <f>IF('Master Sheet'!C17="Area 2 (Viswakala S)",'Master Sheet'!H17,"")</f>
        <v/>
      </c>
      <c r="I16" t="str">
        <f>IF('Master Sheet'!C17="Area 2 (Viswakala S)",'Master Sheet'!I17,"")</f>
        <v/>
      </c>
      <c r="J16" t="str">
        <f>IF('Master Sheet'!C17="Area 2 (Viswakala S)",'Master Sheet'!J17,"")</f>
        <v/>
      </c>
      <c r="K16" t="str">
        <f>IF('Master Sheet'!C17="Area 2 (Viswakala S)",'Master Sheet'!K17,"")</f>
        <v/>
      </c>
      <c r="L16" t="str">
        <f>IF('Master Sheet'!C17="Area 2 (Viswakala S)",'Master Sheet'!L17,"")</f>
        <v/>
      </c>
      <c r="M16" t="str">
        <f>IF('Master Sheet'!C17="Area 2 (Viswakala S)",'Master Sheet'!M17,"")</f>
        <v/>
      </c>
      <c r="N16" t="str">
        <f>IF('Master Sheet'!C17="Area 2 (Viswakala S)",'Master Sheet'!N17,"")</f>
        <v/>
      </c>
      <c r="O16" t="str">
        <f>IF('Master Sheet'!C17="Area 2 (Viswakala S)",'Master Sheet'!O17,"")</f>
        <v/>
      </c>
      <c r="P16" t="str">
        <f>IF('Master Sheet'!C17="Area 2 (Viswakala S)",'Master Sheet'!P17,"")</f>
        <v/>
      </c>
    </row>
    <row r="17" spans="1:16" hidden="1" x14ac:dyDescent="0.25">
      <c r="A17" t="str">
        <f>IF('Master Sheet'!C18="Area 2 (Viswakala S)",'Master Sheet'!A18,"")</f>
        <v/>
      </c>
      <c r="B17" t="str">
        <f>IF('Master Sheet'!C18="Area 2 (Viswakala S)",'Master Sheet'!B18,"")</f>
        <v/>
      </c>
      <c r="C17" t="s">
        <v>5</v>
      </c>
      <c r="D17" t="str">
        <f>IF('Master Sheet'!C18="Area 2 (Viswakala S)",'Master Sheet'!D18,"")</f>
        <v/>
      </c>
      <c r="E17" t="str">
        <f>IF('Master Sheet'!C18="Area 2 (Viswakala S)",'Master Sheet'!E18,"")</f>
        <v/>
      </c>
      <c r="F17" t="str">
        <f>IF('Master Sheet'!C18="Area 2 (Viswakala S)",'Master Sheet'!F18,"")</f>
        <v/>
      </c>
      <c r="G17" t="str">
        <f>IF('Master Sheet'!C18="Area 2 (Viswakala S)",'Master Sheet'!G18,"")</f>
        <v/>
      </c>
      <c r="H17" t="str">
        <f>IF('Master Sheet'!C18="Area 2 (Viswakala S)",'Master Sheet'!H18,"")</f>
        <v/>
      </c>
      <c r="I17" t="str">
        <f>IF('Master Sheet'!C18="Area 2 (Viswakala S)",'Master Sheet'!I18,"")</f>
        <v/>
      </c>
      <c r="J17" t="str">
        <f>IF('Master Sheet'!C18="Area 2 (Viswakala S)",'Master Sheet'!J18,"")</f>
        <v/>
      </c>
      <c r="K17" t="str">
        <f>IF('Master Sheet'!C18="Area 2 (Viswakala S)",'Master Sheet'!K18,"")</f>
        <v/>
      </c>
      <c r="L17" t="str">
        <f>IF('Master Sheet'!C18="Area 2 (Viswakala S)",'Master Sheet'!L18,"")</f>
        <v/>
      </c>
      <c r="M17" t="str">
        <f>IF('Master Sheet'!C18="Area 2 (Viswakala S)",'Master Sheet'!M18,"")</f>
        <v/>
      </c>
      <c r="N17" t="str">
        <f>IF('Master Sheet'!C18="Area 2 (Viswakala S)",'Master Sheet'!N18,"")</f>
        <v/>
      </c>
      <c r="O17" t="str">
        <f>IF('Master Sheet'!C18="Area 2 (Viswakala S)",'Master Sheet'!O18,"")</f>
        <v/>
      </c>
      <c r="P17" t="str">
        <f>IF('Master Sheet'!C18="Area 2 (Viswakala S)",'Master Sheet'!P18,"")</f>
        <v/>
      </c>
    </row>
    <row r="18" spans="1:16" hidden="1" x14ac:dyDescent="0.25">
      <c r="A18" t="str">
        <f>IF('Master Sheet'!C19="Area 2 (Viswakala S)",'Master Sheet'!A19,"")</f>
        <v/>
      </c>
      <c r="B18" t="str">
        <f>IF('Master Sheet'!C19="Area 2 (Viswakala S)",'Master Sheet'!B19,"")</f>
        <v/>
      </c>
      <c r="C18" t="s">
        <v>5</v>
      </c>
      <c r="D18" t="str">
        <f>IF('Master Sheet'!C19="Area 2 (Viswakala S)",'Master Sheet'!D19,"")</f>
        <v/>
      </c>
      <c r="E18" t="str">
        <f>IF('Master Sheet'!C19="Area 2 (Viswakala S)",'Master Sheet'!E19,"")</f>
        <v/>
      </c>
      <c r="F18" t="str">
        <f>IF('Master Sheet'!C19="Area 2 (Viswakala S)",'Master Sheet'!F19,"")</f>
        <v/>
      </c>
      <c r="G18" t="str">
        <f>IF('Master Sheet'!C19="Area 2 (Viswakala S)",'Master Sheet'!G19,"")</f>
        <v/>
      </c>
      <c r="H18" t="str">
        <f>IF('Master Sheet'!C19="Area 2 (Viswakala S)",'Master Sheet'!H19,"")</f>
        <v/>
      </c>
      <c r="I18" t="str">
        <f>IF('Master Sheet'!C19="Area 2 (Viswakala S)",'Master Sheet'!I19,"")</f>
        <v/>
      </c>
      <c r="J18" t="str">
        <f>IF('Master Sheet'!C19="Area 2 (Viswakala S)",'Master Sheet'!J19,"")</f>
        <v/>
      </c>
      <c r="K18" t="str">
        <f>IF('Master Sheet'!C19="Area 2 (Viswakala S)",'Master Sheet'!K19,"")</f>
        <v/>
      </c>
      <c r="L18" t="str">
        <f>IF('Master Sheet'!C19="Area 2 (Viswakala S)",'Master Sheet'!L19,"")</f>
        <v/>
      </c>
      <c r="M18" t="str">
        <f>IF('Master Sheet'!C19="Area 2 (Viswakala S)",'Master Sheet'!M19,"")</f>
        <v/>
      </c>
      <c r="N18" t="str">
        <f>IF('Master Sheet'!C19="Area 2 (Viswakala S)",'Master Sheet'!N19,"")</f>
        <v/>
      </c>
      <c r="O18" t="str">
        <f>IF('Master Sheet'!C19="Area 2 (Viswakala S)",'Master Sheet'!O19,"")</f>
        <v/>
      </c>
      <c r="P18" t="str">
        <f>IF('Master Sheet'!C19="Area 2 (Viswakala S)",'Master Sheet'!P19,"")</f>
        <v/>
      </c>
    </row>
    <row r="19" spans="1:16" hidden="1" x14ac:dyDescent="0.25">
      <c r="A19" t="str">
        <f>IF('Master Sheet'!C20="Area 2 (Viswakala S)",'Master Sheet'!A20,"")</f>
        <v/>
      </c>
      <c r="B19" t="str">
        <f>IF('Master Sheet'!C20="Area 2 (Viswakala S)",'Master Sheet'!B20,"")</f>
        <v/>
      </c>
      <c r="C19" t="s">
        <v>5</v>
      </c>
      <c r="D19" t="str">
        <f>IF('Master Sheet'!C20="Area 2 (Viswakala S)",'Master Sheet'!D20,"")</f>
        <v/>
      </c>
      <c r="E19" t="str">
        <f>IF('Master Sheet'!C20="Area 2 (Viswakala S)",'Master Sheet'!E20,"")</f>
        <v/>
      </c>
      <c r="F19" t="str">
        <f>IF('Master Sheet'!C20="Area 2 (Viswakala S)",'Master Sheet'!F20,"")</f>
        <v/>
      </c>
      <c r="G19" t="str">
        <f>IF('Master Sheet'!C20="Area 2 (Viswakala S)",'Master Sheet'!G20,"")</f>
        <v/>
      </c>
      <c r="H19" t="str">
        <f>IF('Master Sheet'!C20="Area 2 (Viswakala S)",'Master Sheet'!H20,"")</f>
        <v/>
      </c>
      <c r="I19" t="str">
        <f>IF('Master Sheet'!C20="Area 2 (Viswakala S)",'Master Sheet'!I20,"")</f>
        <v/>
      </c>
      <c r="J19" t="str">
        <f>IF('Master Sheet'!C20="Area 2 (Viswakala S)",'Master Sheet'!J20,"")</f>
        <v/>
      </c>
      <c r="K19" t="str">
        <f>IF('Master Sheet'!C20="Area 2 (Viswakala S)",'Master Sheet'!K20,"")</f>
        <v/>
      </c>
      <c r="L19" t="str">
        <f>IF('Master Sheet'!C20="Area 2 (Viswakala S)",'Master Sheet'!L20,"")</f>
        <v/>
      </c>
      <c r="M19" t="str">
        <f>IF('Master Sheet'!C20="Area 2 (Viswakala S)",'Master Sheet'!M20,"")</f>
        <v/>
      </c>
      <c r="N19" t="str">
        <f>IF('Master Sheet'!C20="Area 2 (Viswakala S)",'Master Sheet'!N20,"")</f>
        <v/>
      </c>
      <c r="O19" t="str">
        <f>IF('Master Sheet'!C20="Area 2 (Viswakala S)",'Master Sheet'!O20,"")</f>
        <v/>
      </c>
      <c r="P19" t="str">
        <f>IF('Master Sheet'!C20="Area 2 (Viswakala S)",'Master Sheet'!P20,"")</f>
        <v/>
      </c>
    </row>
    <row r="20" spans="1:16" hidden="1" x14ac:dyDescent="0.25">
      <c r="A20" t="str">
        <f>IF('Master Sheet'!C21="Area 2 (Viswakala S)",'Master Sheet'!A21,"")</f>
        <v/>
      </c>
      <c r="B20" t="str">
        <f>IF('Master Sheet'!C21="Area 2 (Viswakala S)",'Master Sheet'!B21,"")</f>
        <v/>
      </c>
      <c r="C20" t="s">
        <v>5</v>
      </c>
      <c r="D20" t="str">
        <f>IF('Master Sheet'!C21="Area 2 (Viswakala S)",'Master Sheet'!D21,"")</f>
        <v/>
      </c>
      <c r="E20" t="str">
        <f>IF('Master Sheet'!C21="Area 2 (Viswakala S)",'Master Sheet'!E21,"")</f>
        <v/>
      </c>
      <c r="F20" t="str">
        <f>IF('Master Sheet'!C21="Area 2 (Viswakala S)",'Master Sheet'!F21,"")</f>
        <v/>
      </c>
      <c r="G20" t="str">
        <f>IF('Master Sheet'!C21="Area 2 (Viswakala S)",'Master Sheet'!G21,"")</f>
        <v/>
      </c>
      <c r="H20" t="str">
        <f>IF('Master Sheet'!C21="Area 2 (Viswakala S)",'Master Sheet'!H21,"")</f>
        <v/>
      </c>
      <c r="I20" t="str">
        <f>IF('Master Sheet'!C21="Area 2 (Viswakala S)",'Master Sheet'!I21,"")</f>
        <v/>
      </c>
      <c r="J20" t="str">
        <f>IF('Master Sheet'!C21="Area 2 (Viswakala S)",'Master Sheet'!J21,"")</f>
        <v/>
      </c>
      <c r="K20" t="str">
        <f>IF('Master Sheet'!C21="Area 2 (Viswakala S)",'Master Sheet'!K21,"")</f>
        <v/>
      </c>
      <c r="L20" t="str">
        <f>IF('Master Sheet'!C21="Area 2 (Viswakala S)",'Master Sheet'!L21,"")</f>
        <v/>
      </c>
      <c r="M20" t="str">
        <f>IF('Master Sheet'!C21="Area 2 (Viswakala S)",'Master Sheet'!M21,"")</f>
        <v/>
      </c>
      <c r="N20" t="str">
        <f>IF('Master Sheet'!C21="Area 2 (Viswakala S)",'Master Sheet'!N21,"")</f>
        <v/>
      </c>
      <c r="O20" t="str">
        <f>IF('Master Sheet'!C21="Area 2 (Viswakala S)",'Master Sheet'!O21,"")</f>
        <v/>
      </c>
      <c r="P20" t="str">
        <f>IF('Master Sheet'!C21="Area 2 (Viswakala S)",'Master Sheet'!P21,"")</f>
        <v/>
      </c>
    </row>
    <row r="21" spans="1:16" hidden="1" x14ac:dyDescent="0.25">
      <c r="A21" t="str">
        <f>IF('Master Sheet'!C22="Area 2 (Viswakala S)",'Master Sheet'!A22,"")</f>
        <v/>
      </c>
      <c r="B21" t="str">
        <f>IF('Master Sheet'!C22="Area 2 (Viswakala S)",'Master Sheet'!B22,"")</f>
        <v/>
      </c>
      <c r="C21" t="s">
        <v>5</v>
      </c>
      <c r="D21" t="str">
        <f>IF('Master Sheet'!C22="Area 2 (Viswakala S)",'Master Sheet'!D22,"")</f>
        <v/>
      </c>
      <c r="E21" t="str">
        <f>IF('Master Sheet'!C22="Area 2 (Viswakala S)",'Master Sheet'!E22,"")</f>
        <v/>
      </c>
      <c r="F21" t="str">
        <f>IF('Master Sheet'!C22="Area 2 (Viswakala S)",'Master Sheet'!F22,"")</f>
        <v/>
      </c>
      <c r="G21" t="str">
        <f>IF('Master Sheet'!C22="Area 2 (Viswakala S)",'Master Sheet'!G22,"")</f>
        <v/>
      </c>
      <c r="H21" t="str">
        <f>IF('Master Sheet'!C22="Area 2 (Viswakala S)",'Master Sheet'!H22,"")</f>
        <v/>
      </c>
      <c r="I21" t="str">
        <f>IF('Master Sheet'!C22="Area 2 (Viswakala S)",'Master Sheet'!I22,"")</f>
        <v/>
      </c>
      <c r="J21" t="str">
        <f>IF('Master Sheet'!C22="Area 2 (Viswakala S)",'Master Sheet'!J22,"")</f>
        <v/>
      </c>
      <c r="K21" t="str">
        <f>IF('Master Sheet'!C22="Area 2 (Viswakala S)",'Master Sheet'!K22,"")</f>
        <v/>
      </c>
      <c r="L21" t="str">
        <f>IF('Master Sheet'!C22="Area 2 (Viswakala S)",'Master Sheet'!L22,"")</f>
        <v/>
      </c>
      <c r="M21" t="str">
        <f>IF('Master Sheet'!C22="Area 2 (Viswakala S)",'Master Sheet'!M22,"")</f>
        <v/>
      </c>
      <c r="N21" t="str">
        <f>IF('Master Sheet'!C22="Area 2 (Viswakala S)",'Master Sheet'!N22,"")</f>
        <v/>
      </c>
      <c r="O21" t="str">
        <f>IF('Master Sheet'!C22="Area 2 (Viswakala S)",'Master Sheet'!O22,"")</f>
        <v/>
      </c>
      <c r="P21" t="str">
        <f>IF('Master Sheet'!C22="Area 2 (Viswakala S)",'Master Sheet'!P22,"")</f>
        <v/>
      </c>
    </row>
    <row r="22" spans="1:16" hidden="1" x14ac:dyDescent="0.25">
      <c r="A22" t="str">
        <f>IF('Master Sheet'!C23="Area 2 (Viswakala S)",'Master Sheet'!A23,"")</f>
        <v/>
      </c>
      <c r="B22" t="str">
        <f>IF('Master Sheet'!C23="Area 2 (Viswakala S)",'Master Sheet'!B23,"")</f>
        <v/>
      </c>
      <c r="C22" t="s">
        <v>5</v>
      </c>
      <c r="D22" t="str">
        <f>IF('Master Sheet'!C23="Area 2 (Viswakala S)",'Master Sheet'!D23,"")</f>
        <v/>
      </c>
      <c r="E22" t="str">
        <f>IF('Master Sheet'!C23="Area 2 (Viswakala S)",'Master Sheet'!E23,"")</f>
        <v/>
      </c>
      <c r="F22" t="str">
        <f>IF('Master Sheet'!C23="Area 2 (Viswakala S)",'Master Sheet'!F23,"")</f>
        <v/>
      </c>
      <c r="G22" t="str">
        <f>IF('Master Sheet'!C23="Area 2 (Viswakala S)",'Master Sheet'!G23,"")</f>
        <v/>
      </c>
      <c r="H22" t="str">
        <f>IF('Master Sheet'!C23="Area 2 (Viswakala S)",'Master Sheet'!H23,"")</f>
        <v/>
      </c>
      <c r="I22" t="str">
        <f>IF('Master Sheet'!C23="Area 2 (Viswakala S)",'Master Sheet'!I23,"")</f>
        <v/>
      </c>
      <c r="J22" t="str">
        <f>IF('Master Sheet'!C23="Area 2 (Viswakala S)",'Master Sheet'!J23,"")</f>
        <v/>
      </c>
      <c r="K22" t="str">
        <f>IF('Master Sheet'!C23="Area 2 (Viswakala S)",'Master Sheet'!K23,"")</f>
        <v/>
      </c>
      <c r="L22" t="str">
        <f>IF('Master Sheet'!C23="Area 2 (Viswakala S)",'Master Sheet'!L23,"")</f>
        <v/>
      </c>
      <c r="M22" t="str">
        <f>IF('Master Sheet'!C23="Area 2 (Viswakala S)",'Master Sheet'!M23,"")</f>
        <v/>
      </c>
      <c r="N22" t="str">
        <f>IF('Master Sheet'!C23="Area 2 (Viswakala S)",'Master Sheet'!N23,"")</f>
        <v/>
      </c>
      <c r="O22" t="str">
        <f>IF('Master Sheet'!C23="Area 2 (Viswakala S)",'Master Sheet'!O23,"")</f>
        <v/>
      </c>
      <c r="P22" t="str">
        <f>IF('Master Sheet'!C23="Area 2 (Viswakala S)",'Master Sheet'!P23,"")</f>
        <v/>
      </c>
    </row>
    <row r="23" spans="1:16" hidden="1" x14ac:dyDescent="0.25">
      <c r="A23" t="str">
        <f>IF('Master Sheet'!C24="Area 2 (Viswakala S)",'Master Sheet'!A24,"")</f>
        <v/>
      </c>
      <c r="B23" t="str">
        <f>IF('Master Sheet'!C24="Area 2 (Viswakala S)",'Master Sheet'!B24,"")</f>
        <v/>
      </c>
      <c r="C23" t="s">
        <v>5</v>
      </c>
      <c r="D23" t="str">
        <f>IF('Master Sheet'!C24="Area 2 (Viswakala S)",'Master Sheet'!D24,"")</f>
        <v/>
      </c>
      <c r="E23" t="str">
        <f>IF('Master Sheet'!C24="Area 2 (Viswakala S)",'Master Sheet'!E24,"")</f>
        <v/>
      </c>
      <c r="F23" t="str">
        <f>IF('Master Sheet'!C24="Area 2 (Viswakala S)",'Master Sheet'!F24,"")</f>
        <v/>
      </c>
      <c r="G23" t="str">
        <f>IF('Master Sheet'!C24="Area 2 (Viswakala S)",'Master Sheet'!G24,"")</f>
        <v/>
      </c>
      <c r="H23" t="str">
        <f>IF('Master Sheet'!C24="Area 2 (Viswakala S)",'Master Sheet'!H24,"")</f>
        <v/>
      </c>
      <c r="I23" t="str">
        <f>IF('Master Sheet'!C24="Area 2 (Viswakala S)",'Master Sheet'!I24,"")</f>
        <v/>
      </c>
      <c r="J23" t="str">
        <f>IF('Master Sheet'!C24="Area 2 (Viswakala S)",'Master Sheet'!J24,"")</f>
        <v/>
      </c>
      <c r="K23" t="str">
        <f>IF('Master Sheet'!C24="Area 2 (Viswakala S)",'Master Sheet'!K24,"")</f>
        <v/>
      </c>
      <c r="L23" t="str">
        <f>IF('Master Sheet'!C24="Area 2 (Viswakala S)",'Master Sheet'!L24,"")</f>
        <v/>
      </c>
      <c r="M23" t="str">
        <f>IF('Master Sheet'!C24="Area 2 (Viswakala S)",'Master Sheet'!M24,"")</f>
        <v/>
      </c>
      <c r="N23" t="str">
        <f>IF('Master Sheet'!C24="Area 2 (Viswakala S)",'Master Sheet'!N24,"")</f>
        <v/>
      </c>
      <c r="O23" t="str">
        <f>IF('Master Sheet'!C24="Area 2 (Viswakala S)",'Master Sheet'!O24,"")</f>
        <v/>
      </c>
      <c r="P23" t="str">
        <f>IF('Master Sheet'!C24="Area 2 (Viswakala S)",'Master Sheet'!P24,"")</f>
        <v/>
      </c>
    </row>
    <row r="24" spans="1:16" hidden="1" x14ac:dyDescent="0.25">
      <c r="A24" t="str">
        <f>IF('Master Sheet'!C25="Area 2 (Viswakala S)",'Master Sheet'!A25,"")</f>
        <v/>
      </c>
      <c r="B24" t="str">
        <f>IF('Master Sheet'!C25="Area 2 (Viswakala S)",'Master Sheet'!B25,"")</f>
        <v/>
      </c>
      <c r="C24" t="s">
        <v>5</v>
      </c>
      <c r="D24" t="str">
        <f>IF('Master Sheet'!C25="Area 2 (Viswakala S)",'Master Sheet'!D25,"")</f>
        <v/>
      </c>
      <c r="E24" t="str">
        <f>IF('Master Sheet'!C25="Area 2 (Viswakala S)",'Master Sheet'!E25,"")</f>
        <v/>
      </c>
      <c r="F24" t="str">
        <f>IF('Master Sheet'!C25="Area 2 (Viswakala S)",'Master Sheet'!F25,"")</f>
        <v/>
      </c>
      <c r="G24" t="str">
        <f>IF('Master Sheet'!C25="Area 2 (Viswakala S)",'Master Sheet'!G25,"")</f>
        <v/>
      </c>
      <c r="H24" t="str">
        <f>IF('Master Sheet'!C25="Area 2 (Viswakala S)",'Master Sheet'!H25,"")</f>
        <v/>
      </c>
      <c r="I24" t="str">
        <f>IF('Master Sheet'!C25="Area 2 (Viswakala S)",'Master Sheet'!I25,"")</f>
        <v/>
      </c>
      <c r="J24" t="str">
        <f>IF('Master Sheet'!C25="Area 2 (Viswakala S)",'Master Sheet'!J25,"")</f>
        <v/>
      </c>
      <c r="K24" t="str">
        <f>IF('Master Sheet'!C25="Area 2 (Viswakala S)",'Master Sheet'!K25,"")</f>
        <v/>
      </c>
      <c r="L24" t="str">
        <f>IF('Master Sheet'!C25="Area 2 (Viswakala S)",'Master Sheet'!L25,"")</f>
        <v/>
      </c>
      <c r="M24" t="str">
        <f>IF('Master Sheet'!C25="Area 2 (Viswakala S)",'Master Sheet'!M25,"")</f>
        <v/>
      </c>
      <c r="N24" t="str">
        <f>IF('Master Sheet'!C25="Area 2 (Viswakala S)",'Master Sheet'!N25,"")</f>
        <v/>
      </c>
      <c r="O24" t="str">
        <f>IF('Master Sheet'!C25="Area 2 (Viswakala S)",'Master Sheet'!O25,"")</f>
        <v/>
      </c>
      <c r="P24" t="str">
        <f>IF('Master Sheet'!C25="Area 2 (Viswakala S)",'Master Sheet'!P25,"")</f>
        <v/>
      </c>
    </row>
    <row r="25" spans="1:16" hidden="1" x14ac:dyDescent="0.25">
      <c r="A25" t="str">
        <f>IF('Master Sheet'!C26="Area 2 (Viswakala S)",'Master Sheet'!A26,"")</f>
        <v/>
      </c>
      <c r="B25" t="str">
        <f>IF('Master Sheet'!C26="Area 2 (Viswakala S)",'Master Sheet'!B26,"")</f>
        <v/>
      </c>
      <c r="C25" t="s">
        <v>5</v>
      </c>
      <c r="D25" t="str">
        <f>IF('Master Sheet'!C26="Area 2 (Viswakala S)",'Master Sheet'!D26,"")</f>
        <v/>
      </c>
      <c r="E25" t="str">
        <f>IF('Master Sheet'!C26="Area 2 (Viswakala S)",'Master Sheet'!E26,"")</f>
        <v/>
      </c>
      <c r="F25" t="str">
        <f>IF('Master Sheet'!C26="Area 2 (Viswakala S)",'Master Sheet'!F26,"")</f>
        <v/>
      </c>
      <c r="G25" t="str">
        <f>IF('Master Sheet'!C26="Area 2 (Viswakala S)",'Master Sheet'!G26,"")</f>
        <v/>
      </c>
      <c r="H25" t="str">
        <f>IF('Master Sheet'!C26="Area 2 (Viswakala S)",'Master Sheet'!H26,"")</f>
        <v/>
      </c>
      <c r="I25" t="str">
        <f>IF('Master Sheet'!C26="Area 2 (Viswakala S)",'Master Sheet'!I26,"")</f>
        <v/>
      </c>
      <c r="J25" t="str">
        <f>IF('Master Sheet'!C26="Area 2 (Viswakala S)",'Master Sheet'!J26,"")</f>
        <v/>
      </c>
      <c r="K25" t="str">
        <f>IF('Master Sheet'!C26="Area 2 (Viswakala S)",'Master Sheet'!K26,"")</f>
        <v/>
      </c>
      <c r="L25" t="str">
        <f>IF('Master Sheet'!C26="Area 2 (Viswakala S)",'Master Sheet'!L26,"")</f>
        <v/>
      </c>
      <c r="M25" t="str">
        <f>IF('Master Sheet'!C26="Area 2 (Viswakala S)",'Master Sheet'!M26,"")</f>
        <v/>
      </c>
      <c r="N25" t="str">
        <f>IF('Master Sheet'!C26="Area 2 (Viswakala S)",'Master Sheet'!N26,"")</f>
        <v/>
      </c>
      <c r="O25" t="str">
        <f>IF('Master Sheet'!C26="Area 2 (Viswakala S)",'Master Sheet'!O26,"")</f>
        <v/>
      </c>
      <c r="P25" t="str">
        <f>IF('Master Sheet'!C26="Area 2 (Viswakala S)",'Master Sheet'!P26,"")</f>
        <v/>
      </c>
    </row>
    <row r="26" spans="1:16" hidden="1" x14ac:dyDescent="0.25">
      <c r="A26" t="str">
        <f>IF('Master Sheet'!C27="Area 2 (Viswakala S)",'Master Sheet'!A27,"")</f>
        <v/>
      </c>
      <c r="B26" t="str">
        <f>IF('Master Sheet'!C27="Area 2 (Viswakala S)",'Master Sheet'!B27,"")</f>
        <v/>
      </c>
      <c r="C26" t="s">
        <v>5</v>
      </c>
      <c r="D26" t="str">
        <f>IF('Master Sheet'!C27="Area 2 (Viswakala S)",'Master Sheet'!D27,"")</f>
        <v/>
      </c>
      <c r="E26" t="str">
        <f>IF('Master Sheet'!C27="Area 2 (Viswakala S)",'Master Sheet'!E27,"")</f>
        <v/>
      </c>
      <c r="F26" t="str">
        <f>IF('Master Sheet'!C27="Area 2 (Viswakala S)",'Master Sheet'!F27,"")</f>
        <v/>
      </c>
      <c r="G26" t="str">
        <f>IF('Master Sheet'!C27="Area 2 (Viswakala S)",'Master Sheet'!G27,"")</f>
        <v/>
      </c>
      <c r="H26" t="str">
        <f>IF('Master Sheet'!C27="Area 2 (Viswakala S)",'Master Sheet'!H27,"")</f>
        <v/>
      </c>
      <c r="I26" t="str">
        <f>IF('Master Sheet'!C27="Area 2 (Viswakala S)",'Master Sheet'!I27,"")</f>
        <v/>
      </c>
      <c r="J26" t="str">
        <f>IF('Master Sheet'!C27="Area 2 (Viswakala S)",'Master Sheet'!J27,"")</f>
        <v/>
      </c>
      <c r="K26" t="str">
        <f>IF('Master Sheet'!C27="Area 2 (Viswakala S)",'Master Sheet'!K27,"")</f>
        <v/>
      </c>
      <c r="L26" t="str">
        <f>IF('Master Sheet'!C27="Area 2 (Viswakala S)",'Master Sheet'!L27,"")</f>
        <v/>
      </c>
      <c r="M26" t="str">
        <f>IF('Master Sheet'!C27="Area 2 (Viswakala S)",'Master Sheet'!M27,"")</f>
        <v/>
      </c>
      <c r="N26" t="str">
        <f>IF('Master Sheet'!C27="Area 2 (Viswakala S)",'Master Sheet'!N27,"")</f>
        <v/>
      </c>
      <c r="O26" t="str">
        <f>IF('Master Sheet'!C27="Area 2 (Viswakala S)",'Master Sheet'!O27,"")</f>
        <v/>
      </c>
      <c r="P26" t="str">
        <f>IF('Master Sheet'!C27="Area 2 (Viswakala S)",'Master Sheet'!P27,"")</f>
        <v/>
      </c>
    </row>
    <row r="27" spans="1:16" hidden="1" x14ac:dyDescent="0.25">
      <c r="A27" t="str">
        <f>IF('Master Sheet'!C28="Area 2 (Viswakala S)",'Master Sheet'!A28,"")</f>
        <v/>
      </c>
      <c r="B27" t="str">
        <f>IF('Master Sheet'!C28="Area 2 (Viswakala S)",'Master Sheet'!B28,"")</f>
        <v/>
      </c>
      <c r="C27" t="s">
        <v>5</v>
      </c>
      <c r="D27" t="str">
        <f>IF('Master Sheet'!C28="Area 2 (Viswakala S)",'Master Sheet'!D28,"")</f>
        <v/>
      </c>
      <c r="E27" t="str">
        <f>IF('Master Sheet'!C28="Area 2 (Viswakala S)",'Master Sheet'!E28,"")</f>
        <v/>
      </c>
      <c r="F27" t="str">
        <f>IF('Master Sheet'!C28="Area 2 (Viswakala S)",'Master Sheet'!F28,"")</f>
        <v/>
      </c>
      <c r="G27" t="str">
        <f>IF('Master Sheet'!C28="Area 2 (Viswakala S)",'Master Sheet'!G28,"")</f>
        <v/>
      </c>
      <c r="H27" t="str">
        <f>IF('Master Sheet'!C28="Area 2 (Viswakala S)",'Master Sheet'!H28,"")</f>
        <v/>
      </c>
      <c r="I27" t="str">
        <f>IF('Master Sheet'!C28="Area 2 (Viswakala S)",'Master Sheet'!I28,"")</f>
        <v/>
      </c>
      <c r="J27" t="str">
        <f>IF('Master Sheet'!C28="Area 2 (Viswakala S)",'Master Sheet'!J28,"")</f>
        <v/>
      </c>
      <c r="K27" t="str">
        <f>IF('Master Sheet'!C28="Area 2 (Viswakala S)",'Master Sheet'!K28,"")</f>
        <v/>
      </c>
      <c r="L27" t="str">
        <f>IF('Master Sheet'!C28="Area 2 (Viswakala S)",'Master Sheet'!L28,"")</f>
        <v/>
      </c>
      <c r="M27" t="str">
        <f>IF('Master Sheet'!C28="Area 2 (Viswakala S)",'Master Sheet'!M28,"")</f>
        <v/>
      </c>
      <c r="N27" t="str">
        <f>IF('Master Sheet'!C28="Area 2 (Viswakala S)",'Master Sheet'!N28,"")</f>
        <v/>
      </c>
      <c r="O27" t="str">
        <f>IF('Master Sheet'!C28="Area 2 (Viswakala S)",'Master Sheet'!O28,"")</f>
        <v/>
      </c>
      <c r="P27" t="str">
        <f>IF('Master Sheet'!C28="Area 2 (Viswakala S)",'Master Sheet'!P28,"")</f>
        <v/>
      </c>
    </row>
    <row r="28" spans="1:16" hidden="1" x14ac:dyDescent="0.25">
      <c r="A28" t="str">
        <f>IF('Master Sheet'!C29="Area 2 (Viswakala S)",'Master Sheet'!A29,"")</f>
        <v/>
      </c>
      <c r="B28" t="str">
        <f>IF('Master Sheet'!C29="Area 2 (Viswakala S)",'Master Sheet'!B29,"")</f>
        <v/>
      </c>
      <c r="C28" t="s">
        <v>5</v>
      </c>
      <c r="D28" t="str">
        <f>IF('Master Sheet'!C29="Area 2 (Viswakala S)",'Master Sheet'!D29,"")</f>
        <v/>
      </c>
      <c r="E28" t="str">
        <f>IF('Master Sheet'!C29="Area 2 (Viswakala S)",'Master Sheet'!E29,"")</f>
        <v/>
      </c>
      <c r="F28" t="str">
        <f>IF('Master Sheet'!C29="Area 2 (Viswakala S)",'Master Sheet'!F29,"")</f>
        <v/>
      </c>
      <c r="G28" t="str">
        <f>IF('Master Sheet'!C29="Area 2 (Viswakala S)",'Master Sheet'!G29,"")</f>
        <v/>
      </c>
      <c r="H28" t="str">
        <f>IF('Master Sheet'!C29="Area 2 (Viswakala S)",'Master Sheet'!H29,"")</f>
        <v/>
      </c>
      <c r="I28" t="str">
        <f>IF('Master Sheet'!C29="Area 2 (Viswakala S)",'Master Sheet'!I29,"")</f>
        <v/>
      </c>
      <c r="J28" t="str">
        <f>IF('Master Sheet'!C29="Area 2 (Viswakala S)",'Master Sheet'!J29,"")</f>
        <v/>
      </c>
      <c r="K28" t="str">
        <f>IF('Master Sheet'!C29="Area 2 (Viswakala S)",'Master Sheet'!K29,"")</f>
        <v/>
      </c>
      <c r="L28" t="str">
        <f>IF('Master Sheet'!C29="Area 2 (Viswakala S)",'Master Sheet'!L29,"")</f>
        <v/>
      </c>
      <c r="M28" t="str">
        <f>IF('Master Sheet'!C29="Area 2 (Viswakala S)",'Master Sheet'!M29,"")</f>
        <v/>
      </c>
      <c r="N28" t="str">
        <f>IF('Master Sheet'!C29="Area 2 (Viswakala S)",'Master Sheet'!N29,"")</f>
        <v/>
      </c>
      <c r="O28" t="str">
        <f>IF('Master Sheet'!C29="Area 2 (Viswakala S)",'Master Sheet'!O29,"")</f>
        <v/>
      </c>
      <c r="P28" t="str">
        <f>IF('Master Sheet'!C29="Area 2 (Viswakala S)",'Master Sheet'!P29,"")</f>
        <v/>
      </c>
    </row>
    <row r="29" spans="1:16" hidden="1" x14ac:dyDescent="0.25">
      <c r="A29" t="str">
        <f>IF('Master Sheet'!C30="Area 2 (Viswakala S)",'Master Sheet'!A30,"")</f>
        <v/>
      </c>
      <c r="B29" t="str">
        <f>IF('Master Sheet'!C30="Area 2 (Viswakala S)",'Master Sheet'!B30,"")</f>
        <v/>
      </c>
      <c r="C29" t="s">
        <v>5</v>
      </c>
      <c r="D29" t="str">
        <f>IF('Master Sheet'!C30="Area 2 (Viswakala S)",'Master Sheet'!D30,"")</f>
        <v/>
      </c>
      <c r="E29" t="str">
        <f>IF('Master Sheet'!C30="Area 2 (Viswakala S)",'Master Sheet'!E30,"")</f>
        <v/>
      </c>
      <c r="F29" t="str">
        <f>IF('Master Sheet'!C30="Area 2 (Viswakala S)",'Master Sheet'!F30,"")</f>
        <v/>
      </c>
      <c r="G29" t="str">
        <f>IF('Master Sheet'!C30="Area 2 (Viswakala S)",'Master Sheet'!G30,"")</f>
        <v/>
      </c>
      <c r="H29" t="str">
        <f>IF('Master Sheet'!C30="Area 2 (Viswakala S)",'Master Sheet'!H30,"")</f>
        <v/>
      </c>
      <c r="I29" t="str">
        <f>IF('Master Sheet'!C30="Area 2 (Viswakala S)",'Master Sheet'!I30,"")</f>
        <v/>
      </c>
      <c r="J29" t="str">
        <f>IF('Master Sheet'!C30="Area 2 (Viswakala S)",'Master Sheet'!J30,"")</f>
        <v/>
      </c>
      <c r="K29" t="str">
        <f>IF('Master Sheet'!C30="Area 2 (Viswakala S)",'Master Sheet'!K30,"")</f>
        <v/>
      </c>
      <c r="L29" t="str">
        <f>IF('Master Sheet'!C30="Area 2 (Viswakala S)",'Master Sheet'!L30,"")</f>
        <v/>
      </c>
      <c r="M29" t="str">
        <f>IF('Master Sheet'!C30="Area 2 (Viswakala S)",'Master Sheet'!M30,"")</f>
        <v/>
      </c>
      <c r="N29" t="str">
        <f>IF('Master Sheet'!C30="Area 2 (Viswakala S)",'Master Sheet'!N30,"")</f>
        <v/>
      </c>
      <c r="O29" t="str">
        <f>IF('Master Sheet'!C30="Area 2 (Viswakala S)",'Master Sheet'!O30,"")</f>
        <v/>
      </c>
      <c r="P29" t="str">
        <f>IF('Master Sheet'!C30="Area 2 (Viswakala S)",'Master Sheet'!P30,"")</f>
        <v/>
      </c>
    </row>
    <row r="30" spans="1:16" hidden="1" x14ac:dyDescent="0.25">
      <c r="A30" t="str">
        <f>IF('Master Sheet'!C31="Area 2 (Viswakala S)",'Master Sheet'!A31,"")</f>
        <v/>
      </c>
      <c r="B30" t="str">
        <f>IF('Master Sheet'!C31="Area 2 (Viswakala S)",'Master Sheet'!B31,"")</f>
        <v/>
      </c>
      <c r="C30" t="s">
        <v>5</v>
      </c>
      <c r="D30" t="str">
        <f>IF('Master Sheet'!C31="Area 2 (Viswakala S)",'Master Sheet'!D31,"")</f>
        <v/>
      </c>
      <c r="E30" t="str">
        <f>IF('Master Sheet'!C31="Area 2 (Viswakala S)",'Master Sheet'!E31,"")</f>
        <v/>
      </c>
      <c r="F30" t="str">
        <f>IF('Master Sheet'!C31="Area 2 (Viswakala S)",'Master Sheet'!F31,"")</f>
        <v/>
      </c>
      <c r="G30" t="str">
        <f>IF('Master Sheet'!C31="Area 2 (Viswakala S)",'Master Sheet'!G31,"")</f>
        <v/>
      </c>
      <c r="H30" t="str">
        <f>IF('Master Sheet'!C31="Area 2 (Viswakala S)",'Master Sheet'!H31,"")</f>
        <v/>
      </c>
      <c r="I30" t="str">
        <f>IF('Master Sheet'!C31="Area 2 (Viswakala S)",'Master Sheet'!I31,"")</f>
        <v/>
      </c>
      <c r="J30" t="str">
        <f>IF('Master Sheet'!C31="Area 2 (Viswakala S)",'Master Sheet'!J31,"")</f>
        <v/>
      </c>
      <c r="K30" t="str">
        <f>IF('Master Sheet'!C31="Area 2 (Viswakala S)",'Master Sheet'!K31,"")</f>
        <v/>
      </c>
      <c r="L30" t="str">
        <f>IF('Master Sheet'!C31="Area 2 (Viswakala S)",'Master Sheet'!L31,"")</f>
        <v/>
      </c>
      <c r="M30" t="str">
        <f>IF('Master Sheet'!C31="Area 2 (Viswakala S)",'Master Sheet'!M31,"")</f>
        <v/>
      </c>
      <c r="N30" t="str">
        <f>IF('Master Sheet'!C31="Area 2 (Viswakala S)",'Master Sheet'!N31,"")</f>
        <v/>
      </c>
      <c r="O30" t="str">
        <f>IF('Master Sheet'!C31="Area 2 (Viswakala S)",'Master Sheet'!O31,"")</f>
        <v/>
      </c>
      <c r="P30" t="str">
        <f>IF('Master Sheet'!C31="Area 2 (Viswakala S)",'Master Sheet'!P31,"")</f>
        <v/>
      </c>
    </row>
    <row r="31" spans="1:16" hidden="1" x14ac:dyDescent="0.25">
      <c r="A31" t="str">
        <f>IF('Master Sheet'!C32="Area 2 (Viswakala S)",'Master Sheet'!A32,"")</f>
        <v/>
      </c>
      <c r="B31" t="str">
        <f>IF('Master Sheet'!C32="Area 2 (Viswakala S)",'Master Sheet'!B32,"")</f>
        <v/>
      </c>
      <c r="C31" t="s">
        <v>5</v>
      </c>
      <c r="D31" t="str">
        <f>IF('Master Sheet'!C32="Area 2 (Viswakala S)",'Master Sheet'!D32,"")</f>
        <v/>
      </c>
      <c r="E31" t="str">
        <f>IF('Master Sheet'!C32="Area 2 (Viswakala S)",'Master Sheet'!E32,"")</f>
        <v/>
      </c>
      <c r="F31" t="str">
        <f>IF('Master Sheet'!C32="Area 2 (Viswakala S)",'Master Sheet'!F32,"")</f>
        <v/>
      </c>
      <c r="G31" t="str">
        <f>IF('Master Sheet'!C32="Area 2 (Viswakala S)",'Master Sheet'!G32,"")</f>
        <v/>
      </c>
      <c r="H31" t="str">
        <f>IF('Master Sheet'!C32="Area 2 (Viswakala S)",'Master Sheet'!H32,"")</f>
        <v/>
      </c>
      <c r="I31" t="str">
        <f>IF('Master Sheet'!C32="Area 2 (Viswakala S)",'Master Sheet'!I32,"")</f>
        <v/>
      </c>
      <c r="J31" t="str">
        <f>IF('Master Sheet'!C32="Area 2 (Viswakala S)",'Master Sheet'!J32,"")</f>
        <v/>
      </c>
      <c r="K31" t="str">
        <f>IF('Master Sheet'!C32="Area 2 (Viswakala S)",'Master Sheet'!K32,"")</f>
        <v/>
      </c>
      <c r="L31" t="str">
        <f>IF('Master Sheet'!C32="Area 2 (Viswakala S)",'Master Sheet'!L32,"")</f>
        <v/>
      </c>
      <c r="M31" t="str">
        <f>IF('Master Sheet'!C32="Area 2 (Viswakala S)",'Master Sheet'!M32,"")</f>
        <v/>
      </c>
      <c r="N31" t="str">
        <f>IF('Master Sheet'!C32="Area 2 (Viswakala S)",'Master Sheet'!N32,"")</f>
        <v/>
      </c>
      <c r="O31" t="str">
        <f>IF('Master Sheet'!C32="Area 2 (Viswakala S)",'Master Sheet'!O32,"")</f>
        <v/>
      </c>
      <c r="P31" t="str">
        <f>IF('Master Sheet'!C32="Area 2 (Viswakala S)",'Master Sheet'!P32,"")</f>
        <v/>
      </c>
    </row>
    <row r="32" spans="1:16" hidden="1" x14ac:dyDescent="0.25">
      <c r="A32" t="str">
        <f>IF('Master Sheet'!C33="Area 2 (Viswakala S)",'Master Sheet'!A33,"")</f>
        <v/>
      </c>
      <c r="B32" t="str">
        <f>IF('Master Sheet'!C33="Area 2 (Viswakala S)",'Master Sheet'!B33,"")</f>
        <v/>
      </c>
      <c r="C32" t="s">
        <v>5</v>
      </c>
      <c r="D32" t="str">
        <f>IF('Master Sheet'!C33="Area 2 (Viswakala S)",'Master Sheet'!D33,"")</f>
        <v/>
      </c>
      <c r="E32" t="str">
        <f>IF('Master Sheet'!C33="Area 2 (Viswakala S)",'Master Sheet'!E33,"")</f>
        <v/>
      </c>
      <c r="F32" t="str">
        <f>IF('Master Sheet'!C33="Area 2 (Viswakala S)",'Master Sheet'!F33,"")</f>
        <v/>
      </c>
      <c r="G32" t="str">
        <f>IF('Master Sheet'!C33="Area 2 (Viswakala S)",'Master Sheet'!G33,"")</f>
        <v/>
      </c>
      <c r="H32" t="str">
        <f>IF('Master Sheet'!C33="Area 2 (Viswakala S)",'Master Sheet'!H33,"")</f>
        <v/>
      </c>
      <c r="I32" t="str">
        <f>IF('Master Sheet'!C33="Area 2 (Viswakala S)",'Master Sheet'!I33,"")</f>
        <v/>
      </c>
      <c r="J32" t="str">
        <f>IF('Master Sheet'!C33="Area 2 (Viswakala S)",'Master Sheet'!J33,"")</f>
        <v/>
      </c>
      <c r="K32" t="str">
        <f>IF('Master Sheet'!C33="Area 2 (Viswakala S)",'Master Sheet'!K33,"")</f>
        <v/>
      </c>
      <c r="L32" t="str">
        <f>IF('Master Sheet'!C33="Area 2 (Viswakala S)",'Master Sheet'!L33,"")</f>
        <v/>
      </c>
      <c r="M32" t="str">
        <f>IF('Master Sheet'!C33="Area 2 (Viswakala S)",'Master Sheet'!M33,"")</f>
        <v/>
      </c>
      <c r="N32" t="str">
        <f>IF('Master Sheet'!C33="Area 2 (Viswakala S)",'Master Sheet'!N33,"")</f>
        <v/>
      </c>
      <c r="O32" t="str">
        <f>IF('Master Sheet'!C33="Area 2 (Viswakala S)",'Master Sheet'!O33,"")</f>
        <v/>
      </c>
      <c r="P32" t="str">
        <f>IF('Master Sheet'!C33="Area 2 (Viswakala S)",'Master Sheet'!P33,"")</f>
        <v/>
      </c>
    </row>
    <row r="33" spans="1:16" s="8" customFormat="1" ht="19.899999999999999" customHeight="1" x14ac:dyDescent="0.25">
      <c r="A33" s="7" t="str">
        <f>IF('Master Sheet'!C34="Area 2 (Viswakala S)",'Master Sheet'!A34,"")</f>
        <v>P032</v>
      </c>
      <c r="B33" s="10" t="str">
        <f>IF('Master Sheet'!C34="Area 2 (Viswakala S)",'Master Sheet'!B34,"")</f>
        <v>Dinesh , Pullad</v>
      </c>
      <c r="C33" s="7" t="s">
        <v>5</v>
      </c>
      <c r="D33" s="9">
        <f>IF('Master Sheet'!C34="Area 2 (Viswakala S)",'Master Sheet'!D34,"")</f>
        <v>500</v>
      </c>
      <c r="E33" s="9">
        <f>IF('Master Sheet'!C34="Area 2 (Viswakala S)",'Master Sheet'!E34,"")</f>
        <v>0</v>
      </c>
      <c r="F33" s="9">
        <f>IF('Master Sheet'!C34="Area 2 (Viswakala S)",'Master Sheet'!F34,"")</f>
        <v>350</v>
      </c>
      <c r="G33" s="9">
        <f>IF('Master Sheet'!C34="Area 2 (Viswakala S)",'Master Sheet'!G34,"")</f>
        <v>500</v>
      </c>
      <c r="H33" s="9">
        <f>IF('Master Sheet'!C34="Area 2 (Viswakala S)",'Master Sheet'!H34,"")</f>
        <v>0</v>
      </c>
      <c r="I33" s="9">
        <f>IF('Master Sheet'!C34="Area 2 (Viswakala S)",'Master Sheet'!I34,"")</f>
        <v>0</v>
      </c>
      <c r="J33" s="9">
        <f>IF('Master Sheet'!C34="Area 2 (Viswakala S)",'Master Sheet'!J34,"")</f>
        <v>0</v>
      </c>
      <c r="K33" s="9">
        <f>IF('Master Sheet'!C34="Area 2 (Viswakala S)",'Master Sheet'!K34,"")</f>
        <v>0</v>
      </c>
      <c r="L33" s="9">
        <f>IF('Master Sheet'!C34="Area 2 (Viswakala S)",'Master Sheet'!L34,"")</f>
        <v>0</v>
      </c>
      <c r="M33" s="9">
        <f>IF('Master Sheet'!C34="Area 2 (Viswakala S)",'Master Sheet'!M34,"")</f>
        <v>0</v>
      </c>
      <c r="N33" s="9">
        <f>IF('Master Sheet'!C34="Area 2 (Viswakala S)",'Master Sheet'!N34,"")</f>
        <v>1350</v>
      </c>
      <c r="O33" s="23">
        <f>IF('Master Sheet'!C34="Area 2 (Viswakala S)",'Master Sheet'!O34,"")</f>
        <v>2150</v>
      </c>
      <c r="P33" s="7" t="str">
        <f>IF('Master Sheet'!C34="Area 2 (Viswakala S)",'Master Sheet'!P34,"")</f>
        <v>Pending</v>
      </c>
    </row>
    <row r="34" spans="1:16" s="8" customFormat="1" ht="19.899999999999999" customHeight="1" x14ac:dyDescent="0.25">
      <c r="A34" s="7" t="str">
        <f>IF('Master Sheet'!C35="Area 2 (Viswakala S)",'Master Sheet'!A35,"")</f>
        <v>P033</v>
      </c>
      <c r="B34" s="10" t="str">
        <f>IF('Master Sheet'!C35="Area 2 (Viswakala S)",'Master Sheet'!B35,"")</f>
        <v>Revathy , Pullad</v>
      </c>
      <c r="C34" s="7" t="s">
        <v>5</v>
      </c>
      <c r="D34" s="9">
        <f>IF('Master Sheet'!C35="Area 2 (Viswakala S)",'Master Sheet'!D35,"")</f>
        <v>0</v>
      </c>
      <c r="E34" s="9">
        <f>IF('Master Sheet'!C35="Area 2 (Viswakala S)",'Master Sheet'!E35,"")</f>
        <v>0</v>
      </c>
      <c r="F34" s="9">
        <f>IF('Master Sheet'!C35="Area 2 (Viswakala S)",'Master Sheet'!F35,"")</f>
        <v>0</v>
      </c>
      <c r="G34" s="9">
        <f>IF('Master Sheet'!C35="Area 2 (Viswakala S)",'Master Sheet'!G35,"")</f>
        <v>0</v>
      </c>
      <c r="H34" s="9">
        <f>IF('Master Sheet'!C35="Area 2 (Viswakala S)",'Master Sheet'!H35,"")</f>
        <v>0</v>
      </c>
      <c r="I34" s="9">
        <f>IF('Master Sheet'!C35="Area 2 (Viswakala S)",'Master Sheet'!I35,"")</f>
        <v>0</v>
      </c>
      <c r="J34" s="9">
        <f>IF('Master Sheet'!C35="Area 2 (Viswakala S)",'Master Sheet'!J35,"")</f>
        <v>0</v>
      </c>
      <c r="K34" s="9">
        <f>IF('Master Sheet'!C35="Area 2 (Viswakala S)",'Master Sheet'!K35,"")</f>
        <v>0</v>
      </c>
      <c r="L34" s="9">
        <f>IF('Master Sheet'!C35="Area 2 (Viswakala S)",'Master Sheet'!L35,"")</f>
        <v>0</v>
      </c>
      <c r="M34" s="9">
        <f>IF('Master Sheet'!C35="Area 2 (Viswakala S)",'Master Sheet'!M35,"")</f>
        <v>0</v>
      </c>
      <c r="N34" s="9">
        <f>IF('Master Sheet'!C35="Area 2 (Viswakala S)",'Master Sheet'!N35,"")</f>
        <v>0</v>
      </c>
      <c r="O34" s="23">
        <f>IF('Master Sheet'!C35="Area 2 (Viswakala S)",'Master Sheet'!O35,"")</f>
        <v>3500</v>
      </c>
      <c r="P34" s="7" t="str">
        <f>IF('Master Sheet'!C35="Area 2 (Viswakala S)",'Master Sheet'!P35,"")</f>
        <v>Pending</v>
      </c>
    </row>
    <row r="35" spans="1:16" s="8" customFormat="1" ht="19.899999999999999" customHeight="1" x14ac:dyDescent="0.25">
      <c r="A35" s="7" t="str">
        <f>IF('Master Sheet'!C36="Area 2 (Viswakala S)",'Master Sheet'!A36,"")</f>
        <v>P034</v>
      </c>
      <c r="B35" s="10" t="str">
        <f>IF('Master Sheet'!C36="Area 2 (Viswakala S)",'Master Sheet'!B36,"")</f>
        <v>Maya Gopal , Pullad</v>
      </c>
      <c r="C35" s="7" t="s">
        <v>5</v>
      </c>
      <c r="D35" s="9">
        <f>IF('Master Sheet'!C36="Area 2 (Viswakala S)",'Master Sheet'!D36,"")</f>
        <v>0</v>
      </c>
      <c r="E35" s="9">
        <f>IF('Master Sheet'!C36="Area 2 (Viswakala S)",'Master Sheet'!E36,"")</f>
        <v>500</v>
      </c>
      <c r="F35" s="9">
        <f>IF('Master Sheet'!C36="Area 2 (Viswakala S)",'Master Sheet'!F36,"")</f>
        <v>0</v>
      </c>
      <c r="G35" s="9">
        <f>IF('Master Sheet'!C36="Area 2 (Viswakala S)",'Master Sheet'!G36,"")</f>
        <v>500</v>
      </c>
      <c r="H35" s="9">
        <f>IF('Master Sheet'!C36="Area 2 (Viswakala S)",'Master Sheet'!H36,"")</f>
        <v>0</v>
      </c>
      <c r="I35" s="9">
        <f>IF('Master Sheet'!C36="Area 2 (Viswakala S)",'Master Sheet'!I36,"")</f>
        <v>0</v>
      </c>
      <c r="J35" s="9">
        <f>IF('Master Sheet'!C36="Area 2 (Viswakala S)",'Master Sheet'!J36,"")</f>
        <v>0</v>
      </c>
      <c r="K35" s="9">
        <f>IF('Master Sheet'!C36="Area 2 (Viswakala S)",'Master Sheet'!K36,"")</f>
        <v>0</v>
      </c>
      <c r="L35" s="9">
        <f>IF('Master Sheet'!C36="Area 2 (Viswakala S)",'Master Sheet'!L36,"")</f>
        <v>0</v>
      </c>
      <c r="M35" s="9">
        <f>IF('Master Sheet'!C36="Area 2 (Viswakala S)",'Master Sheet'!M36,"")</f>
        <v>0</v>
      </c>
      <c r="N35" s="9">
        <f>IF('Master Sheet'!C36="Area 2 (Viswakala S)",'Master Sheet'!N36,"")</f>
        <v>1000</v>
      </c>
      <c r="O35" s="23">
        <f>IF('Master Sheet'!C36="Area 2 (Viswakala S)",'Master Sheet'!O36,"")</f>
        <v>2500</v>
      </c>
      <c r="P35" s="7" t="str">
        <f>IF('Master Sheet'!C36="Area 2 (Viswakala S)",'Master Sheet'!P36,"")</f>
        <v>Pending</v>
      </c>
    </row>
    <row r="36" spans="1:16" s="8" customFormat="1" ht="19.899999999999999" customHeight="1" x14ac:dyDescent="0.25">
      <c r="A36" s="7" t="str">
        <f>IF('Master Sheet'!C37="Area 2 (Viswakala S)",'Master Sheet'!A37,"")</f>
        <v>P035</v>
      </c>
      <c r="B36" s="10" t="str">
        <f>IF('Master Sheet'!C37="Area 2 (Viswakala S)",'Master Sheet'!B37,"")</f>
        <v>Bini Sunil , Pullad</v>
      </c>
      <c r="C36" s="7" t="s">
        <v>5</v>
      </c>
      <c r="D36" s="9">
        <f>IF('Master Sheet'!C37="Area 2 (Viswakala S)",'Master Sheet'!D37,"")</f>
        <v>0</v>
      </c>
      <c r="E36" s="9">
        <f>IF('Master Sheet'!C37="Area 2 (Viswakala S)",'Master Sheet'!E37,"")</f>
        <v>350</v>
      </c>
      <c r="F36" s="9">
        <f>IF('Master Sheet'!C37="Area 2 (Viswakala S)",'Master Sheet'!F37,"")</f>
        <v>350</v>
      </c>
      <c r="G36" s="9">
        <f>IF('Master Sheet'!C37="Area 2 (Viswakala S)",'Master Sheet'!G37,"")</f>
        <v>350</v>
      </c>
      <c r="H36" s="9">
        <f>IF('Master Sheet'!C37="Area 2 (Viswakala S)",'Master Sheet'!H37,"")</f>
        <v>0</v>
      </c>
      <c r="I36" s="9">
        <f>IF('Master Sheet'!C37="Area 2 (Viswakala S)",'Master Sheet'!I37,"")</f>
        <v>0</v>
      </c>
      <c r="J36" s="9">
        <f>IF('Master Sheet'!C37="Area 2 (Viswakala S)",'Master Sheet'!J37,"")</f>
        <v>0</v>
      </c>
      <c r="K36" s="9">
        <f>IF('Master Sheet'!C37="Area 2 (Viswakala S)",'Master Sheet'!K37,"")</f>
        <v>0</v>
      </c>
      <c r="L36" s="9">
        <f>IF('Master Sheet'!C37="Area 2 (Viswakala S)",'Master Sheet'!L37,"")</f>
        <v>0</v>
      </c>
      <c r="M36" s="9">
        <f>IF('Master Sheet'!C37="Area 2 (Viswakala S)",'Master Sheet'!M37,"")</f>
        <v>0</v>
      </c>
      <c r="N36" s="9">
        <f>IF('Master Sheet'!C37="Area 2 (Viswakala S)",'Master Sheet'!N37,"")</f>
        <v>1050</v>
      </c>
      <c r="O36" s="23">
        <f>IF('Master Sheet'!C37="Area 2 (Viswakala S)",'Master Sheet'!O37,"")</f>
        <v>2450</v>
      </c>
      <c r="P36" s="7" t="str">
        <f>IF('Master Sheet'!C37="Area 2 (Viswakala S)",'Master Sheet'!P37,"")</f>
        <v>Pending</v>
      </c>
    </row>
    <row r="37" spans="1:16" s="8" customFormat="1" ht="19.899999999999999" customHeight="1" x14ac:dyDescent="0.25">
      <c r="A37" s="7" t="str">
        <f>IF('Master Sheet'!C38="Area 2 (Viswakala S)",'Master Sheet'!A38,"")</f>
        <v>P036</v>
      </c>
      <c r="B37" s="10" t="str">
        <f>IF('Master Sheet'!C38="Area 2 (Viswakala S)",'Master Sheet'!B38,"")</f>
        <v xml:space="preserve">Ganga Rajamohan </v>
      </c>
      <c r="C37" s="7" t="s">
        <v>5</v>
      </c>
      <c r="D37" s="9">
        <f>IF('Master Sheet'!C38="Area 2 (Viswakala S)",'Master Sheet'!D38,"")</f>
        <v>350</v>
      </c>
      <c r="E37" s="9">
        <f>IF('Master Sheet'!C38="Area 2 (Viswakala S)",'Master Sheet'!E38,"")</f>
        <v>0</v>
      </c>
      <c r="F37" s="9">
        <f>IF('Master Sheet'!C38="Area 2 (Viswakala S)",'Master Sheet'!F38,"")</f>
        <v>1000</v>
      </c>
      <c r="G37" s="9">
        <f>IF('Master Sheet'!C38="Area 2 (Viswakala S)",'Master Sheet'!G38,"")</f>
        <v>0</v>
      </c>
      <c r="H37" s="9">
        <f>IF('Master Sheet'!C38="Area 2 (Viswakala S)",'Master Sheet'!H38,"")</f>
        <v>0</v>
      </c>
      <c r="I37" s="9">
        <f>IF('Master Sheet'!C38="Area 2 (Viswakala S)",'Master Sheet'!I38,"")</f>
        <v>0</v>
      </c>
      <c r="J37" s="9">
        <f>IF('Master Sheet'!C38="Area 2 (Viswakala S)",'Master Sheet'!J38,"")</f>
        <v>0</v>
      </c>
      <c r="K37" s="9">
        <f>IF('Master Sheet'!C38="Area 2 (Viswakala S)",'Master Sheet'!K38,"")</f>
        <v>0</v>
      </c>
      <c r="L37" s="9">
        <f>IF('Master Sheet'!C38="Area 2 (Viswakala S)",'Master Sheet'!L38,"")</f>
        <v>0</v>
      </c>
      <c r="M37" s="9">
        <f>IF('Master Sheet'!C38="Area 2 (Viswakala S)",'Master Sheet'!M38,"")</f>
        <v>0</v>
      </c>
      <c r="N37" s="9">
        <f>IF('Master Sheet'!C38="Area 2 (Viswakala S)",'Master Sheet'!N38,"")</f>
        <v>1350</v>
      </c>
      <c r="O37" s="23">
        <f>IF('Master Sheet'!C38="Area 2 (Viswakala S)",'Master Sheet'!O38,"")</f>
        <v>2150</v>
      </c>
      <c r="P37" s="7" t="str">
        <f>IF('Master Sheet'!C38="Area 2 (Viswakala S)",'Master Sheet'!P38,"")</f>
        <v>Pending</v>
      </c>
    </row>
    <row r="38" spans="1:16" s="8" customFormat="1" ht="19.899999999999999" customHeight="1" x14ac:dyDescent="0.25">
      <c r="A38" s="7" t="str">
        <f>IF('Master Sheet'!C39="Area 2 (Viswakala S)",'Master Sheet'!A39,"")</f>
        <v>P037</v>
      </c>
      <c r="B38" s="10" t="str">
        <f>IF('Master Sheet'!C39="Area 2 (Viswakala S)",'Master Sheet'!B39,"")</f>
        <v>Sona , Vadakekavala</v>
      </c>
      <c r="C38" s="7" t="s">
        <v>5</v>
      </c>
      <c r="D38" s="9">
        <f>IF('Master Sheet'!C39="Area 2 (Viswakala S)",'Master Sheet'!D39,"")</f>
        <v>0</v>
      </c>
      <c r="E38" s="9">
        <f>IF('Master Sheet'!C39="Area 2 (Viswakala S)",'Master Sheet'!E39,"")</f>
        <v>700</v>
      </c>
      <c r="F38" s="9">
        <f>IF('Master Sheet'!C39="Area 2 (Viswakala S)",'Master Sheet'!F39,"")</f>
        <v>0</v>
      </c>
      <c r="G38" s="9">
        <f>IF('Master Sheet'!C39="Area 2 (Viswakala S)",'Master Sheet'!G39,"")</f>
        <v>0</v>
      </c>
      <c r="H38" s="9">
        <f>IF('Master Sheet'!C39="Area 2 (Viswakala S)",'Master Sheet'!H39,"")</f>
        <v>0</v>
      </c>
      <c r="I38" s="9">
        <f>IF('Master Sheet'!C39="Area 2 (Viswakala S)",'Master Sheet'!I39,"")</f>
        <v>0</v>
      </c>
      <c r="J38" s="9">
        <f>IF('Master Sheet'!C39="Area 2 (Viswakala S)",'Master Sheet'!J39,"")</f>
        <v>0</v>
      </c>
      <c r="K38" s="9">
        <f>IF('Master Sheet'!C39="Area 2 (Viswakala S)",'Master Sheet'!K39,"")</f>
        <v>0</v>
      </c>
      <c r="L38" s="9">
        <f>IF('Master Sheet'!C39="Area 2 (Viswakala S)",'Master Sheet'!L39,"")</f>
        <v>0</v>
      </c>
      <c r="M38" s="9">
        <f>IF('Master Sheet'!C39="Area 2 (Viswakala S)",'Master Sheet'!M39,"")</f>
        <v>0</v>
      </c>
      <c r="N38" s="9">
        <f>IF('Master Sheet'!C39="Area 2 (Viswakala S)",'Master Sheet'!N39,"")</f>
        <v>700</v>
      </c>
      <c r="O38" s="23">
        <f>IF('Master Sheet'!C39="Area 2 (Viswakala S)",'Master Sheet'!O39,"")</f>
        <v>2800</v>
      </c>
      <c r="P38" s="7" t="str">
        <f>IF('Master Sheet'!C39="Area 2 (Viswakala S)",'Master Sheet'!P39,"")</f>
        <v>Pending</v>
      </c>
    </row>
    <row r="39" spans="1:16" s="8" customFormat="1" ht="19.899999999999999" customHeight="1" x14ac:dyDescent="0.25">
      <c r="A39" s="7" t="str">
        <f>IF('Master Sheet'!C40="Area 2 (Viswakala S)",'Master Sheet'!A40,"")</f>
        <v>P038</v>
      </c>
      <c r="B39" s="10" t="str">
        <f>IF('Master Sheet'!C40="Area 2 (Viswakala S)",'Master Sheet'!B40,"")</f>
        <v>Indira Vijayan , Pullad</v>
      </c>
      <c r="C39" s="7" t="s">
        <v>5</v>
      </c>
      <c r="D39" s="9">
        <f>IF('Master Sheet'!C40="Area 2 (Viswakala S)",'Master Sheet'!D40,"")</f>
        <v>0</v>
      </c>
      <c r="E39" s="9">
        <f>IF('Master Sheet'!C40="Area 2 (Viswakala S)",'Master Sheet'!E40,"")</f>
        <v>400</v>
      </c>
      <c r="F39" s="9">
        <f>IF('Master Sheet'!C40="Area 2 (Viswakala S)",'Master Sheet'!F40,"")</f>
        <v>0</v>
      </c>
      <c r="G39" s="9">
        <f>IF('Master Sheet'!C40="Area 2 (Viswakala S)",'Master Sheet'!G40,"")</f>
        <v>300</v>
      </c>
      <c r="H39" s="9">
        <f>IF('Master Sheet'!C40="Area 2 (Viswakala S)",'Master Sheet'!H40,"")</f>
        <v>0</v>
      </c>
      <c r="I39" s="9">
        <f>IF('Master Sheet'!C40="Area 2 (Viswakala S)",'Master Sheet'!I40,"")</f>
        <v>0</v>
      </c>
      <c r="J39" s="9">
        <f>IF('Master Sheet'!C40="Area 2 (Viswakala S)",'Master Sheet'!J40,"")</f>
        <v>0</v>
      </c>
      <c r="K39" s="9">
        <f>IF('Master Sheet'!C40="Area 2 (Viswakala S)",'Master Sheet'!K40,"")</f>
        <v>0</v>
      </c>
      <c r="L39" s="9">
        <f>IF('Master Sheet'!C40="Area 2 (Viswakala S)",'Master Sheet'!L40,"")</f>
        <v>0</v>
      </c>
      <c r="M39" s="9">
        <f>IF('Master Sheet'!C40="Area 2 (Viswakala S)",'Master Sheet'!M40,"")</f>
        <v>0</v>
      </c>
      <c r="N39" s="9">
        <f>IF('Master Sheet'!C40="Area 2 (Viswakala S)",'Master Sheet'!N40,"")</f>
        <v>700</v>
      </c>
      <c r="O39" s="23">
        <f>IF('Master Sheet'!C40="Area 2 (Viswakala S)",'Master Sheet'!O40,"")</f>
        <v>2800</v>
      </c>
      <c r="P39" s="7" t="str">
        <f>IF('Master Sheet'!C40="Area 2 (Viswakala S)",'Master Sheet'!P40,"")</f>
        <v>Pending</v>
      </c>
    </row>
    <row r="40" spans="1:16" s="8" customFormat="1" ht="19.899999999999999" customHeight="1" x14ac:dyDescent="0.25">
      <c r="A40" s="7" t="str">
        <f>IF('Master Sheet'!C41="Area 2 (Viswakala S)",'Master Sheet'!A41,"")</f>
        <v>P039</v>
      </c>
      <c r="B40" s="10" t="str">
        <f>IF('Master Sheet'!C41="Area 2 (Viswakala S)",'Master Sheet'!B41,"")</f>
        <v>Prabha Girish , Kumbanad</v>
      </c>
      <c r="C40" s="7" t="s">
        <v>5</v>
      </c>
      <c r="D40" s="9">
        <f>IF('Master Sheet'!C41="Area 2 (Viswakala S)",'Master Sheet'!D41,"")</f>
        <v>350</v>
      </c>
      <c r="E40" s="9">
        <f>IF('Master Sheet'!C41="Area 2 (Viswakala S)",'Master Sheet'!E41,"")</f>
        <v>0</v>
      </c>
      <c r="F40" s="9">
        <f>IF('Master Sheet'!C41="Area 2 (Viswakala S)",'Master Sheet'!F41,"")</f>
        <v>350</v>
      </c>
      <c r="G40" s="9">
        <f>IF('Master Sheet'!C41="Area 2 (Viswakala S)",'Master Sheet'!G41,"")</f>
        <v>700</v>
      </c>
      <c r="H40" s="9">
        <f>IF('Master Sheet'!C41="Area 2 (Viswakala S)",'Master Sheet'!H41,"")</f>
        <v>0</v>
      </c>
      <c r="I40" s="9">
        <f>IF('Master Sheet'!C41="Area 2 (Viswakala S)",'Master Sheet'!I41,"")</f>
        <v>0</v>
      </c>
      <c r="J40" s="9">
        <f>IF('Master Sheet'!C41="Area 2 (Viswakala S)",'Master Sheet'!J41,"")</f>
        <v>0</v>
      </c>
      <c r="K40" s="9">
        <f>IF('Master Sheet'!C41="Area 2 (Viswakala S)",'Master Sheet'!K41,"")</f>
        <v>0</v>
      </c>
      <c r="L40" s="9">
        <f>IF('Master Sheet'!C41="Area 2 (Viswakala S)",'Master Sheet'!L41,"")</f>
        <v>0</v>
      </c>
      <c r="M40" s="9">
        <f>IF('Master Sheet'!C41="Area 2 (Viswakala S)",'Master Sheet'!M41,"")</f>
        <v>0</v>
      </c>
      <c r="N40" s="9">
        <f>IF('Master Sheet'!C41="Area 2 (Viswakala S)",'Master Sheet'!N41,"")</f>
        <v>1400</v>
      </c>
      <c r="O40" s="23">
        <f>IF('Master Sheet'!C41="Area 2 (Viswakala S)",'Master Sheet'!O41,"")</f>
        <v>2100</v>
      </c>
      <c r="P40" s="7" t="str">
        <f>IF('Master Sheet'!C41="Area 2 (Viswakala S)",'Master Sheet'!P41,"")</f>
        <v>Pending</v>
      </c>
    </row>
    <row r="41" spans="1:16" s="8" customFormat="1" ht="19.899999999999999" customHeight="1" x14ac:dyDescent="0.25">
      <c r="A41" s="7" t="str">
        <f>IF('Master Sheet'!C42="Area 2 (Viswakala S)",'Master Sheet'!A42,"")</f>
        <v>P040</v>
      </c>
      <c r="B41" s="10" t="str">
        <f>IF('Master Sheet'!C42="Area 2 (Viswakala S)",'Master Sheet'!B42,"")</f>
        <v>Biji N.S , Poovathur</v>
      </c>
      <c r="C41" s="7" t="s">
        <v>5</v>
      </c>
      <c r="D41" s="9">
        <f>IF('Master Sheet'!C42="Area 2 (Viswakala S)",'Master Sheet'!D42,"")</f>
        <v>0</v>
      </c>
      <c r="E41" s="9">
        <f>IF('Master Sheet'!C42="Area 2 (Viswakala S)",'Master Sheet'!E42,"")</f>
        <v>350</v>
      </c>
      <c r="F41" s="9">
        <f>IF('Master Sheet'!C42="Area 2 (Viswakala S)",'Master Sheet'!F42,"")</f>
        <v>350</v>
      </c>
      <c r="G41" s="9">
        <f>IF('Master Sheet'!C42="Area 2 (Viswakala S)",'Master Sheet'!G42,"")</f>
        <v>350</v>
      </c>
      <c r="H41" s="9">
        <f>IF('Master Sheet'!C42="Area 2 (Viswakala S)",'Master Sheet'!H42,"")</f>
        <v>0</v>
      </c>
      <c r="I41" s="9">
        <f>IF('Master Sheet'!C42="Area 2 (Viswakala S)",'Master Sheet'!I42,"")</f>
        <v>0</v>
      </c>
      <c r="J41" s="9">
        <f>IF('Master Sheet'!C42="Area 2 (Viswakala S)",'Master Sheet'!J42,"")</f>
        <v>0</v>
      </c>
      <c r="K41" s="9">
        <f>IF('Master Sheet'!C42="Area 2 (Viswakala S)",'Master Sheet'!K42,"")</f>
        <v>0</v>
      </c>
      <c r="L41" s="9">
        <f>IF('Master Sheet'!C42="Area 2 (Viswakala S)",'Master Sheet'!L42,"")</f>
        <v>0</v>
      </c>
      <c r="M41" s="9">
        <f>IF('Master Sheet'!C42="Area 2 (Viswakala S)",'Master Sheet'!M42,"")</f>
        <v>0</v>
      </c>
      <c r="N41" s="9">
        <f>IF('Master Sheet'!C42="Area 2 (Viswakala S)",'Master Sheet'!N42,"")</f>
        <v>1050</v>
      </c>
      <c r="O41" s="23">
        <f>IF('Master Sheet'!C42="Area 2 (Viswakala S)",'Master Sheet'!O42,"")</f>
        <v>2450</v>
      </c>
      <c r="P41" s="7" t="str">
        <f>IF('Master Sheet'!C42="Area 2 (Viswakala S)",'Master Sheet'!P42,"")</f>
        <v>Pending</v>
      </c>
    </row>
    <row r="42" spans="1:16" s="8" customFormat="1" ht="19.899999999999999" customHeight="1" x14ac:dyDescent="0.25">
      <c r="A42" s="7" t="str">
        <f>IF('Master Sheet'!C43="Area 2 (Viswakala S)",'Master Sheet'!A43,"")</f>
        <v>P041</v>
      </c>
      <c r="B42" s="10" t="str">
        <f>IF('Master Sheet'!C43="Area 2 (Viswakala S)",'Master Sheet'!B43,"")</f>
        <v>Viswakala Sunil ,Pullad</v>
      </c>
      <c r="C42" s="7" t="s">
        <v>5</v>
      </c>
      <c r="D42" s="9">
        <f>IF('Master Sheet'!C43="Area 2 (Viswakala S)",'Master Sheet'!D43,"")</f>
        <v>0</v>
      </c>
      <c r="E42" s="9">
        <f>IF('Master Sheet'!C43="Area 2 (Viswakala S)",'Master Sheet'!E43,"")</f>
        <v>0</v>
      </c>
      <c r="F42" s="9">
        <f>IF('Master Sheet'!C43="Area 2 (Viswakala S)",'Master Sheet'!F43,"")</f>
        <v>0</v>
      </c>
      <c r="G42" s="9">
        <f>IF('Master Sheet'!C43="Area 2 (Viswakala S)",'Master Sheet'!G43,"")</f>
        <v>0</v>
      </c>
      <c r="H42" s="9">
        <f>IF('Master Sheet'!C43="Area 2 (Viswakala S)",'Master Sheet'!H43,"")</f>
        <v>0</v>
      </c>
      <c r="I42" s="9">
        <f>IF('Master Sheet'!C43="Area 2 (Viswakala S)",'Master Sheet'!I43,"")</f>
        <v>0</v>
      </c>
      <c r="J42" s="9">
        <f>IF('Master Sheet'!C43="Area 2 (Viswakala S)",'Master Sheet'!J43,"")</f>
        <v>0</v>
      </c>
      <c r="K42" s="9">
        <f>IF('Master Sheet'!C43="Area 2 (Viswakala S)",'Master Sheet'!K43,"")</f>
        <v>0</v>
      </c>
      <c r="L42" s="9">
        <f>IF('Master Sheet'!C43="Area 2 (Viswakala S)",'Master Sheet'!L43,"")</f>
        <v>0</v>
      </c>
      <c r="M42" s="9">
        <f>IF('Master Sheet'!C43="Area 2 (Viswakala S)",'Master Sheet'!M43,"")</f>
        <v>0</v>
      </c>
      <c r="N42" s="9">
        <f>IF('Master Sheet'!C43="Area 2 (Viswakala S)",'Master Sheet'!N43,"")</f>
        <v>0</v>
      </c>
      <c r="O42" s="23">
        <f>IF('Master Sheet'!C43="Area 2 (Viswakala S)",'Master Sheet'!O43,"")</f>
        <v>3500</v>
      </c>
      <c r="P42" s="7" t="str">
        <f>IF('Master Sheet'!C43="Area 2 (Viswakala S)",'Master Sheet'!P43,"")</f>
        <v>Pending</v>
      </c>
    </row>
    <row r="43" spans="1:16" hidden="1" x14ac:dyDescent="0.25">
      <c r="A43" t="str">
        <f>IF('Master Sheet'!C44="Area 2 (Viswakala S)",'Master Sheet'!A44,"")</f>
        <v/>
      </c>
      <c r="B43" t="str">
        <f>IF('Master Sheet'!C44="Area 2 (Viswakala S)",'Master Sheet'!B44,"")</f>
        <v/>
      </c>
      <c r="C43" t="s">
        <v>5</v>
      </c>
      <c r="D43" t="str">
        <f>IF('Master Sheet'!C44="Area 2 (Viswakala S)",'Master Sheet'!D44,"")</f>
        <v/>
      </c>
      <c r="E43" t="str">
        <f>IF('Master Sheet'!C44="Area 2 (Viswakala S)",'Master Sheet'!E44,"")</f>
        <v/>
      </c>
      <c r="F43" t="str">
        <f>IF('Master Sheet'!C44="Area 2 (Viswakala S)",'Master Sheet'!F44,"")</f>
        <v/>
      </c>
      <c r="G43" t="str">
        <f>IF('Master Sheet'!C44="Area 2 (Viswakala S)",'Master Sheet'!G44,"")</f>
        <v/>
      </c>
      <c r="H43" t="str">
        <f>IF('Master Sheet'!C44="Area 2 (Viswakala S)",'Master Sheet'!H44,"")</f>
        <v/>
      </c>
      <c r="I43" t="str">
        <f>IF('Master Sheet'!C44="Area 2 (Viswakala S)",'Master Sheet'!I44,"")</f>
        <v/>
      </c>
      <c r="J43" t="str">
        <f>IF('Master Sheet'!C44="Area 2 (Viswakala S)",'Master Sheet'!J44,"")</f>
        <v/>
      </c>
      <c r="K43" t="str">
        <f>IF('Master Sheet'!C44="Area 2 (Viswakala S)",'Master Sheet'!K44,"")</f>
        <v/>
      </c>
      <c r="L43" t="str">
        <f>IF('Master Sheet'!C44="Area 2 (Viswakala S)",'Master Sheet'!L44,"")</f>
        <v/>
      </c>
      <c r="M43" t="str">
        <f>IF('Master Sheet'!C44="Area 2 (Viswakala S)",'Master Sheet'!M44,"")</f>
        <v/>
      </c>
      <c r="N43" t="str">
        <f>IF('Master Sheet'!C44="Area 2 (Viswakala S)",'Master Sheet'!N44,"")</f>
        <v/>
      </c>
      <c r="O43" t="str">
        <f>IF('Master Sheet'!C44="Area 2 (Viswakala S)",'Master Sheet'!O44,"")</f>
        <v/>
      </c>
      <c r="P43" t="str">
        <f>IF('Master Sheet'!C44="Area 2 (Viswakala S)",'Master Sheet'!P44,"")</f>
        <v/>
      </c>
    </row>
    <row r="44" spans="1:16" hidden="1" x14ac:dyDescent="0.25">
      <c r="A44" t="str">
        <f>IF('Master Sheet'!C45="Area 2 (Viswakala S)",'Master Sheet'!A45,"")</f>
        <v/>
      </c>
      <c r="B44" t="str">
        <f>IF('Master Sheet'!C45="Area 2 (Viswakala S)",'Master Sheet'!B45,"")</f>
        <v/>
      </c>
      <c r="C44" t="s">
        <v>5</v>
      </c>
      <c r="D44" t="str">
        <f>IF('Master Sheet'!C45="Area 2 (Viswakala S)",'Master Sheet'!D45,"")</f>
        <v/>
      </c>
      <c r="E44" t="str">
        <f>IF('Master Sheet'!C45="Area 2 (Viswakala S)",'Master Sheet'!E45,"")</f>
        <v/>
      </c>
      <c r="F44" t="str">
        <f>IF('Master Sheet'!C45="Area 2 (Viswakala S)",'Master Sheet'!F45,"")</f>
        <v/>
      </c>
      <c r="G44" t="str">
        <f>IF('Master Sheet'!C45="Area 2 (Viswakala S)",'Master Sheet'!G45,"")</f>
        <v/>
      </c>
      <c r="H44" t="str">
        <f>IF('Master Sheet'!C45="Area 2 (Viswakala S)",'Master Sheet'!H45,"")</f>
        <v/>
      </c>
      <c r="I44" t="str">
        <f>IF('Master Sheet'!C45="Area 2 (Viswakala S)",'Master Sheet'!I45,"")</f>
        <v/>
      </c>
      <c r="J44" t="str">
        <f>IF('Master Sheet'!C45="Area 2 (Viswakala S)",'Master Sheet'!J45,"")</f>
        <v/>
      </c>
      <c r="K44" t="str">
        <f>IF('Master Sheet'!C45="Area 2 (Viswakala S)",'Master Sheet'!K45,"")</f>
        <v/>
      </c>
      <c r="L44" t="str">
        <f>IF('Master Sheet'!C45="Area 2 (Viswakala S)",'Master Sheet'!L45,"")</f>
        <v/>
      </c>
      <c r="M44" t="str">
        <f>IF('Master Sheet'!C45="Area 2 (Viswakala S)",'Master Sheet'!M45,"")</f>
        <v/>
      </c>
      <c r="N44" t="str">
        <f>IF('Master Sheet'!C45="Area 2 (Viswakala S)",'Master Sheet'!N45,"")</f>
        <v/>
      </c>
      <c r="O44" t="str">
        <f>IF('Master Sheet'!C45="Area 2 (Viswakala S)",'Master Sheet'!O45,"")</f>
        <v/>
      </c>
      <c r="P44" t="str">
        <f>IF('Master Sheet'!C45="Area 2 (Viswakala S)",'Master Sheet'!P45,"")</f>
        <v/>
      </c>
    </row>
    <row r="45" spans="1:16" hidden="1" x14ac:dyDescent="0.25">
      <c r="A45" t="str">
        <f>IF('Master Sheet'!C46="Area 2 (Viswakala S)",'Master Sheet'!A46,"")</f>
        <v/>
      </c>
      <c r="B45" t="str">
        <f>IF('Master Sheet'!C46="Area 2 (Viswakala S)",'Master Sheet'!B46,"")</f>
        <v/>
      </c>
      <c r="C45" t="s">
        <v>5</v>
      </c>
      <c r="D45" t="str">
        <f>IF('Master Sheet'!C46="Area 2 (Viswakala S)",'Master Sheet'!D46,"")</f>
        <v/>
      </c>
      <c r="E45" t="str">
        <f>IF('Master Sheet'!C46="Area 2 (Viswakala S)",'Master Sheet'!E46,"")</f>
        <v/>
      </c>
      <c r="F45" t="str">
        <f>IF('Master Sheet'!C46="Area 2 (Viswakala S)",'Master Sheet'!F46,"")</f>
        <v/>
      </c>
      <c r="G45" t="str">
        <f>IF('Master Sheet'!C46="Area 2 (Viswakala S)",'Master Sheet'!G46,"")</f>
        <v/>
      </c>
      <c r="H45" t="str">
        <f>IF('Master Sheet'!C46="Area 2 (Viswakala S)",'Master Sheet'!H46,"")</f>
        <v/>
      </c>
      <c r="I45" t="str">
        <f>IF('Master Sheet'!C46="Area 2 (Viswakala S)",'Master Sheet'!I46,"")</f>
        <v/>
      </c>
      <c r="J45" t="str">
        <f>IF('Master Sheet'!C46="Area 2 (Viswakala S)",'Master Sheet'!J46,"")</f>
        <v/>
      </c>
      <c r="K45" t="str">
        <f>IF('Master Sheet'!C46="Area 2 (Viswakala S)",'Master Sheet'!K46,"")</f>
        <v/>
      </c>
      <c r="L45" t="str">
        <f>IF('Master Sheet'!C46="Area 2 (Viswakala S)",'Master Sheet'!L46,"")</f>
        <v/>
      </c>
      <c r="M45" t="str">
        <f>IF('Master Sheet'!C46="Area 2 (Viswakala S)",'Master Sheet'!M46,"")</f>
        <v/>
      </c>
      <c r="N45" t="str">
        <f>IF('Master Sheet'!C46="Area 2 (Viswakala S)",'Master Sheet'!N46,"")</f>
        <v/>
      </c>
      <c r="O45" t="str">
        <f>IF('Master Sheet'!C46="Area 2 (Viswakala S)",'Master Sheet'!O46,"")</f>
        <v/>
      </c>
      <c r="P45" t="str">
        <f>IF('Master Sheet'!C46="Area 2 (Viswakala S)",'Master Sheet'!P46,"")</f>
        <v/>
      </c>
    </row>
    <row r="46" spans="1:16" hidden="1" x14ac:dyDescent="0.25">
      <c r="A46" t="str">
        <f>IF('Master Sheet'!C47="Area 2 (Viswakala S)",'Master Sheet'!A47,"")</f>
        <v/>
      </c>
      <c r="B46" t="str">
        <f>IF('Master Sheet'!C47="Area 2 (Viswakala S)",'Master Sheet'!B47,"")</f>
        <v/>
      </c>
      <c r="C46" t="s">
        <v>5</v>
      </c>
      <c r="D46" t="str">
        <f>IF('Master Sheet'!C47="Area 2 (Viswakala S)",'Master Sheet'!D47,"")</f>
        <v/>
      </c>
      <c r="E46" t="str">
        <f>IF('Master Sheet'!C47="Area 2 (Viswakala S)",'Master Sheet'!E47,"")</f>
        <v/>
      </c>
      <c r="F46" t="str">
        <f>IF('Master Sheet'!C47="Area 2 (Viswakala S)",'Master Sheet'!F47,"")</f>
        <v/>
      </c>
      <c r="G46" t="str">
        <f>IF('Master Sheet'!C47="Area 2 (Viswakala S)",'Master Sheet'!G47,"")</f>
        <v/>
      </c>
      <c r="H46" t="str">
        <f>IF('Master Sheet'!C47="Area 2 (Viswakala S)",'Master Sheet'!H47,"")</f>
        <v/>
      </c>
      <c r="I46" t="str">
        <f>IF('Master Sheet'!C47="Area 2 (Viswakala S)",'Master Sheet'!I47,"")</f>
        <v/>
      </c>
      <c r="J46" t="str">
        <f>IF('Master Sheet'!C47="Area 2 (Viswakala S)",'Master Sheet'!J47,"")</f>
        <v/>
      </c>
      <c r="K46" t="str">
        <f>IF('Master Sheet'!C47="Area 2 (Viswakala S)",'Master Sheet'!K47,"")</f>
        <v/>
      </c>
      <c r="L46" t="str">
        <f>IF('Master Sheet'!C47="Area 2 (Viswakala S)",'Master Sheet'!L47,"")</f>
        <v/>
      </c>
      <c r="M46" t="str">
        <f>IF('Master Sheet'!C47="Area 2 (Viswakala S)",'Master Sheet'!M47,"")</f>
        <v/>
      </c>
      <c r="N46" t="str">
        <f>IF('Master Sheet'!C47="Area 2 (Viswakala S)",'Master Sheet'!N47,"")</f>
        <v/>
      </c>
      <c r="O46" t="str">
        <f>IF('Master Sheet'!C47="Area 2 (Viswakala S)",'Master Sheet'!O47,"")</f>
        <v/>
      </c>
      <c r="P46" t="str">
        <f>IF('Master Sheet'!C47="Area 2 (Viswakala S)",'Master Sheet'!P47,"")</f>
        <v/>
      </c>
    </row>
    <row r="47" spans="1:16" hidden="1" x14ac:dyDescent="0.25">
      <c r="A47" t="str">
        <f>IF('Master Sheet'!C48="Area 2 (Viswakala S)",'Master Sheet'!A48,"")</f>
        <v/>
      </c>
      <c r="B47" t="str">
        <f>IF('Master Sheet'!C48="Area 2 (Viswakala S)",'Master Sheet'!B48,"")</f>
        <v/>
      </c>
      <c r="C47" t="s">
        <v>5</v>
      </c>
      <c r="D47" t="str">
        <f>IF('Master Sheet'!C48="Area 2 (Viswakala S)",'Master Sheet'!D48,"")</f>
        <v/>
      </c>
      <c r="E47" t="str">
        <f>IF('Master Sheet'!C48="Area 2 (Viswakala S)",'Master Sheet'!E48,"")</f>
        <v/>
      </c>
      <c r="F47" t="str">
        <f>IF('Master Sheet'!C48="Area 2 (Viswakala S)",'Master Sheet'!F48,"")</f>
        <v/>
      </c>
      <c r="G47" t="str">
        <f>IF('Master Sheet'!C48="Area 2 (Viswakala S)",'Master Sheet'!G48,"")</f>
        <v/>
      </c>
      <c r="H47" t="str">
        <f>IF('Master Sheet'!C48="Area 2 (Viswakala S)",'Master Sheet'!H48,"")</f>
        <v/>
      </c>
      <c r="I47" t="str">
        <f>IF('Master Sheet'!C48="Area 2 (Viswakala S)",'Master Sheet'!I48,"")</f>
        <v/>
      </c>
      <c r="J47" t="str">
        <f>IF('Master Sheet'!C48="Area 2 (Viswakala S)",'Master Sheet'!J48,"")</f>
        <v/>
      </c>
      <c r="K47" t="str">
        <f>IF('Master Sheet'!C48="Area 2 (Viswakala S)",'Master Sheet'!K48,"")</f>
        <v/>
      </c>
      <c r="L47" t="str">
        <f>IF('Master Sheet'!C48="Area 2 (Viswakala S)",'Master Sheet'!L48,"")</f>
        <v/>
      </c>
      <c r="M47" t="str">
        <f>IF('Master Sheet'!C48="Area 2 (Viswakala S)",'Master Sheet'!M48,"")</f>
        <v/>
      </c>
      <c r="N47" t="str">
        <f>IF('Master Sheet'!C48="Area 2 (Viswakala S)",'Master Sheet'!N48,"")</f>
        <v/>
      </c>
      <c r="O47" t="str">
        <f>IF('Master Sheet'!C48="Area 2 (Viswakala S)",'Master Sheet'!O48,"")</f>
        <v/>
      </c>
      <c r="P47" t="str">
        <f>IF('Master Sheet'!C48="Area 2 (Viswakala S)",'Master Sheet'!P48,"")</f>
        <v/>
      </c>
    </row>
    <row r="48" spans="1:16" hidden="1" x14ac:dyDescent="0.25">
      <c r="A48" t="str">
        <f>IF('Master Sheet'!C49="Area 2 (Viswakala S)",'Master Sheet'!A49,"")</f>
        <v/>
      </c>
      <c r="B48" t="str">
        <f>IF('Master Sheet'!C49="Area 2 (Viswakala S)",'Master Sheet'!B49,"")</f>
        <v/>
      </c>
      <c r="C48" t="s">
        <v>5</v>
      </c>
      <c r="D48" t="str">
        <f>IF('Master Sheet'!C49="Area 2 (Viswakala S)",'Master Sheet'!D49,"")</f>
        <v/>
      </c>
      <c r="E48" t="str">
        <f>IF('Master Sheet'!C49="Area 2 (Viswakala S)",'Master Sheet'!E49,"")</f>
        <v/>
      </c>
      <c r="F48" t="str">
        <f>IF('Master Sheet'!C49="Area 2 (Viswakala S)",'Master Sheet'!F49,"")</f>
        <v/>
      </c>
      <c r="G48" t="str">
        <f>IF('Master Sheet'!C49="Area 2 (Viswakala S)",'Master Sheet'!G49,"")</f>
        <v/>
      </c>
      <c r="H48" t="str">
        <f>IF('Master Sheet'!C49="Area 2 (Viswakala S)",'Master Sheet'!H49,"")</f>
        <v/>
      </c>
      <c r="I48" t="str">
        <f>IF('Master Sheet'!C49="Area 2 (Viswakala S)",'Master Sheet'!I49,"")</f>
        <v/>
      </c>
      <c r="J48" t="str">
        <f>IF('Master Sheet'!C49="Area 2 (Viswakala S)",'Master Sheet'!J49,"")</f>
        <v/>
      </c>
      <c r="K48" t="str">
        <f>IF('Master Sheet'!C49="Area 2 (Viswakala S)",'Master Sheet'!K49,"")</f>
        <v/>
      </c>
      <c r="L48" t="str">
        <f>IF('Master Sheet'!C49="Area 2 (Viswakala S)",'Master Sheet'!L49,"")</f>
        <v/>
      </c>
      <c r="M48" t="str">
        <f>IF('Master Sheet'!C49="Area 2 (Viswakala S)",'Master Sheet'!M49,"")</f>
        <v/>
      </c>
      <c r="N48" t="str">
        <f>IF('Master Sheet'!C49="Area 2 (Viswakala S)",'Master Sheet'!N49,"")</f>
        <v/>
      </c>
      <c r="O48" t="str">
        <f>IF('Master Sheet'!C49="Area 2 (Viswakala S)",'Master Sheet'!O49,"")</f>
        <v/>
      </c>
      <c r="P48" t="str">
        <f>IF('Master Sheet'!C49="Area 2 (Viswakala S)",'Master Sheet'!P49,"")</f>
        <v/>
      </c>
    </row>
    <row r="49" spans="1:16" hidden="1" x14ac:dyDescent="0.25">
      <c r="A49" t="str">
        <f>IF('Master Sheet'!C50="Area 2 (Viswakala S)",'Master Sheet'!A50,"")</f>
        <v/>
      </c>
      <c r="B49" t="str">
        <f>IF('Master Sheet'!C50="Area 2 (Viswakala S)",'Master Sheet'!B50,"")</f>
        <v/>
      </c>
      <c r="C49" t="s">
        <v>5</v>
      </c>
      <c r="D49" t="str">
        <f>IF('Master Sheet'!C50="Area 2 (Viswakala S)",'Master Sheet'!D50,"")</f>
        <v/>
      </c>
      <c r="E49" t="str">
        <f>IF('Master Sheet'!C50="Area 2 (Viswakala S)",'Master Sheet'!E50,"")</f>
        <v/>
      </c>
      <c r="F49" t="str">
        <f>IF('Master Sheet'!C50="Area 2 (Viswakala S)",'Master Sheet'!F50,"")</f>
        <v/>
      </c>
      <c r="G49" t="str">
        <f>IF('Master Sheet'!C50="Area 2 (Viswakala S)",'Master Sheet'!G50,"")</f>
        <v/>
      </c>
      <c r="H49" t="str">
        <f>IF('Master Sheet'!C50="Area 2 (Viswakala S)",'Master Sheet'!H50,"")</f>
        <v/>
      </c>
      <c r="I49" t="str">
        <f>IF('Master Sheet'!C50="Area 2 (Viswakala S)",'Master Sheet'!I50,"")</f>
        <v/>
      </c>
      <c r="J49" t="str">
        <f>IF('Master Sheet'!C50="Area 2 (Viswakala S)",'Master Sheet'!J50,"")</f>
        <v/>
      </c>
      <c r="K49" t="str">
        <f>IF('Master Sheet'!C50="Area 2 (Viswakala S)",'Master Sheet'!K50,"")</f>
        <v/>
      </c>
      <c r="L49" t="str">
        <f>IF('Master Sheet'!C50="Area 2 (Viswakala S)",'Master Sheet'!L50,"")</f>
        <v/>
      </c>
      <c r="M49" t="str">
        <f>IF('Master Sheet'!C50="Area 2 (Viswakala S)",'Master Sheet'!M50,"")</f>
        <v/>
      </c>
      <c r="N49" t="str">
        <f>IF('Master Sheet'!C50="Area 2 (Viswakala S)",'Master Sheet'!N50,"")</f>
        <v/>
      </c>
      <c r="O49" t="str">
        <f>IF('Master Sheet'!C50="Area 2 (Viswakala S)",'Master Sheet'!O50,"")</f>
        <v/>
      </c>
      <c r="P49" t="str">
        <f>IF('Master Sheet'!C50="Area 2 (Viswakala S)",'Master Sheet'!P50,"")</f>
        <v/>
      </c>
    </row>
    <row r="50" spans="1:16" hidden="1" x14ac:dyDescent="0.25">
      <c r="A50" t="str">
        <f>IF('Master Sheet'!C51="Area 2 (Viswakala S)",'Master Sheet'!A51,"")</f>
        <v/>
      </c>
      <c r="B50" t="str">
        <f>IF('Master Sheet'!C51="Area 2 (Viswakala S)",'Master Sheet'!B51,"")</f>
        <v/>
      </c>
      <c r="C50" t="s">
        <v>5</v>
      </c>
      <c r="D50" t="str">
        <f>IF('Master Sheet'!C51="Area 2 (Viswakala S)",'Master Sheet'!D51,"")</f>
        <v/>
      </c>
      <c r="E50" t="str">
        <f>IF('Master Sheet'!C51="Area 2 (Viswakala S)",'Master Sheet'!E51,"")</f>
        <v/>
      </c>
      <c r="F50" t="str">
        <f>IF('Master Sheet'!C51="Area 2 (Viswakala S)",'Master Sheet'!F51,"")</f>
        <v/>
      </c>
      <c r="G50" t="str">
        <f>IF('Master Sheet'!C51="Area 2 (Viswakala S)",'Master Sheet'!G51,"")</f>
        <v/>
      </c>
      <c r="H50" t="str">
        <f>IF('Master Sheet'!C51="Area 2 (Viswakala S)",'Master Sheet'!H51,"")</f>
        <v/>
      </c>
      <c r="I50" t="str">
        <f>IF('Master Sheet'!C51="Area 2 (Viswakala S)",'Master Sheet'!I51,"")</f>
        <v/>
      </c>
      <c r="J50" t="str">
        <f>IF('Master Sheet'!C51="Area 2 (Viswakala S)",'Master Sheet'!J51,"")</f>
        <v/>
      </c>
      <c r="K50" t="str">
        <f>IF('Master Sheet'!C51="Area 2 (Viswakala S)",'Master Sheet'!K51,"")</f>
        <v/>
      </c>
      <c r="L50" t="str">
        <f>IF('Master Sheet'!C51="Area 2 (Viswakala S)",'Master Sheet'!L51,"")</f>
        <v/>
      </c>
      <c r="M50" t="str">
        <f>IF('Master Sheet'!C51="Area 2 (Viswakala S)",'Master Sheet'!M51,"")</f>
        <v/>
      </c>
      <c r="N50" t="str">
        <f>IF('Master Sheet'!C51="Area 2 (Viswakala S)",'Master Sheet'!N51,"")</f>
        <v/>
      </c>
      <c r="O50" t="str">
        <f>IF('Master Sheet'!C51="Area 2 (Viswakala S)",'Master Sheet'!O51,"")</f>
        <v/>
      </c>
      <c r="P50" t="str">
        <f>IF('Master Sheet'!C51="Area 2 (Viswakala S)",'Master Sheet'!P51,"")</f>
        <v/>
      </c>
    </row>
    <row r="51" spans="1:16" hidden="1" x14ac:dyDescent="0.25">
      <c r="A51" t="str">
        <f>IF('Master Sheet'!C52="Area 2 (Viswakala S)",'Master Sheet'!A52,"")</f>
        <v/>
      </c>
      <c r="B51" t="str">
        <f>IF('Master Sheet'!C52="Area 2 (Viswakala S)",'Master Sheet'!B52,"")</f>
        <v/>
      </c>
      <c r="C51" t="s">
        <v>5</v>
      </c>
      <c r="D51" t="str">
        <f>IF('Master Sheet'!C52="Area 2 (Viswakala S)",'Master Sheet'!D52,"")</f>
        <v/>
      </c>
      <c r="E51" t="str">
        <f>IF('Master Sheet'!C52="Area 2 (Viswakala S)",'Master Sheet'!E52,"")</f>
        <v/>
      </c>
      <c r="F51" t="str">
        <f>IF('Master Sheet'!C52="Area 2 (Viswakala S)",'Master Sheet'!F52,"")</f>
        <v/>
      </c>
      <c r="G51" t="str">
        <f>IF('Master Sheet'!C52="Area 2 (Viswakala S)",'Master Sheet'!G52,"")</f>
        <v/>
      </c>
      <c r="H51" t="str">
        <f>IF('Master Sheet'!C52="Area 2 (Viswakala S)",'Master Sheet'!H52,"")</f>
        <v/>
      </c>
      <c r="I51" t="str">
        <f>IF('Master Sheet'!C52="Area 2 (Viswakala S)",'Master Sheet'!I52,"")</f>
        <v/>
      </c>
      <c r="J51" t="str">
        <f>IF('Master Sheet'!C52="Area 2 (Viswakala S)",'Master Sheet'!J52,"")</f>
        <v/>
      </c>
      <c r="K51" t="str">
        <f>IF('Master Sheet'!C52="Area 2 (Viswakala S)",'Master Sheet'!K52,"")</f>
        <v/>
      </c>
      <c r="L51" t="str">
        <f>IF('Master Sheet'!C52="Area 2 (Viswakala S)",'Master Sheet'!L52,"")</f>
        <v/>
      </c>
      <c r="M51" t="str">
        <f>IF('Master Sheet'!C52="Area 2 (Viswakala S)",'Master Sheet'!M52,"")</f>
        <v/>
      </c>
      <c r="N51" t="str">
        <f>IF('Master Sheet'!C52="Area 2 (Viswakala S)",'Master Sheet'!N52,"")</f>
        <v/>
      </c>
      <c r="O51" t="str">
        <f>IF('Master Sheet'!C52="Area 2 (Viswakala S)",'Master Sheet'!O52,"")</f>
        <v/>
      </c>
      <c r="P51" t="str">
        <f>IF('Master Sheet'!C52="Area 2 (Viswakala S)",'Master Sheet'!P52,"")</f>
        <v/>
      </c>
    </row>
    <row r="52" spans="1:16" hidden="1" x14ac:dyDescent="0.25">
      <c r="A52" t="str">
        <f>IF('Master Sheet'!C53="Area 2 (Viswakala S)",'Master Sheet'!A53,"")</f>
        <v/>
      </c>
      <c r="B52" t="str">
        <f>IF('Master Sheet'!C53="Area 2 (Viswakala S)",'Master Sheet'!B53,"")</f>
        <v/>
      </c>
      <c r="C52" t="s">
        <v>5</v>
      </c>
      <c r="D52" t="str">
        <f>IF('Master Sheet'!C53="Area 2 (Viswakala S)",'Master Sheet'!D53,"")</f>
        <v/>
      </c>
      <c r="E52" t="str">
        <f>IF('Master Sheet'!C53="Area 2 (Viswakala S)",'Master Sheet'!E53,"")</f>
        <v/>
      </c>
      <c r="F52" t="str">
        <f>IF('Master Sheet'!C53="Area 2 (Viswakala S)",'Master Sheet'!F53,"")</f>
        <v/>
      </c>
      <c r="G52" t="str">
        <f>IF('Master Sheet'!C53="Area 2 (Viswakala S)",'Master Sheet'!G53,"")</f>
        <v/>
      </c>
      <c r="H52" t="str">
        <f>IF('Master Sheet'!C53="Area 2 (Viswakala S)",'Master Sheet'!H53,"")</f>
        <v/>
      </c>
      <c r="I52" t="str">
        <f>IF('Master Sheet'!C53="Area 2 (Viswakala S)",'Master Sheet'!I53,"")</f>
        <v/>
      </c>
      <c r="J52" t="str">
        <f>IF('Master Sheet'!C53="Area 2 (Viswakala S)",'Master Sheet'!J53,"")</f>
        <v/>
      </c>
      <c r="K52" t="str">
        <f>IF('Master Sheet'!C53="Area 2 (Viswakala S)",'Master Sheet'!K53,"")</f>
        <v/>
      </c>
      <c r="L52" t="str">
        <f>IF('Master Sheet'!C53="Area 2 (Viswakala S)",'Master Sheet'!L53,"")</f>
        <v/>
      </c>
      <c r="M52" t="str">
        <f>IF('Master Sheet'!C53="Area 2 (Viswakala S)",'Master Sheet'!M53,"")</f>
        <v/>
      </c>
      <c r="N52" t="str">
        <f>IF('Master Sheet'!C53="Area 2 (Viswakala S)",'Master Sheet'!N53,"")</f>
        <v/>
      </c>
      <c r="O52" t="str">
        <f>IF('Master Sheet'!C53="Area 2 (Viswakala S)",'Master Sheet'!O53,"")</f>
        <v/>
      </c>
      <c r="P52" t="str">
        <f>IF('Master Sheet'!C53="Area 2 (Viswakala S)",'Master Sheet'!P53,"")</f>
        <v/>
      </c>
    </row>
    <row r="53" spans="1:16" hidden="1" x14ac:dyDescent="0.25">
      <c r="A53" t="str">
        <f>IF('Master Sheet'!C54="Area 2 (Viswakala S)",'Master Sheet'!A54,"")</f>
        <v/>
      </c>
      <c r="B53" t="str">
        <f>IF('Master Sheet'!C54="Area 2 (Viswakala S)",'Master Sheet'!B54,"")</f>
        <v/>
      </c>
      <c r="C53" t="s">
        <v>5</v>
      </c>
      <c r="D53" t="str">
        <f>IF('Master Sheet'!C54="Area 2 (Viswakala S)",'Master Sheet'!D54,"")</f>
        <v/>
      </c>
      <c r="E53" t="str">
        <f>IF('Master Sheet'!C54="Area 2 (Viswakala S)",'Master Sheet'!E54,"")</f>
        <v/>
      </c>
      <c r="F53" t="str">
        <f>IF('Master Sheet'!C54="Area 2 (Viswakala S)",'Master Sheet'!F54,"")</f>
        <v/>
      </c>
      <c r="G53" t="str">
        <f>IF('Master Sheet'!C54="Area 2 (Viswakala S)",'Master Sheet'!G54,"")</f>
        <v/>
      </c>
      <c r="H53" t="str">
        <f>IF('Master Sheet'!C54="Area 2 (Viswakala S)",'Master Sheet'!H54,"")</f>
        <v/>
      </c>
      <c r="I53" t="str">
        <f>IF('Master Sheet'!C54="Area 2 (Viswakala S)",'Master Sheet'!I54,"")</f>
        <v/>
      </c>
      <c r="J53" t="str">
        <f>IF('Master Sheet'!C54="Area 2 (Viswakala S)",'Master Sheet'!J54,"")</f>
        <v/>
      </c>
      <c r="K53" t="str">
        <f>IF('Master Sheet'!C54="Area 2 (Viswakala S)",'Master Sheet'!K54,"")</f>
        <v/>
      </c>
      <c r="L53" t="str">
        <f>IF('Master Sheet'!C54="Area 2 (Viswakala S)",'Master Sheet'!L54,"")</f>
        <v/>
      </c>
      <c r="M53" t="str">
        <f>IF('Master Sheet'!C54="Area 2 (Viswakala S)",'Master Sheet'!M54,"")</f>
        <v/>
      </c>
      <c r="N53" t="str">
        <f>IF('Master Sheet'!C54="Area 2 (Viswakala S)",'Master Sheet'!N54,"")</f>
        <v/>
      </c>
      <c r="O53" t="str">
        <f>IF('Master Sheet'!C54="Area 2 (Viswakala S)",'Master Sheet'!O54,"")</f>
        <v/>
      </c>
      <c r="P53" t="str">
        <f>IF('Master Sheet'!C54="Area 2 (Viswakala S)",'Master Sheet'!P54,"")</f>
        <v/>
      </c>
    </row>
    <row r="54" spans="1:16" hidden="1" x14ac:dyDescent="0.25">
      <c r="A54" t="str">
        <f>IF('Master Sheet'!C55="Area 2 (Viswakala S)",'Master Sheet'!A55,"")</f>
        <v/>
      </c>
      <c r="B54" t="str">
        <f>IF('Master Sheet'!C55="Area 2 (Viswakala S)",'Master Sheet'!B55,"")</f>
        <v/>
      </c>
      <c r="C54" t="s">
        <v>5</v>
      </c>
      <c r="D54" t="str">
        <f>IF('Master Sheet'!C55="Area 2 (Viswakala S)",'Master Sheet'!D55,"")</f>
        <v/>
      </c>
      <c r="E54" t="str">
        <f>IF('Master Sheet'!C55="Area 2 (Viswakala S)",'Master Sheet'!E55,"")</f>
        <v/>
      </c>
      <c r="F54" t="str">
        <f>IF('Master Sheet'!C55="Area 2 (Viswakala S)",'Master Sheet'!F55,"")</f>
        <v/>
      </c>
      <c r="G54" t="str">
        <f>IF('Master Sheet'!C55="Area 2 (Viswakala S)",'Master Sheet'!G55,"")</f>
        <v/>
      </c>
      <c r="H54" t="str">
        <f>IF('Master Sheet'!C55="Area 2 (Viswakala S)",'Master Sheet'!H55,"")</f>
        <v/>
      </c>
      <c r="I54" t="str">
        <f>IF('Master Sheet'!C55="Area 2 (Viswakala S)",'Master Sheet'!I55,"")</f>
        <v/>
      </c>
      <c r="J54" t="str">
        <f>IF('Master Sheet'!C55="Area 2 (Viswakala S)",'Master Sheet'!J55,"")</f>
        <v/>
      </c>
      <c r="K54" t="str">
        <f>IF('Master Sheet'!C55="Area 2 (Viswakala S)",'Master Sheet'!K55,"")</f>
        <v/>
      </c>
      <c r="L54" t="str">
        <f>IF('Master Sheet'!C55="Area 2 (Viswakala S)",'Master Sheet'!L55,"")</f>
        <v/>
      </c>
      <c r="M54" t="str">
        <f>IF('Master Sheet'!C55="Area 2 (Viswakala S)",'Master Sheet'!M55,"")</f>
        <v/>
      </c>
      <c r="N54" t="str">
        <f>IF('Master Sheet'!C55="Area 2 (Viswakala S)",'Master Sheet'!N55,"")</f>
        <v/>
      </c>
      <c r="O54" t="str">
        <f>IF('Master Sheet'!C55="Area 2 (Viswakala S)",'Master Sheet'!O55,"")</f>
        <v/>
      </c>
      <c r="P54" t="str">
        <f>IF('Master Sheet'!C55="Area 2 (Viswakala S)",'Master Sheet'!P55,"")</f>
        <v/>
      </c>
    </row>
    <row r="55" spans="1:16" hidden="1" x14ac:dyDescent="0.25">
      <c r="A55" t="str">
        <f>IF('Master Sheet'!C56="Area 2 (Viswakala S)",'Master Sheet'!A56,"")</f>
        <v/>
      </c>
      <c r="B55" t="str">
        <f>IF('Master Sheet'!C56="Area 2 (Viswakala S)",'Master Sheet'!B56,"")</f>
        <v/>
      </c>
      <c r="C55" t="s">
        <v>5</v>
      </c>
      <c r="D55" t="str">
        <f>IF('Master Sheet'!C56="Area 2 (Viswakala S)",'Master Sheet'!D56,"")</f>
        <v/>
      </c>
      <c r="E55" t="str">
        <f>IF('Master Sheet'!C56="Area 2 (Viswakala S)",'Master Sheet'!E56,"")</f>
        <v/>
      </c>
      <c r="F55" t="str">
        <f>IF('Master Sheet'!C56="Area 2 (Viswakala S)",'Master Sheet'!F56,"")</f>
        <v/>
      </c>
      <c r="G55" t="str">
        <f>IF('Master Sheet'!C56="Area 2 (Viswakala S)",'Master Sheet'!G56,"")</f>
        <v/>
      </c>
      <c r="H55" t="str">
        <f>IF('Master Sheet'!C56="Area 2 (Viswakala S)",'Master Sheet'!H56,"")</f>
        <v/>
      </c>
      <c r="I55" t="str">
        <f>IF('Master Sheet'!C56="Area 2 (Viswakala S)",'Master Sheet'!I56,"")</f>
        <v/>
      </c>
      <c r="J55" t="str">
        <f>IF('Master Sheet'!C56="Area 2 (Viswakala S)",'Master Sheet'!J56,"")</f>
        <v/>
      </c>
      <c r="K55" t="str">
        <f>IF('Master Sheet'!C56="Area 2 (Viswakala S)",'Master Sheet'!K56,"")</f>
        <v/>
      </c>
      <c r="L55" t="str">
        <f>IF('Master Sheet'!C56="Area 2 (Viswakala S)",'Master Sheet'!L56,"")</f>
        <v/>
      </c>
      <c r="M55" t="str">
        <f>IF('Master Sheet'!C56="Area 2 (Viswakala S)",'Master Sheet'!M56,"")</f>
        <v/>
      </c>
      <c r="N55" t="str">
        <f>IF('Master Sheet'!C56="Area 2 (Viswakala S)",'Master Sheet'!N56,"")</f>
        <v/>
      </c>
      <c r="O55" t="str">
        <f>IF('Master Sheet'!C56="Area 2 (Viswakala S)",'Master Sheet'!O56,"")</f>
        <v/>
      </c>
      <c r="P55" t="str">
        <f>IF('Master Sheet'!C56="Area 2 (Viswakala S)",'Master Sheet'!P56,"")</f>
        <v/>
      </c>
    </row>
    <row r="56" spans="1:16" hidden="1" x14ac:dyDescent="0.25">
      <c r="A56" t="str">
        <f>IF('Master Sheet'!C57="Area 2 (Viswakala S)",'Master Sheet'!A57,"")</f>
        <v/>
      </c>
      <c r="B56" t="str">
        <f>IF('Master Sheet'!C57="Area 2 (Viswakala S)",'Master Sheet'!B57,"")</f>
        <v/>
      </c>
      <c r="C56" t="s">
        <v>5</v>
      </c>
      <c r="D56" t="str">
        <f>IF('Master Sheet'!C57="Area 2 (Viswakala S)",'Master Sheet'!D57,"")</f>
        <v/>
      </c>
      <c r="E56" t="str">
        <f>IF('Master Sheet'!C57="Area 2 (Viswakala S)",'Master Sheet'!E57,"")</f>
        <v/>
      </c>
      <c r="F56" t="str">
        <f>IF('Master Sheet'!C57="Area 2 (Viswakala S)",'Master Sheet'!F57,"")</f>
        <v/>
      </c>
      <c r="G56" t="str">
        <f>IF('Master Sheet'!C57="Area 2 (Viswakala S)",'Master Sheet'!G57,"")</f>
        <v/>
      </c>
      <c r="H56" t="str">
        <f>IF('Master Sheet'!C57="Area 2 (Viswakala S)",'Master Sheet'!H57,"")</f>
        <v/>
      </c>
      <c r="I56" t="str">
        <f>IF('Master Sheet'!C57="Area 2 (Viswakala S)",'Master Sheet'!I57,"")</f>
        <v/>
      </c>
      <c r="J56" t="str">
        <f>IF('Master Sheet'!C57="Area 2 (Viswakala S)",'Master Sheet'!J57,"")</f>
        <v/>
      </c>
      <c r="K56" t="str">
        <f>IF('Master Sheet'!C57="Area 2 (Viswakala S)",'Master Sheet'!K57,"")</f>
        <v/>
      </c>
      <c r="L56" t="str">
        <f>IF('Master Sheet'!C57="Area 2 (Viswakala S)",'Master Sheet'!L57,"")</f>
        <v/>
      </c>
      <c r="M56" t="str">
        <f>IF('Master Sheet'!C57="Area 2 (Viswakala S)",'Master Sheet'!M57,"")</f>
        <v/>
      </c>
      <c r="N56" t="str">
        <f>IF('Master Sheet'!C57="Area 2 (Viswakala S)",'Master Sheet'!N57,"")</f>
        <v/>
      </c>
      <c r="O56" t="str">
        <f>IF('Master Sheet'!C57="Area 2 (Viswakala S)",'Master Sheet'!O57,"")</f>
        <v/>
      </c>
      <c r="P56" t="str">
        <f>IF('Master Sheet'!C57="Area 2 (Viswakala S)",'Master Sheet'!P57,"")</f>
        <v/>
      </c>
    </row>
    <row r="57" spans="1:16" hidden="1" x14ac:dyDescent="0.25">
      <c r="A57" t="str">
        <f>IF('Master Sheet'!C58="Area 2 (Viswakala S)",'Master Sheet'!A58,"")</f>
        <v/>
      </c>
      <c r="B57" t="str">
        <f>IF('Master Sheet'!C58="Area 2 (Viswakala S)",'Master Sheet'!B58,"")</f>
        <v/>
      </c>
      <c r="C57" t="s">
        <v>5</v>
      </c>
      <c r="D57" t="str">
        <f>IF('Master Sheet'!C58="Area 2 (Viswakala S)",'Master Sheet'!D58,"")</f>
        <v/>
      </c>
      <c r="E57" t="str">
        <f>IF('Master Sheet'!C58="Area 2 (Viswakala S)",'Master Sheet'!E58,"")</f>
        <v/>
      </c>
      <c r="F57" t="str">
        <f>IF('Master Sheet'!C58="Area 2 (Viswakala S)",'Master Sheet'!F58,"")</f>
        <v/>
      </c>
      <c r="G57" t="str">
        <f>IF('Master Sheet'!C58="Area 2 (Viswakala S)",'Master Sheet'!G58,"")</f>
        <v/>
      </c>
      <c r="H57" t="str">
        <f>IF('Master Sheet'!C58="Area 2 (Viswakala S)",'Master Sheet'!H58,"")</f>
        <v/>
      </c>
      <c r="I57" t="str">
        <f>IF('Master Sheet'!C58="Area 2 (Viswakala S)",'Master Sheet'!I58,"")</f>
        <v/>
      </c>
      <c r="J57" t="str">
        <f>IF('Master Sheet'!C58="Area 2 (Viswakala S)",'Master Sheet'!J58,"")</f>
        <v/>
      </c>
      <c r="K57" t="str">
        <f>IF('Master Sheet'!C58="Area 2 (Viswakala S)",'Master Sheet'!K58,"")</f>
        <v/>
      </c>
      <c r="L57" t="str">
        <f>IF('Master Sheet'!C58="Area 2 (Viswakala S)",'Master Sheet'!L58,"")</f>
        <v/>
      </c>
      <c r="M57" t="str">
        <f>IF('Master Sheet'!C58="Area 2 (Viswakala S)",'Master Sheet'!M58,"")</f>
        <v/>
      </c>
      <c r="N57" t="str">
        <f>IF('Master Sheet'!C58="Area 2 (Viswakala S)",'Master Sheet'!N58,"")</f>
        <v/>
      </c>
      <c r="O57" t="str">
        <f>IF('Master Sheet'!C58="Area 2 (Viswakala S)",'Master Sheet'!O58,"")</f>
        <v/>
      </c>
      <c r="P57" t="str">
        <f>IF('Master Sheet'!C58="Area 2 (Viswakala S)",'Master Sheet'!P58,"")</f>
        <v/>
      </c>
    </row>
    <row r="58" spans="1:16" hidden="1" x14ac:dyDescent="0.25">
      <c r="A58" t="str">
        <f>IF('Master Sheet'!C59="Area 2 (Viswakala S)",'Master Sheet'!A59,"")</f>
        <v/>
      </c>
      <c r="B58" t="str">
        <f>IF('Master Sheet'!C59="Area 2 (Viswakala S)",'Master Sheet'!B59,"")</f>
        <v/>
      </c>
      <c r="C58" t="s">
        <v>5</v>
      </c>
      <c r="D58" t="str">
        <f>IF('Master Sheet'!C59="Area 2 (Viswakala S)",'Master Sheet'!D59,"")</f>
        <v/>
      </c>
      <c r="E58" t="str">
        <f>IF('Master Sheet'!C59="Area 2 (Viswakala S)",'Master Sheet'!E59,"")</f>
        <v/>
      </c>
      <c r="F58" t="str">
        <f>IF('Master Sheet'!C59="Area 2 (Viswakala S)",'Master Sheet'!F59,"")</f>
        <v/>
      </c>
      <c r="G58" t="str">
        <f>IF('Master Sheet'!C59="Area 2 (Viswakala S)",'Master Sheet'!G59,"")</f>
        <v/>
      </c>
      <c r="H58" t="str">
        <f>IF('Master Sheet'!C59="Area 2 (Viswakala S)",'Master Sheet'!H59,"")</f>
        <v/>
      </c>
      <c r="I58" t="str">
        <f>IF('Master Sheet'!C59="Area 2 (Viswakala S)",'Master Sheet'!I59,"")</f>
        <v/>
      </c>
      <c r="J58" t="str">
        <f>IF('Master Sheet'!C59="Area 2 (Viswakala S)",'Master Sheet'!J59,"")</f>
        <v/>
      </c>
      <c r="K58" t="str">
        <f>IF('Master Sheet'!C59="Area 2 (Viswakala S)",'Master Sheet'!K59,"")</f>
        <v/>
      </c>
      <c r="L58" t="str">
        <f>IF('Master Sheet'!C59="Area 2 (Viswakala S)",'Master Sheet'!L59,"")</f>
        <v/>
      </c>
      <c r="M58" t="str">
        <f>IF('Master Sheet'!C59="Area 2 (Viswakala S)",'Master Sheet'!M59,"")</f>
        <v/>
      </c>
      <c r="N58" t="str">
        <f>IF('Master Sheet'!C59="Area 2 (Viswakala S)",'Master Sheet'!N59,"")</f>
        <v/>
      </c>
      <c r="O58" t="str">
        <f>IF('Master Sheet'!C59="Area 2 (Viswakala S)",'Master Sheet'!O59,"")</f>
        <v/>
      </c>
      <c r="P58" t="str">
        <f>IF('Master Sheet'!C59="Area 2 (Viswakala S)",'Master Sheet'!P59,"")</f>
        <v/>
      </c>
    </row>
    <row r="59" spans="1:16" hidden="1" x14ac:dyDescent="0.25">
      <c r="A59" t="str">
        <f>IF('Master Sheet'!C60="Area 2 (Viswakala S)",'Master Sheet'!A60,"")</f>
        <v/>
      </c>
      <c r="B59" t="str">
        <f>IF('Master Sheet'!C60="Area 2 (Viswakala S)",'Master Sheet'!B60,"")</f>
        <v/>
      </c>
      <c r="C59" t="s">
        <v>5</v>
      </c>
      <c r="D59" t="str">
        <f>IF('Master Sheet'!C60="Area 2 (Viswakala S)",'Master Sheet'!D60,"")</f>
        <v/>
      </c>
      <c r="E59" t="str">
        <f>IF('Master Sheet'!C60="Area 2 (Viswakala S)",'Master Sheet'!E60,"")</f>
        <v/>
      </c>
      <c r="F59" t="str">
        <f>IF('Master Sheet'!C60="Area 2 (Viswakala S)",'Master Sheet'!F60,"")</f>
        <v/>
      </c>
      <c r="G59" t="str">
        <f>IF('Master Sheet'!C60="Area 2 (Viswakala S)",'Master Sheet'!G60,"")</f>
        <v/>
      </c>
      <c r="H59" t="str">
        <f>IF('Master Sheet'!C60="Area 2 (Viswakala S)",'Master Sheet'!H60,"")</f>
        <v/>
      </c>
      <c r="I59" t="str">
        <f>IF('Master Sheet'!C60="Area 2 (Viswakala S)",'Master Sheet'!I60,"")</f>
        <v/>
      </c>
      <c r="J59" t="str">
        <f>IF('Master Sheet'!C60="Area 2 (Viswakala S)",'Master Sheet'!J60,"")</f>
        <v/>
      </c>
      <c r="K59" t="str">
        <f>IF('Master Sheet'!C60="Area 2 (Viswakala S)",'Master Sheet'!K60,"")</f>
        <v/>
      </c>
      <c r="L59" t="str">
        <f>IF('Master Sheet'!C60="Area 2 (Viswakala S)",'Master Sheet'!L60,"")</f>
        <v/>
      </c>
      <c r="M59" t="str">
        <f>IF('Master Sheet'!C60="Area 2 (Viswakala S)",'Master Sheet'!M60,"")</f>
        <v/>
      </c>
      <c r="N59" t="str">
        <f>IF('Master Sheet'!C60="Area 2 (Viswakala S)",'Master Sheet'!N60,"")</f>
        <v/>
      </c>
      <c r="O59" t="str">
        <f>IF('Master Sheet'!C60="Area 2 (Viswakala S)",'Master Sheet'!O60,"")</f>
        <v/>
      </c>
      <c r="P59" t="str">
        <f>IF('Master Sheet'!C60="Area 2 (Viswakala S)",'Master Sheet'!P60,"")</f>
        <v/>
      </c>
    </row>
    <row r="60" spans="1:16" hidden="1" x14ac:dyDescent="0.25">
      <c r="A60" t="str">
        <f>IF('Master Sheet'!C61="Area 2 (Viswakala S)",'Master Sheet'!A61,"")</f>
        <v/>
      </c>
      <c r="B60" t="str">
        <f>IF('Master Sheet'!C61="Area 2 (Viswakala S)",'Master Sheet'!B61,"")</f>
        <v/>
      </c>
      <c r="C60" t="s">
        <v>5</v>
      </c>
      <c r="D60" t="str">
        <f>IF('Master Sheet'!C61="Area 2 (Viswakala S)",'Master Sheet'!D61,"")</f>
        <v/>
      </c>
      <c r="E60" t="str">
        <f>IF('Master Sheet'!C61="Area 2 (Viswakala S)",'Master Sheet'!E61,"")</f>
        <v/>
      </c>
      <c r="F60" t="str">
        <f>IF('Master Sheet'!C61="Area 2 (Viswakala S)",'Master Sheet'!F61,"")</f>
        <v/>
      </c>
      <c r="G60" t="str">
        <f>IF('Master Sheet'!C61="Area 2 (Viswakala S)",'Master Sheet'!G61,"")</f>
        <v/>
      </c>
      <c r="H60" t="str">
        <f>IF('Master Sheet'!C61="Area 2 (Viswakala S)",'Master Sheet'!H61,"")</f>
        <v/>
      </c>
      <c r="I60" t="str">
        <f>IF('Master Sheet'!C61="Area 2 (Viswakala S)",'Master Sheet'!I61,"")</f>
        <v/>
      </c>
      <c r="J60" t="str">
        <f>IF('Master Sheet'!C61="Area 2 (Viswakala S)",'Master Sheet'!J61,"")</f>
        <v/>
      </c>
      <c r="K60" t="str">
        <f>IF('Master Sheet'!C61="Area 2 (Viswakala S)",'Master Sheet'!K61,"")</f>
        <v/>
      </c>
      <c r="L60" t="str">
        <f>IF('Master Sheet'!C61="Area 2 (Viswakala S)",'Master Sheet'!L61,"")</f>
        <v/>
      </c>
      <c r="M60" t="str">
        <f>IF('Master Sheet'!C61="Area 2 (Viswakala S)",'Master Sheet'!M61,"")</f>
        <v/>
      </c>
      <c r="N60" t="str">
        <f>IF('Master Sheet'!C61="Area 2 (Viswakala S)",'Master Sheet'!N61,"")</f>
        <v/>
      </c>
      <c r="O60" t="str">
        <f>IF('Master Sheet'!C61="Area 2 (Viswakala S)",'Master Sheet'!O61,"")</f>
        <v/>
      </c>
      <c r="P60" t="str">
        <f>IF('Master Sheet'!C61="Area 2 (Viswakala S)",'Master Sheet'!P61,"")</f>
        <v/>
      </c>
    </row>
    <row r="61" spans="1:16" hidden="1" x14ac:dyDescent="0.25">
      <c r="A61" t="str">
        <f>IF('Master Sheet'!C62="Area 2 (Viswakala S)",'Master Sheet'!A62,"")</f>
        <v/>
      </c>
      <c r="B61" t="str">
        <f>IF('Master Sheet'!C62="Area 2 (Viswakala S)",'Master Sheet'!B62,"")</f>
        <v/>
      </c>
      <c r="C61" t="s">
        <v>5</v>
      </c>
      <c r="D61" t="str">
        <f>IF('Master Sheet'!C62="Area 2 (Viswakala S)",'Master Sheet'!D62,"")</f>
        <v/>
      </c>
      <c r="E61" t="str">
        <f>IF('Master Sheet'!C62="Area 2 (Viswakala S)",'Master Sheet'!E62,"")</f>
        <v/>
      </c>
      <c r="F61" t="str">
        <f>IF('Master Sheet'!C62="Area 2 (Viswakala S)",'Master Sheet'!F62,"")</f>
        <v/>
      </c>
      <c r="G61" t="str">
        <f>IF('Master Sheet'!C62="Area 2 (Viswakala S)",'Master Sheet'!G62,"")</f>
        <v/>
      </c>
      <c r="H61" t="str">
        <f>IF('Master Sheet'!C62="Area 2 (Viswakala S)",'Master Sheet'!H62,"")</f>
        <v/>
      </c>
      <c r="I61" t="str">
        <f>IF('Master Sheet'!C62="Area 2 (Viswakala S)",'Master Sheet'!I62,"")</f>
        <v/>
      </c>
      <c r="J61" t="str">
        <f>IF('Master Sheet'!C62="Area 2 (Viswakala S)",'Master Sheet'!J62,"")</f>
        <v/>
      </c>
      <c r="K61" t="str">
        <f>IF('Master Sheet'!C62="Area 2 (Viswakala S)",'Master Sheet'!K62,"")</f>
        <v/>
      </c>
      <c r="L61" t="str">
        <f>IF('Master Sheet'!C62="Area 2 (Viswakala S)",'Master Sheet'!L62,"")</f>
        <v/>
      </c>
      <c r="M61" t="str">
        <f>IF('Master Sheet'!C62="Area 2 (Viswakala S)",'Master Sheet'!M62,"")</f>
        <v/>
      </c>
      <c r="N61" t="str">
        <f>IF('Master Sheet'!C62="Area 2 (Viswakala S)",'Master Sheet'!N62,"")</f>
        <v/>
      </c>
      <c r="O61" t="str">
        <f>IF('Master Sheet'!C62="Area 2 (Viswakala S)",'Master Sheet'!O62,"")</f>
        <v/>
      </c>
      <c r="P61" t="str">
        <f>IF('Master Sheet'!C62="Area 2 (Viswakala S)",'Master Sheet'!P62,"")</f>
        <v/>
      </c>
    </row>
    <row r="62" spans="1:16" hidden="1" x14ac:dyDescent="0.25">
      <c r="A62" t="str">
        <f>IF('Master Sheet'!C63="Area 2 (Viswakala S)",'Master Sheet'!A63,"")</f>
        <v/>
      </c>
      <c r="B62" t="str">
        <f>IF('Master Sheet'!C63="Area 2 (Viswakala S)",'Master Sheet'!B63,"")</f>
        <v/>
      </c>
      <c r="C62" t="s">
        <v>5</v>
      </c>
      <c r="D62" t="str">
        <f>IF('Master Sheet'!C63="Area 2 (Viswakala S)",'Master Sheet'!D63,"")</f>
        <v/>
      </c>
      <c r="E62" t="str">
        <f>IF('Master Sheet'!C63="Area 2 (Viswakala S)",'Master Sheet'!E63,"")</f>
        <v/>
      </c>
      <c r="F62" t="str">
        <f>IF('Master Sheet'!C63="Area 2 (Viswakala S)",'Master Sheet'!F63,"")</f>
        <v/>
      </c>
      <c r="G62" t="str">
        <f>IF('Master Sheet'!C63="Area 2 (Viswakala S)",'Master Sheet'!G63,"")</f>
        <v/>
      </c>
      <c r="H62" t="str">
        <f>IF('Master Sheet'!C63="Area 2 (Viswakala S)",'Master Sheet'!H63,"")</f>
        <v/>
      </c>
      <c r="I62" t="str">
        <f>IF('Master Sheet'!C63="Area 2 (Viswakala S)",'Master Sheet'!I63,"")</f>
        <v/>
      </c>
      <c r="J62" t="str">
        <f>IF('Master Sheet'!C63="Area 2 (Viswakala S)",'Master Sheet'!J63,"")</f>
        <v/>
      </c>
      <c r="K62" t="str">
        <f>IF('Master Sheet'!C63="Area 2 (Viswakala S)",'Master Sheet'!K63,"")</f>
        <v/>
      </c>
      <c r="L62" t="str">
        <f>IF('Master Sheet'!C63="Area 2 (Viswakala S)",'Master Sheet'!L63,"")</f>
        <v/>
      </c>
      <c r="M62" t="str">
        <f>IF('Master Sheet'!C63="Area 2 (Viswakala S)",'Master Sheet'!M63,"")</f>
        <v/>
      </c>
      <c r="N62" t="str">
        <f>IF('Master Sheet'!C63="Area 2 (Viswakala S)",'Master Sheet'!N63,"")</f>
        <v/>
      </c>
      <c r="O62" t="str">
        <f>IF('Master Sheet'!C63="Area 2 (Viswakala S)",'Master Sheet'!O63,"")</f>
        <v/>
      </c>
      <c r="P62" t="str">
        <f>IF('Master Sheet'!C63="Area 2 (Viswakala S)",'Master Sheet'!P63,"")</f>
        <v/>
      </c>
    </row>
    <row r="63" spans="1:16" hidden="1" x14ac:dyDescent="0.25">
      <c r="A63" t="str">
        <f>IF('Master Sheet'!C64="Area 2 (Viswakala S)",'Master Sheet'!A64,"")</f>
        <v/>
      </c>
      <c r="B63" t="str">
        <f>IF('Master Sheet'!C64="Area 2 (Viswakala S)",'Master Sheet'!B64,"")</f>
        <v/>
      </c>
      <c r="C63" t="s">
        <v>5</v>
      </c>
      <c r="D63" t="str">
        <f>IF('Master Sheet'!C64="Area 2 (Viswakala S)",'Master Sheet'!D64,"")</f>
        <v/>
      </c>
      <c r="E63" t="str">
        <f>IF('Master Sheet'!C64="Area 2 (Viswakala S)",'Master Sheet'!E64,"")</f>
        <v/>
      </c>
      <c r="F63" t="str">
        <f>IF('Master Sheet'!C64="Area 2 (Viswakala S)",'Master Sheet'!F64,"")</f>
        <v/>
      </c>
      <c r="G63" t="str">
        <f>IF('Master Sheet'!C64="Area 2 (Viswakala S)",'Master Sheet'!G64,"")</f>
        <v/>
      </c>
      <c r="H63" t="str">
        <f>IF('Master Sheet'!C64="Area 2 (Viswakala S)",'Master Sheet'!H64,"")</f>
        <v/>
      </c>
      <c r="I63" t="str">
        <f>IF('Master Sheet'!C64="Area 2 (Viswakala S)",'Master Sheet'!I64,"")</f>
        <v/>
      </c>
      <c r="J63" t="str">
        <f>IF('Master Sheet'!C64="Area 2 (Viswakala S)",'Master Sheet'!J64,"")</f>
        <v/>
      </c>
      <c r="K63" t="str">
        <f>IF('Master Sheet'!C64="Area 2 (Viswakala S)",'Master Sheet'!K64,"")</f>
        <v/>
      </c>
      <c r="L63" t="str">
        <f>IF('Master Sheet'!C64="Area 2 (Viswakala S)",'Master Sheet'!L64,"")</f>
        <v/>
      </c>
      <c r="M63" t="str">
        <f>IF('Master Sheet'!C64="Area 2 (Viswakala S)",'Master Sheet'!M64,"")</f>
        <v/>
      </c>
      <c r="N63" t="str">
        <f>IF('Master Sheet'!C64="Area 2 (Viswakala S)",'Master Sheet'!N64,"")</f>
        <v/>
      </c>
      <c r="O63" t="str">
        <f>IF('Master Sheet'!C64="Area 2 (Viswakala S)",'Master Sheet'!O64,"")</f>
        <v/>
      </c>
      <c r="P63" t="str">
        <f>IF('Master Sheet'!C64="Area 2 (Viswakala S)",'Master Sheet'!P64,"")</f>
        <v/>
      </c>
    </row>
    <row r="64" spans="1:16" hidden="1" x14ac:dyDescent="0.25">
      <c r="A64" t="str">
        <f>IF('Master Sheet'!C65="Area 2 (Viswakala S)",'Master Sheet'!A65,"")</f>
        <v/>
      </c>
      <c r="B64" t="str">
        <f>IF('Master Sheet'!C65="Area 2 (Viswakala S)",'Master Sheet'!B65,"")</f>
        <v/>
      </c>
      <c r="C64" t="s">
        <v>5</v>
      </c>
      <c r="D64" t="str">
        <f>IF('Master Sheet'!C65="Area 2 (Viswakala S)",'Master Sheet'!D65,"")</f>
        <v/>
      </c>
      <c r="E64" t="str">
        <f>IF('Master Sheet'!C65="Area 2 (Viswakala S)",'Master Sheet'!E65,"")</f>
        <v/>
      </c>
      <c r="F64" t="str">
        <f>IF('Master Sheet'!C65="Area 2 (Viswakala S)",'Master Sheet'!F65,"")</f>
        <v/>
      </c>
      <c r="G64" t="str">
        <f>IF('Master Sheet'!C65="Area 2 (Viswakala S)",'Master Sheet'!G65,"")</f>
        <v/>
      </c>
      <c r="H64" t="str">
        <f>IF('Master Sheet'!C65="Area 2 (Viswakala S)",'Master Sheet'!H65,"")</f>
        <v/>
      </c>
      <c r="I64" t="str">
        <f>IF('Master Sheet'!C65="Area 2 (Viswakala S)",'Master Sheet'!I65,"")</f>
        <v/>
      </c>
      <c r="J64" t="str">
        <f>IF('Master Sheet'!C65="Area 2 (Viswakala S)",'Master Sheet'!J65,"")</f>
        <v/>
      </c>
      <c r="K64" t="str">
        <f>IF('Master Sheet'!C65="Area 2 (Viswakala S)",'Master Sheet'!K65,"")</f>
        <v/>
      </c>
      <c r="L64" t="str">
        <f>IF('Master Sheet'!C65="Area 2 (Viswakala S)",'Master Sheet'!L65,"")</f>
        <v/>
      </c>
      <c r="M64" t="str">
        <f>IF('Master Sheet'!C65="Area 2 (Viswakala S)",'Master Sheet'!M65,"")</f>
        <v/>
      </c>
      <c r="N64" t="str">
        <f>IF('Master Sheet'!C65="Area 2 (Viswakala S)",'Master Sheet'!N65,"")</f>
        <v/>
      </c>
      <c r="O64" t="str">
        <f>IF('Master Sheet'!C65="Area 2 (Viswakala S)",'Master Sheet'!O65,"")</f>
        <v/>
      </c>
      <c r="P64" t="str">
        <f>IF('Master Sheet'!C65="Area 2 (Viswakala S)",'Master Sheet'!P65,"")</f>
        <v/>
      </c>
    </row>
    <row r="65" spans="1:16" hidden="1" x14ac:dyDescent="0.25">
      <c r="A65" t="str">
        <f>IF('Master Sheet'!C66="Area 2 (Viswakala S)",'Master Sheet'!A66,"")</f>
        <v/>
      </c>
      <c r="B65" t="str">
        <f>IF('Master Sheet'!C66="Area 2 (Viswakala S)",'Master Sheet'!B66,"")</f>
        <v/>
      </c>
      <c r="C65" t="s">
        <v>5</v>
      </c>
      <c r="D65" t="str">
        <f>IF('Master Sheet'!C66="Area 2 (Viswakala S)",'Master Sheet'!D66,"")</f>
        <v/>
      </c>
      <c r="E65" t="str">
        <f>IF('Master Sheet'!C66="Area 2 (Viswakala S)",'Master Sheet'!E66,"")</f>
        <v/>
      </c>
      <c r="F65" t="str">
        <f>IF('Master Sheet'!C66="Area 2 (Viswakala S)",'Master Sheet'!F66,"")</f>
        <v/>
      </c>
      <c r="G65" t="str">
        <f>IF('Master Sheet'!C66="Area 2 (Viswakala S)",'Master Sheet'!G66,"")</f>
        <v/>
      </c>
      <c r="H65" t="str">
        <f>IF('Master Sheet'!C66="Area 2 (Viswakala S)",'Master Sheet'!H66,"")</f>
        <v/>
      </c>
      <c r="I65" t="str">
        <f>IF('Master Sheet'!C66="Area 2 (Viswakala S)",'Master Sheet'!I66,"")</f>
        <v/>
      </c>
      <c r="J65" t="str">
        <f>IF('Master Sheet'!C66="Area 2 (Viswakala S)",'Master Sheet'!J66,"")</f>
        <v/>
      </c>
      <c r="K65" t="str">
        <f>IF('Master Sheet'!C66="Area 2 (Viswakala S)",'Master Sheet'!K66,"")</f>
        <v/>
      </c>
      <c r="L65" t="str">
        <f>IF('Master Sheet'!C66="Area 2 (Viswakala S)",'Master Sheet'!L66,"")</f>
        <v/>
      </c>
      <c r="M65" t="str">
        <f>IF('Master Sheet'!C66="Area 2 (Viswakala S)",'Master Sheet'!M66,"")</f>
        <v/>
      </c>
      <c r="N65" t="str">
        <f>IF('Master Sheet'!C66="Area 2 (Viswakala S)",'Master Sheet'!N66,"")</f>
        <v/>
      </c>
      <c r="O65" t="str">
        <f>IF('Master Sheet'!C66="Area 2 (Viswakala S)",'Master Sheet'!O66,"")</f>
        <v/>
      </c>
      <c r="P65" t="str">
        <f>IF('Master Sheet'!C66="Area 2 (Viswakala S)",'Master Sheet'!P66,"")</f>
        <v/>
      </c>
    </row>
    <row r="66" spans="1:16" hidden="1" x14ac:dyDescent="0.25">
      <c r="A66" t="str">
        <f>IF('Master Sheet'!C67="Area 2 (Viswakala S)",'Master Sheet'!A67,"")</f>
        <v/>
      </c>
      <c r="B66" t="str">
        <f>IF('Master Sheet'!C67="Area 2 (Viswakala S)",'Master Sheet'!B67,"")</f>
        <v/>
      </c>
      <c r="C66" t="s">
        <v>5</v>
      </c>
      <c r="D66" t="str">
        <f>IF('Master Sheet'!C67="Area 2 (Viswakala S)",'Master Sheet'!D67,"")</f>
        <v/>
      </c>
      <c r="E66" t="str">
        <f>IF('Master Sheet'!C67="Area 2 (Viswakala S)",'Master Sheet'!E67,"")</f>
        <v/>
      </c>
      <c r="F66" t="str">
        <f>IF('Master Sheet'!C67="Area 2 (Viswakala S)",'Master Sheet'!F67,"")</f>
        <v/>
      </c>
      <c r="G66" t="str">
        <f>IF('Master Sheet'!C67="Area 2 (Viswakala S)",'Master Sheet'!G67,"")</f>
        <v/>
      </c>
      <c r="H66" t="str">
        <f>IF('Master Sheet'!C67="Area 2 (Viswakala S)",'Master Sheet'!H67,"")</f>
        <v/>
      </c>
      <c r="I66" t="str">
        <f>IF('Master Sheet'!C67="Area 2 (Viswakala S)",'Master Sheet'!I67,"")</f>
        <v/>
      </c>
      <c r="J66" t="str">
        <f>IF('Master Sheet'!C67="Area 2 (Viswakala S)",'Master Sheet'!J67,"")</f>
        <v/>
      </c>
      <c r="K66" t="str">
        <f>IF('Master Sheet'!C67="Area 2 (Viswakala S)",'Master Sheet'!K67,"")</f>
        <v/>
      </c>
      <c r="L66" t="str">
        <f>IF('Master Sheet'!C67="Area 2 (Viswakala S)",'Master Sheet'!L67,"")</f>
        <v/>
      </c>
      <c r="M66" t="str">
        <f>IF('Master Sheet'!C67="Area 2 (Viswakala S)",'Master Sheet'!M67,"")</f>
        <v/>
      </c>
      <c r="N66" t="str">
        <f>IF('Master Sheet'!C67="Area 2 (Viswakala S)",'Master Sheet'!N67,"")</f>
        <v/>
      </c>
      <c r="O66" t="str">
        <f>IF('Master Sheet'!C67="Area 2 (Viswakala S)",'Master Sheet'!O67,"")</f>
        <v/>
      </c>
      <c r="P66" t="str">
        <f>IF('Master Sheet'!C67="Area 2 (Viswakala S)",'Master Sheet'!P67,"")</f>
        <v/>
      </c>
    </row>
    <row r="67" spans="1:16" hidden="1" x14ac:dyDescent="0.25">
      <c r="A67" t="str">
        <f>IF('Master Sheet'!C68="Area 2 (Viswakala S)",'Master Sheet'!A68,"")</f>
        <v/>
      </c>
      <c r="B67" t="str">
        <f>IF('Master Sheet'!C68="Area 2 (Viswakala S)",'Master Sheet'!B68,"")</f>
        <v/>
      </c>
      <c r="C67" t="s">
        <v>5</v>
      </c>
      <c r="D67" t="str">
        <f>IF('Master Sheet'!C68="Area 2 (Viswakala S)",'Master Sheet'!D68,"")</f>
        <v/>
      </c>
      <c r="E67" t="str">
        <f>IF('Master Sheet'!C68="Area 2 (Viswakala S)",'Master Sheet'!E68,"")</f>
        <v/>
      </c>
      <c r="F67" t="str">
        <f>IF('Master Sheet'!C68="Area 2 (Viswakala S)",'Master Sheet'!F68,"")</f>
        <v/>
      </c>
      <c r="G67" t="str">
        <f>IF('Master Sheet'!C68="Area 2 (Viswakala S)",'Master Sheet'!G68,"")</f>
        <v/>
      </c>
      <c r="H67" t="str">
        <f>IF('Master Sheet'!C68="Area 2 (Viswakala S)",'Master Sheet'!H68,"")</f>
        <v/>
      </c>
      <c r="I67" t="str">
        <f>IF('Master Sheet'!C68="Area 2 (Viswakala S)",'Master Sheet'!I68,"")</f>
        <v/>
      </c>
      <c r="J67" t="str">
        <f>IF('Master Sheet'!C68="Area 2 (Viswakala S)",'Master Sheet'!J68,"")</f>
        <v/>
      </c>
      <c r="K67" t="str">
        <f>IF('Master Sheet'!C68="Area 2 (Viswakala S)",'Master Sheet'!K68,"")</f>
        <v/>
      </c>
      <c r="L67" t="str">
        <f>IF('Master Sheet'!C68="Area 2 (Viswakala S)",'Master Sheet'!L68,"")</f>
        <v/>
      </c>
      <c r="M67" t="str">
        <f>IF('Master Sheet'!C68="Area 2 (Viswakala S)",'Master Sheet'!M68,"")</f>
        <v/>
      </c>
      <c r="N67" t="str">
        <f>IF('Master Sheet'!C68="Area 2 (Viswakala S)",'Master Sheet'!N68,"")</f>
        <v/>
      </c>
      <c r="O67" t="str">
        <f>IF('Master Sheet'!C68="Area 2 (Viswakala S)",'Master Sheet'!O68,"")</f>
        <v/>
      </c>
      <c r="P67" t="str">
        <f>IF('Master Sheet'!C68="Area 2 (Viswakala S)",'Master Sheet'!P68,"")</f>
        <v/>
      </c>
    </row>
    <row r="68" spans="1:16" hidden="1" x14ac:dyDescent="0.25">
      <c r="A68" t="str">
        <f>IF('Master Sheet'!C69="Area 2 (Viswakala S)",'Master Sheet'!A69,"")</f>
        <v/>
      </c>
      <c r="B68" t="str">
        <f>IF('Master Sheet'!C69="Area 2 (Viswakala S)",'Master Sheet'!B69,"")</f>
        <v/>
      </c>
      <c r="C68" t="s">
        <v>5</v>
      </c>
      <c r="D68" t="str">
        <f>IF('Master Sheet'!C69="Area 2 (Viswakala S)",'Master Sheet'!D69,"")</f>
        <v/>
      </c>
      <c r="E68" t="str">
        <f>IF('Master Sheet'!C69="Area 2 (Viswakala S)",'Master Sheet'!E69,"")</f>
        <v/>
      </c>
      <c r="F68" t="str">
        <f>IF('Master Sheet'!C69="Area 2 (Viswakala S)",'Master Sheet'!F69,"")</f>
        <v/>
      </c>
      <c r="G68" t="str">
        <f>IF('Master Sheet'!C69="Area 2 (Viswakala S)",'Master Sheet'!G69,"")</f>
        <v/>
      </c>
      <c r="H68" t="str">
        <f>IF('Master Sheet'!C69="Area 2 (Viswakala S)",'Master Sheet'!H69,"")</f>
        <v/>
      </c>
      <c r="I68" t="str">
        <f>IF('Master Sheet'!C69="Area 2 (Viswakala S)",'Master Sheet'!I69,"")</f>
        <v/>
      </c>
      <c r="J68" t="str">
        <f>IF('Master Sheet'!C69="Area 2 (Viswakala S)",'Master Sheet'!J69,"")</f>
        <v/>
      </c>
      <c r="K68" t="str">
        <f>IF('Master Sheet'!C69="Area 2 (Viswakala S)",'Master Sheet'!K69,"")</f>
        <v/>
      </c>
      <c r="L68" t="str">
        <f>IF('Master Sheet'!C69="Area 2 (Viswakala S)",'Master Sheet'!L69,"")</f>
        <v/>
      </c>
      <c r="M68" t="str">
        <f>IF('Master Sheet'!C69="Area 2 (Viswakala S)",'Master Sheet'!M69,"")</f>
        <v/>
      </c>
      <c r="N68" t="str">
        <f>IF('Master Sheet'!C69="Area 2 (Viswakala S)",'Master Sheet'!N69,"")</f>
        <v/>
      </c>
      <c r="O68" t="str">
        <f>IF('Master Sheet'!C69="Area 2 (Viswakala S)",'Master Sheet'!O69,"")</f>
        <v/>
      </c>
      <c r="P68" t="str">
        <f>IF('Master Sheet'!C69="Area 2 (Viswakala S)",'Master Sheet'!P69,"")</f>
        <v/>
      </c>
    </row>
    <row r="69" spans="1:16" hidden="1" x14ac:dyDescent="0.25">
      <c r="A69" t="str">
        <f>IF('Master Sheet'!C70="Area 2 (Viswakala S)",'Master Sheet'!A70,"")</f>
        <v/>
      </c>
      <c r="B69" t="str">
        <f>IF('Master Sheet'!C70="Area 2 (Viswakala S)",'Master Sheet'!B70,"")</f>
        <v/>
      </c>
      <c r="C69" t="s">
        <v>5</v>
      </c>
      <c r="D69" t="str">
        <f>IF('Master Sheet'!C70="Area 2 (Viswakala S)",'Master Sheet'!D70,"")</f>
        <v/>
      </c>
      <c r="E69" t="str">
        <f>IF('Master Sheet'!C70="Area 2 (Viswakala S)",'Master Sheet'!E70,"")</f>
        <v/>
      </c>
      <c r="F69" t="str">
        <f>IF('Master Sheet'!C70="Area 2 (Viswakala S)",'Master Sheet'!F70,"")</f>
        <v/>
      </c>
      <c r="G69" t="str">
        <f>IF('Master Sheet'!C70="Area 2 (Viswakala S)",'Master Sheet'!G70,"")</f>
        <v/>
      </c>
      <c r="H69" t="str">
        <f>IF('Master Sheet'!C70="Area 2 (Viswakala S)",'Master Sheet'!H70,"")</f>
        <v/>
      </c>
      <c r="I69" t="str">
        <f>IF('Master Sheet'!C70="Area 2 (Viswakala S)",'Master Sheet'!I70,"")</f>
        <v/>
      </c>
      <c r="J69" t="str">
        <f>IF('Master Sheet'!C70="Area 2 (Viswakala S)",'Master Sheet'!J70,"")</f>
        <v/>
      </c>
      <c r="K69" t="str">
        <f>IF('Master Sheet'!C70="Area 2 (Viswakala S)",'Master Sheet'!K70,"")</f>
        <v/>
      </c>
      <c r="L69" t="str">
        <f>IF('Master Sheet'!C70="Area 2 (Viswakala S)",'Master Sheet'!L70,"")</f>
        <v/>
      </c>
      <c r="M69" t="str">
        <f>IF('Master Sheet'!C70="Area 2 (Viswakala S)",'Master Sheet'!M70,"")</f>
        <v/>
      </c>
      <c r="N69" t="str">
        <f>IF('Master Sheet'!C70="Area 2 (Viswakala S)",'Master Sheet'!N70,"")</f>
        <v/>
      </c>
      <c r="O69" t="str">
        <f>IF('Master Sheet'!C70="Area 2 (Viswakala S)",'Master Sheet'!O70,"")</f>
        <v/>
      </c>
      <c r="P69" t="str">
        <f>IF('Master Sheet'!C70="Area 2 (Viswakala S)",'Master Sheet'!P70,"")</f>
        <v/>
      </c>
    </row>
    <row r="70" spans="1:16" hidden="1" x14ac:dyDescent="0.25">
      <c r="A70" t="str">
        <f>IF('Master Sheet'!C71="Area 2 (Viswakala S)",'Master Sheet'!A71,"")</f>
        <v/>
      </c>
      <c r="B70" t="str">
        <f>IF('Master Sheet'!C71="Area 2 (Viswakala S)",'Master Sheet'!B71,"")</f>
        <v/>
      </c>
      <c r="C70" t="s">
        <v>5</v>
      </c>
      <c r="D70" t="str">
        <f>IF('Master Sheet'!C71="Area 2 (Viswakala S)",'Master Sheet'!D71,"")</f>
        <v/>
      </c>
      <c r="E70" t="str">
        <f>IF('Master Sheet'!C71="Area 2 (Viswakala S)",'Master Sheet'!E71,"")</f>
        <v/>
      </c>
      <c r="F70" t="str">
        <f>IF('Master Sheet'!C71="Area 2 (Viswakala S)",'Master Sheet'!F71,"")</f>
        <v/>
      </c>
      <c r="G70" t="str">
        <f>IF('Master Sheet'!C71="Area 2 (Viswakala S)",'Master Sheet'!G71,"")</f>
        <v/>
      </c>
      <c r="H70" t="str">
        <f>IF('Master Sheet'!C71="Area 2 (Viswakala S)",'Master Sheet'!H71,"")</f>
        <v/>
      </c>
      <c r="I70" t="str">
        <f>IF('Master Sheet'!C71="Area 2 (Viswakala S)",'Master Sheet'!I71,"")</f>
        <v/>
      </c>
      <c r="J70" t="str">
        <f>IF('Master Sheet'!C71="Area 2 (Viswakala S)",'Master Sheet'!J71,"")</f>
        <v/>
      </c>
      <c r="K70" t="str">
        <f>IF('Master Sheet'!C71="Area 2 (Viswakala S)",'Master Sheet'!K71,"")</f>
        <v/>
      </c>
      <c r="L70" t="str">
        <f>IF('Master Sheet'!C71="Area 2 (Viswakala S)",'Master Sheet'!L71,"")</f>
        <v/>
      </c>
      <c r="M70" t="str">
        <f>IF('Master Sheet'!C71="Area 2 (Viswakala S)",'Master Sheet'!M71,"")</f>
        <v/>
      </c>
      <c r="N70" t="str">
        <f>IF('Master Sheet'!C71="Area 2 (Viswakala S)",'Master Sheet'!N71,"")</f>
        <v/>
      </c>
      <c r="O70" t="str">
        <f>IF('Master Sheet'!C71="Area 2 (Viswakala S)",'Master Sheet'!O71,"")</f>
        <v/>
      </c>
      <c r="P70" t="str">
        <f>IF('Master Sheet'!C71="Area 2 (Viswakala S)",'Master Sheet'!P71,"")</f>
        <v/>
      </c>
    </row>
    <row r="71" spans="1:16" hidden="1" x14ac:dyDescent="0.25">
      <c r="A71" t="str">
        <f>IF('Master Sheet'!C72="Area 2 (Viswakala S)",'Master Sheet'!A72,"")</f>
        <v/>
      </c>
      <c r="B71" t="str">
        <f>IF('Master Sheet'!C72="Area 2 (Viswakala S)",'Master Sheet'!B72,"")</f>
        <v/>
      </c>
      <c r="C71" t="s">
        <v>5</v>
      </c>
      <c r="D71" t="str">
        <f>IF('Master Sheet'!C72="Area 2 (Viswakala S)",'Master Sheet'!D72,"")</f>
        <v/>
      </c>
      <c r="E71" t="str">
        <f>IF('Master Sheet'!C72="Area 2 (Viswakala S)",'Master Sheet'!E72,"")</f>
        <v/>
      </c>
      <c r="F71" t="str">
        <f>IF('Master Sheet'!C72="Area 2 (Viswakala S)",'Master Sheet'!F72,"")</f>
        <v/>
      </c>
      <c r="G71" t="str">
        <f>IF('Master Sheet'!C72="Area 2 (Viswakala S)",'Master Sheet'!G72,"")</f>
        <v/>
      </c>
      <c r="H71" t="str">
        <f>IF('Master Sheet'!C72="Area 2 (Viswakala S)",'Master Sheet'!H72,"")</f>
        <v/>
      </c>
      <c r="I71" t="str">
        <f>IF('Master Sheet'!C72="Area 2 (Viswakala S)",'Master Sheet'!I72,"")</f>
        <v/>
      </c>
      <c r="J71" t="str">
        <f>IF('Master Sheet'!C72="Area 2 (Viswakala S)",'Master Sheet'!J72,"")</f>
        <v/>
      </c>
      <c r="K71" t="str">
        <f>IF('Master Sheet'!C72="Area 2 (Viswakala S)",'Master Sheet'!K72,"")</f>
        <v/>
      </c>
      <c r="L71" t="str">
        <f>IF('Master Sheet'!C72="Area 2 (Viswakala S)",'Master Sheet'!L72,"")</f>
        <v/>
      </c>
      <c r="M71" t="str">
        <f>IF('Master Sheet'!C72="Area 2 (Viswakala S)",'Master Sheet'!M72,"")</f>
        <v/>
      </c>
      <c r="N71" t="str">
        <f>IF('Master Sheet'!C72="Area 2 (Viswakala S)",'Master Sheet'!N72,"")</f>
        <v/>
      </c>
      <c r="O71" t="str">
        <f>IF('Master Sheet'!C72="Area 2 (Viswakala S)",'Master Sheet'!O72,"")</f>
        <v/>
      </c>
      <c r="P71" t="str">
        <f>IF('Master Sheet'!C72="Area 2 (Viswakala S)",'Master Sheet'!P72,"")</f>
        <v/>
      </c>
    </row>
    <row r="72" spans="1:16" hidden="1" x14ac:dyDescent="0.25">
      <c r="A72" t="str">
        <f>IF('Master Sheet'!C73="Area 2 (Viswakala S)",'Master Sheet'!A73,"")</f>
        <v/>
      </c>
      <c r="B72" t="str">
        <f>IF('Master Sheet'!C73="Area 2 (Viswakala S)",'Master Sheet'!B73,"")</f>
        <v/>
      </c>
      <c r="C72" t="s">
        <v>5</v>
      </c>
      <c r="D72" t="str">
        <f>IF('Master Sheet'!C73="Area 2 (Viswakala S)",'Master Sheet'!D73,"")</f>
        <v/>
      </c>
      <c r="E72" t="str">
        <f>IF('Master Sheet'!C73="Area 2 (Viswakala S)",'Master Sheet'!E73,"")</f>
        <v/>
      </c>
      <c r="F72" t="str">
        <f>IF('Master Sheet'!C73="Area 2 (Viswakala S)",'Master Sheet'!F73,"")</f>
        <v/>
      </c>
      <c r="G72" t="str">
        <f>IF('Master Sheet'!C73="Area 2 (Viswakala S)",'Master Sheet'!G73,"")</f>
        <v/>
      </c>
      <c r="H72" t="str">
        <f>IF('Master Sheet'!C73="Area 2 (Viswakala S)",'Master Sheet'!H73,"")</f>
        <v/>
      </c>
      <c r="I72" t="str">
        <f>IF('Master Sheet'!C73="Area 2 (Viswakala S)",'Master Sheet'!I73,"")</f>
        <v/>
      </c>
      <c r="J72" t="str">
        <f>IF('Master Sheet'!C73="Area 2 (Viswakala S)",'Master Sheet'!J73,"")</f>
        <v/>
      </c>
      <c r="K72" t="str">
        <f>IF('Master Sheet'!C73="Area 2 (Viswakala S)",'Master Sheet'!K73,"")</f>
        <v/>
      </c>
      <c r="L72" t="str">
        <f>IF('Master Sheet'!C73="Area 2 (Viswakala S)",'Master Sheet'!L73,"")</f>
        <v/>
      </c>
      <c r="M72" t="str">
        <f>IF('Master Sheet'!C73="Area 2 (Viswakala S)",'Master Sheet'!M73,"")</f>
        <v/>
      </c>
      <c r="N72" t="str">
        <f>IF('Master Sheet'!C73="Area 2 (Viswakala S)",'Master Sheet'!N73,"")</f>
        <v/>
      </c>
      <c r="O72" t="str">
        <f>IF('Master Sheet'!C73="Area 2 (Viswakala S)",'Master Sheet'!O73,"")</f>
        <v/>
      </c>
      <c r="P72" t="str">
        <f>IF('Master Sheet'!C73="Area 2 (Viswakala S)",'Master Sheet'!P73,"")</f>
        <v/>
      </c>
    </row>
    <row r="73" spans="1:16" hidden="1" x14ac:dyDescent="0.25">
      <c r="A73" t="str">
        <f>IF('Master Sheet'!C74="Area 2 (Viswakala S)",'Master Sheet'!A74,"")</f>
        <v/>
      </c>
      <c r="B73" t="str">
        <f>IF('Master Sheet'!C74="Area 2 (Viswakala S)",'Master Sheet'!B74,"")</f>
        <v/>
      </c>
      <c r="C73" t="s">
        <v>5</v>
      </c>
      <c r="D73" t="str">
        <f>IF('Master Sheet'!C74="Area 2 (Viswakala S)",'Master Sheet'!D74,"")</f>
        <v/>
      </c>
      <c r="E73" t="str">
        <f>IF('Master Sheet'!C74="Area 2 (Viswakala S)",'Master Sheet'!E74,"")</f>
        <v/>
      </c>
      <c r="F73" t="str">
        <f>IF('Master Sheet'!C74="Area 2 (Viswakala S)",'Master Sheet'!F74,"")</f>
        <v/>
      </c>
      <c r="G73" t="str">
        <f>IF('Master Sheet'!C74="Area 2 (Viswakala S)",'Master Sheet'!G74,"")</f>
        <v/>
      </c>
      <c r="H73" t="str">
        <f>IF('Master Sheet'!C74="Area 2 (Viswakala S)",'Master Sheet'!H74,"")</f>
        <v/>
      </c>
      <c r="I73" t="str">
        <f>IF('Master Sheet'!C74="Area 2 (Viswakala S)",'Master Sheet'!I74,"")</f>
        <v/>
      </c>
      <c r="J73" t="str">
        <f>IF('Master Sheet'!C74="Area 2 (Viswakala S)",'Master Sheet'!J74,"")</f>
        <v/>
      </c>
      <c r="K73" t="str">
        <f>IF('Master Sheet'!C74="Area 2 (Viswakala S)",'Master Sheet'!K74,"")</f>
        <v/>
      </c>
      <c r="L73" t="str">
        <f>IF('Master Sheet'!C74="Area 2 (Viswakala S)",'Master Sheet'!L74,"")</f>
        <v/>
      </c>
      <c r="M73" t="str">
        <f>IF('Master Sheet'!C74="Area 2 (Viswakala S)",'Master Sheet'!M74,"")</f>
        <v/>
      </c>
      <c r="N73" t="str">
        <f>IF('Master Sheet'!C74="Area 2 (Viswakala S)",'Master Sheet'!N74,"")</f>
        <v/>
      </c>
      <c r="O73" t="str">
        <f>IF('Master Sheet'!C74="Area 2 (Viswakala S)",'Master Sheet'!O74,"")</f>
        <v/>
      </c>
      <c r="P73" t="str">
        <f>IF('Master Sheet'!C74="Area 2 (Viswakala S)",'Master Sheet'!P74,"")</f>
        <v/>
      </c>
    </row>
    <row r="74" spans="1:16" hidden="1" x14ac:dyDescent="0.25">
      <c r="A74" t="str">
        <f>IF('Master Sheet'!C75="Area 2 (Viswakala S)",'Master Sheet'!A75,"")</f>
        <v/>
      </c>
      <c r="B74" t="str">
        <f>IF('Master Sheet'!C75="Area 2 (Viswakala S)",'Master Sheet'!B75,"")</f>
        <v/>
      </c>
      <c r="C74" t="s">
        <v>5</v>
      </c>
      <c r="D74" t="str">
        <f>IF('Master Sheet'!C75="Area 2 (Viswakala S)",'Master Sheet'!D75,"")</f>
        <v/>
      </c>
      <c r="E74" t="str">
        <f>IF('Master Sheet'!C75="Area 2 (Viswakala S)",'Master Sheet'!E75,"")</f>
        <v/>
      </c>
      <c r="F74" t="str">
        <f>IF('Master Sheet'!C75="Area 2 (Viswakala S)",'Master Sheet'!F75,"")</f>
        <v/>
      </c>
      <c r="G74" t="str">
        <f>IF('Master Sheet'!C75="Area 2 (Viswakala S)",'Master Sheet'!G75,"")</f>
        <v/>
      </c>
      <c r="H74" t="str">
        <f>IF('Master Sheet'!C75="Area 2 (Viswakala S)",'Master Sheet'!H75,"")</f>
        <v/>
      </c>
      <c r="I74" t="str">
        <f>IF('Master Sheet'!C75="Area 2 (Viswakala S)",'Master Sheet'!I75,"")</f>
        <v/>
      </c>
      <c r="J74" t="str">
        <f>IF('Master Sheet'!C75="Area 2 (Viswakala S)",'Master Sheet'!J75,"")</f>
        <v/>
      </c>
      <c r="K74" t="str">
        <f>IF('Master Sheet'!C75="Area 2 (Viswakala S)",'Master Sheet'!K75,"")</f>
        <v/>
      </c>
      <c r="L74" t="str">
        <f>IF('Master Sheet'!C75="Area 2 (Viswakala S)",'Master Sheet'!L75,"")</f>
        <v/>
      </c>
      <c r="M74" t="str">
        <f>IF('Master Sheet'!C75="Area 2 (Viswakala S)",'Master Sheet'!M75,"")</f>
        <v/>
      </c>
      <c r="N74" t="str">
        <f>IF('Master Sheet'!C75="Area 2 (Viswakala S)",'Master Sheet'!N75,"")</f>
        <v/>
      </c>
      <c r="O74" t="str">
        <f>IF('Master Sheet'!C75="Area 2 (Viswakala S)",'Master Sheet'!O75,"")</f>
        <v/>
      </c>
      <c r="P74" t="str">
        <f>IF('Master Sheet'!C75="Area 2 (Viswakala S)",'Master Sheet'!P75,"")</f>
        <v/>
      </c>
    </row>
    <row r="75" spans="1:16" hidden="1" x14ac:dyDescent="0.25">
      <c r="A75" t="str">
        <f>IF('Master Sheet'!C76="Area 2 (Viswakala S)",'Master Sheet'!A76,"")</f>
        <v/>
      </c>
      <c r="B75" t="str">
        <f>IF('Master Sheet'!C76="Area 2 (Viswakala S)",'Master Sheet'!B76,"")</f>
        <v/>
      </c>
      <c r="C75" t="s">
        <v>5</v>
      </c>
      <c r="D75" t="str">
        <f>IF('Master Sheet'!C76="Area 2 (Viswakala S)",'Master Sheet'!D76,"")</f>
        <v/>
      </c>
      <c r="E75" t="str">
        <f>IF('Master Sheet'!C76="Area 2 (Viswakala S)",'Master Sheet'!E76,"")</f>
        <v/>
      </c>
      <c r="F75" t="str">
        <f>IF('Master Sheet'!C76="Area 2 (Viswakala S)",'Master Sheet'!F76,"")</f>
        <v/>
      </c>
      <c r="G75" t="str">
        <f>IF('Master Sheet'!C76="Area 2 (Viswakala S)",'Master Sheet'!G76,"")</f>
        <v/>
      </c>
      <c r="H75" t="str">
        <f>IF('Master Sheet'!C76="Area 2 (Viswakala S)",'Master Sheet'!H76,"")</f>
        <v/>
      </c>
      <c r="I75" t="str">
        <f>IF('Master Sheet'!C76="Area 2 (Viswakala S)",'Master Sheet'!I76,"")</f>
        <v/>
      </c>
      <c r="J75" t="str">
        <f>IF('Master Sheet'!C76="Area 2 (Viswakala S)",'Master Sheet'!J76,"")</f>
        <v/>
      </c>
      <c r="K75" t="str">
        <f>IF('Master Sheet'!C76="Area 2 (Viswakala S)",'Master Sheet'!K76,"")</f>
        <v/>
      </c>
      <c r="L75" t="str">
        <f>IF('Master Sheet'!C76="Area 2 (Viswakala S)",'Master Sheet'!L76,"")</f>
        <v/>
      </c>
      <c r="M75" t="str">
        <f>IF('Master Sheet'!C76="Area 2 (Viswakala S)",'Master Sheet'!M76,"")</f>
        <v/>
      </c>
      <c r="N75" t="str">
        <f>IF('Master Sheet'!C76="Area 2 (Viswakala S)",'Master Sheet'!N76,"")</f>
        <v/>
      </c>
      <c r="O75" t="str">
        <f>IF('Master Sheet'!C76="Area 2 (Viswakala S)",'Master Sheet'!O76,"")</f>
        <v/>
      </c>
      <c r="P75" t="str">
        <f>IF('Master Sheet'!C76="Area 2 (Viswakala S)",'Master Sheet'!P76,"")</f>
        <v/>
      </c>
    </row>
    <row r="76" spans="1:16" hidden="1" x14ac:dyDescent="0.25">
      <c r="A76" t="str">
        <f>IF('Master Sheet'!C77="Area 2 (Viswakala S)",'Master Sheet'!A77,"")</f>
        <v/>
      </c>
      <c r="B76" t="str">
        <f>IF('Master Sheet'!C77="Area 2 (Viswakala S)",'Master Sheet'!B77,"")</f>
        <v/>
      </c>
      <c r="C76" t="s">
        <v>5</v>
      </c>
      <c r="D76" t="str">
        <f>IF('Master Sheet'!C77="Area 2 (Viswakala S)",'Master Sheet'!D77,"")</f>
        <v/>
      </c>
      <c r="E76" t="str">
        <f>IF('Master Sheet'!C77="Area 2 (Viswakala S)",'Master Sheet'!E77,"")</f>
        <v/>
      </c>
      <c r="F76" t="str">
        <f>IF('Master Sheet'!C77="Area 2 (Viswakala S)",'Master Sheet'!F77,"")</f>
        <v/>
      </c>
      <c r="G76" t="str">
        <f>IF('Master Sheet'!C77="Area 2 (Viswakala S)",'Master Sheet'!G77,"")</f>
        <v/>
      </c>
      <c r="H76" t="str">
        <f>IF('Master Sheet'!C77="Area 2 (Viswakala S)",'Master Sheet'!H77,"")</f>
        <v/>
      </c>
      <c r="I76" t="str">
        <f>IF('Master Sheet'!C77="Area 2 (Viswakala S)",'Master Sheet'!I77,"")</f>
        <v/>
      </c>
      <c r="J76" t="str">
        <f>IF('Master Sheet'!C77="Area 2 (Viswakala S)",'Master Sheet'!J77,"")</f>
        <v/>
      </c>
      <c r="K76" t="str">
        <f>IF('Master Sheet'!C77="Area 2 (Viswakala S)",'Master Sheet'!K77,"")</f>
        <v/>
      </c>
      <c r="L76" t="str">
        <f>IF('Master Sheet'!C77="Area 2 (Viswakala S)",'Master Sheet'!L77,"")</f>
        <v/>
      </c>
      <c r="M76" t="str">
        <f>IF('Master Sheet'!C77="Area 2 (Viswakala S)",'Master Sheet'!M77,"")</f>
        <v/>
      </c>
      <c r="N76" t="str">
        <f>IF('Master Sheet'!C77="Area 2 (Viswakala S)",'Master Sheet'!N77,"")</f>
        <v/>
      </c>
      <c r="O76" t="str">
        <f>IF('Master Sheet'!C77="Area 2 (Viswakala S)",'Master Sheet'!O77,"")</f>
        <v/>
      </c>
      <c r="P76" t="str">
        <f>IF('Master Sheet'!C77="Area 2 (Viswakala S)",'Master Sheet'!P77,"")</f>
        <v/>
      </c>
    </row>
    <row r="77" spans="1:16" hidden="1" x14ac:dyDescent="0.25">
      <c r="A77" t="str">
        <f>IF('Master Sheet'!C78="Area 2 (Viswakala S)",'Master Sheet'!A78,"")</f>
        <v/>
      </c>
      <c r="B77" t="str">
        <f>IF('Master Sheet'!C78="Area 2 (Viswakala S)",'Master Sheet'!B78,"")</f>
        <v/>
      </c>
      <c r="C77" t="s">
        <v>5</v>
      </c>
      <c r="D77" t="str">
        <f>IF('Master Sheet'!C78="Area 2 (Viswakala S)",'Master Sheet'!D78,"")</f>
        <v/>
      </c>
      <c r="E77" t="str">
        <f>IF('Master Sheet'!C78="Area 2 (Viswakala S)",'Master Sheet'!E78,"")</f>
        <v/>
      </c>
      <c r="F77" t="str">
        <f>IF('Master Sheet'!C78="Area 2 (Viswakala S)",'Master Sheet'!F78,"")</f>
        <v/>
      </c>
      <c r="G77" t="str">
        <f>IF('Master Sheet'!C78="Area 2 (Viswakala S)",'Master Sheet'!G78,"")</f>
        <v/>
      </c>
      <c r="H77" t="str">
        <f>IF('Master Sheet'!C78="Area 2 (Viswakala S)",'Master Sheet'!H78,"")</f>
        <v/>
      </c>
      <c r="I77" t="str">
        <f>IF('Master Sheet'!C78="Area 2 (Viswakala S)",'Master Sheet'!I78,"")</f>
        <v/>
      </c>
      <c r="J77" t="str">
        <f>IF('Master Sheet'!C78="Area 2 (Viswakala S)",'Master Sheet'!J78,"")</f>
        <v/>
      </c>
      <c r="K77" t="str">
        <f>IF('Master Sheet'!C78="Area 2 (Viswakala S)",'Master Sheet'!K78,"")</f>
        <v/>
      </c>
      <c r="L77" t="str">
        <f>IF('Master Sheet'!C78="Area 2 (Viswakala S)",'Master Sheet'!L78,"")</f>
        <v/>
      </c>
      <c r="M77" t="str">
        <f>IF('Master Sheet'!C78="Area 2 (Viswakala S)",'Master Sheet'!M78,"")</f>
        <v/>
      </c>
      <c r="N77" t="str">
        <f>IF('Master Sheet'!C78="Area 2 (Viswakala S)",'Master Sheet'!N78,"")</f>
        <v/>
      </c>
      <c r="O77" t="str">
        <f>IF('Master Sheet'!C78="Area 2 (Viswakala S)",'Master Sheet'!O78,"")</f>
        <v/>
      </c>
      <c r="P77" t="str">
        <f>IF('Master Sheet'!C78="Area 2 (Viswakala S)",'Master Sheet'!P78,"")</f>
        <v/>
      </c>
    </row>
    <row r="78" spans="1:16" hidden="1" x14ac:dyDescent="0.25">
      <c r="A78" t="str">
        <f>IF('Master Sheet'!C79="Area 2 (Viswakala S)",'Master Sheet'!A79,"")</f>
        <v/>
      </c>
      <c r="B78" t="str">
        <f>IF('Master Sheet'!C79="Area 2 (Viswakala S)",'Master Sheet'!B79,"")</f>
        <v/>
      </c>
      <c r="C78" t="s">
        <v>5</v>
      </c>
      <c r="D78" t="str">
        <f>IF('Master Sheet'!C79="Area 2 (Viswakala S)",'Master Sheet'!D79,"")</f>
        <v/>
      </c>
      <c r="E78" t="str">
        <f>IF('Master Sheet'!C79="Area 2 (Viswakala S)",'Master Sheet'!E79,"")</f>
        <v/>
      </c>
      <c r="F78" t="str">
        <f>IF('Master Sheet'!C79="Area 2 (Viswakala S)",'Master Sheet'!F79,"")</f>
        <v/>
      </c>
      <c r="G78" t="str">
        <f>IF('Master Sheet'!C79="Area 2 (Viswakala S)",'Master Sheet'!G79,"")</f>
        <v/>
      </c>
      <c r="H78" t="str">
        <f>IF('Master Sheet'!C79="Area 2 (Viswakala S)",'Master Sheet'!H79,"")</f>
        <v/>
      </c>
      <c r="I78" t="str">
        <f>IF('Master Sheet'!C79="Area 2 (Viswakala S)",'Master Sheet'!I79,"")</f>
        <v/>
      </c>
      <c r="J78" t="str">
        <f>IF('Master Sheet'!C79="Area 2 (Viswakala S)",'Master Sheet'!J79,"")</f>
        <v/>
      </c>
      <c r="K78" t="str">
        <f>IF('Master Sheet'!C79="Area 2 (Viswakala S)",'Master Sheet'!K79,"")</f>
        <v/>
      </c>
      <c r="L78" t="str">
        <f>IF('Master Sheet'!C79="Area 2 (Viswakala S)",'Master Sheet'!L79,"")</f>
        <v/>
      </c>
      <c r="M78" t="str">
        <f>IF('Master Sheet'!C79="Area 2 (Viswakala S)",'Master Sheet'!M79,"")</f>
        <v/>
      </c>
      <c r="N78" t="str">
        <f>IF('Master Sheet'!C79="Area 2 (Viswakala S)",'Master Sheet'!N79,"")</f>
        <v/>
      </c>
      <c r="O78" t="str">
        <f>IF('Master Sheet'!C79="Area 2 (Viswakala S)",'Master Sheet'!O79,"")</f>
        <v/>
      </c>
      <c r="P78" t="str">
        <f>IF('Master Sheet'!C79="Area 2 (Viswakala S)",'Master Sheet'!P79,"")</f>
        <v/>
      </c>
    </row>
    <row r="79" spans="1:16" hidden="1" x14ac:dyDescent="0.25">
      <c r="A79" t="str">
        <f>IF('Master Sheet'!C80="Area 2 (Viswakala S)",'Master Sheet'!A80,"")</f>
        <v/>
      </c>
      <c r="B79" t="str">
        <f>IF('Master Sheet'!C80="Area 2 (Viswakala S)",'Master Sheet'!B80,"")</f>
        <v/>
      </c>
      <c r="C79" t="s">
        <v>5</v>
      </c>
      <c r="D79" t="str">
        <f>IF('Master Sheet'!C80="Area 2 (Viswakala S)",'Master Sheet'!D80,"")</f>
        <v/>
      </c>
      <c r="E79" t="str">
        <f>IF('Master Sheet'!C80="Area 2 (Viswakala S)",'Master Sheet'!E80,"")</f>
        <v/>
      </c>
      <c r="F79" t="str">
        <f>IF('Master Sheet'!C80="Area 2 (Viswakala S)",'Master Sheet'!F80,"")</f>
        <v/>
      </c>
      <c r="G79" t="str">
        <f>IF('Master Sheet'!C80="Area 2 (Viswakala S)",'Master Sheet'!G80,"")</f>
        <v/>
      </c>
      <c r="H79" t="str">
        <f>IF('Master Sheet'!C80="Area 2 (Viswakala S)",'Master Sheet'!H80,"")</f>
        <v/>
      </c>
      <c r="I79" t="str">
        <f>IF('Master Sheet'!C80="Area 2 (Viswakala S)",'Master Sheet'!I80,"")</f>
        <v/>
      </c>
      <c r="J79" t="str">
        <f>IF('Master Sheet'!C80="Area 2 (Viswakala S)",'Master Sheet'!J80,"")</f>
        <v/>
      </c>
      <c r="K79" t="str">
        <f>IF('Master Sheet'!C80="Area 2 (Viswakala S)",'Master Sheet'!K80,"")</f>
        <v/>
      </c>
      <c r="L79" t="str">
        <f>IF('Master Sheet'!C80="Area 2 (Viswakala S)",'Master Sheet'!L80,"")</f>
        <v/>
      </c>
      <c r="M79" t="str">
        <f>IF('Master Sheet'!C80="Area 2 (Viswakala S)",'Master Sheet'!M80,"")</f>
        <v/>
      </c>
      <c r="N79" t="str">
        <f>IF('Master Sheet'!C80="Area 2 (Viswakala S)",'Master Sheet'!N80,"")</f>
        <v/>
      </c>
      <c r="O79" t="str">
        <f>IF('Master Sheet'!C80="Area 2 (Viswakala S)",'Master Sheet'!O80,"")</f>
        <v/>
      </c>
      <c r="P79" t="str">
        <f>IF('Master Sheet'!C80="Area 2 (Viswakala S)",'Master Sheet'!P80,"")</f>
        <v/>
      </c>
    </row>
    <row r="80" spans="1:16" hidden="1" x14ac:dyDescent="0.25">
      <c r="A80" t="str">
        <f>IF('Master Sheet'!C81="Area 2 (Viswakala S)",'Master Sheet'!A81,"")</f>
        <v/>
      </c>
      <c r="B80" t="str">
        <f>IF('Master Sheet'!C81="Area 2 (Viswakala S)",'Master Sheet'!B81,"")</f>
        <v/>
      </c>
      <c r="C80" t="s">
        <v>5</v>
      </c>
      <c r="D80" t="str">
        <f>IF('Master Sheet'!C81="Area 2 (Viswakala S)",'Master Sheet'!D81,"")</f>
        <v/>
      </c>
      <c r="E80" t="str">
        <f>IF('Master Sheet'!C81="Area 2 (Viswakala S)",'Master Sheet'!E81,"")</f>
        <v/>
      </c>
      <c r="F80" t="str">
        <f>IF('Master Sheet'!C81="Area 2 (Viswakala S)",'Master Sheet'!F81,"")</f>
        <v/>
      </c>
      <c r="G80" t="str">
        <f>IF('Master Sheet'!C81="Area 2 (Viswakala S)",'Master Sheet'!G81,"")</f>
        <v/>
      </c>
      <c r="H80" t="str">
        <f>IF('Master Sheet'!C81="Area 2 (Viswakala S)",'Master Sheet'!H81,"")</f>
        <v/>
      </c>
      <c r="I80" t="str">
        <f>IF('Master Sheet'!C81="Area 2 (Viswakala S)",'Master Sheet'!I81,"")</f>
        <v/>
      </c>
      <c r="J80" t="str">
        <f>IF('Master Sheet'!C81="Area 2 (Viswakala S)",'Master Sheet'!J81,"")</f>
        <v/>
      </c>
      <c r="K80" t="str">
        <f>IF('Master Sheet'!C81="Area 2 (Viswakala S)",'Master Sheet'!K81,"")</f>
        <v/>
      </c>
      <c r="L80" t="str">
        <f>IF('Master Sheet'!C81="Area 2 (Viswakala S)",'Master Sheet'!L81,"")</f>
        <v/>
      </c>
      <c r="M80" t="str">
        <f>IF('Master Sheet'!C81="Area 2 (Viswakala S)",'Master Sheet'!M81,"")</f>
        <v/>
      </c>
      <c r="N80" t="str">
        <f>IF('Master Sheet'!C81="Area 2 (Viswakala S)",'Master Sheet'!N81,"")</f>
        <v/>
      </c>
      <c r="O80" t="str">
        <f>IF('Master Sheet'!C81="Area 2 (Viswakala S)",'Master Sheet'!O81,"")</f>
        <v/>
      </c>
      <c r="P80" t="str">
        <f>IF('Master Sheet'!C81="Area 2 (Viswakala S)",'Master Sheet'!P81,"")</f>
        <v/>
      </c>
    </row>
    <row r="81" spans="1:16" hidden="1" x14ac:dyDescent="0.25">
      <c r="A81" t="str">
        <f>IF('Master Sheet'!C82="Area 2 (Viswakala S)",'Master Sheet'!A82,"")</f>
        <v/>
      </c>
      <c r="B81" t="str">
        <f>IF('Master Sheet'!C82="Area 2 (Viswakala S)",'Master Sheet'!B82,"")</f>
        <v/>
      </c>
      <c r="C81" t="s">
        <v>5</v>
      </c>
      <c r="D81" t="str">
        <f>IF('Master Sheet'!C82="Area 2 (Viswakala S)",'Master Sheet'!D82,"")</f>
        <v/>
      </c>
      <c r="E81" t="str">
        <f>IF('Master Sheet'!C82="Area 2 (Viswakala S)",'Master Sheet'!E82,"")</f>
        <v/>
      </c>
      <c r="F81" t="str">
        <f>IF('Master Sheet'!C82="Area 2 (Viswakala S)",'Master Sheet'!F82,"")</f>
        <v/>
      </c>
      <c r="G81" t="str">
        <f>IF('Master Sheet'!C82="Area 2 (Viswakala S)",'Master Sheet'!G82,"")</f>
        <v/>
      </c>
      <c r="H81" t="str">
        <f>IF('Master Sheet'!C82="Area 2 (Viswakala S)",'Master Sheet'!H82,"")</f>
        <v/>
      </c>
      <c r="I81" t="str">
        <f>IF('Master Sheet'!C82="Area 2 (Viswakala S)",'Master Sheet'!I82,"")</f>
        <v/>
      </c>
      <c r="J81" t="str">
        <f>IF('Master Sheet'!C82="Area 2 (Viswakala S)",'Master Sheet'!J82,"")</f>
        <v/>
      </c>
      <c r="K81" t="str">
        <f>IF('Master Sheet'!C82="Area 2 (Viswakala S)",'Master Sheet'!K82,"")</f>
        <v/>
      </c>
      <c r="L81" t="str">
        <f>IF('Master Sheet'!C82="Area 2 (Viswakala S)",'Master Sheet'!L82,"")</f>
        <v/>
      </c>
      <c r="M81" t="str">
        <f>IF('Master Sheet'!C82="Area 2 (Viswakala S)",'Master Sheet'!M82,"")</f>
        <v/>
      </c>
      <c r="N81" t="str">
        <f>IF('Master Sheet'!C82="Area 2 (Viswakala S)",'Master Sheet'!N82,"")</f>
        <v/>
      </c>
      <c r="O81" t="str">
        <f>IF('Master Sheet'!C82="Area 2 (Viswakala S)",'Master Sheet'!O82,"")</f>
        <v/>
      </c>
      <c r="P81" t="str">
        <f>IF('Master Sheet'!C82="Area 2 (Viswakala S)",'Master Sheet'!P82,"")</f>
        <v/>
      </c>
    </row>
    <row r="82" spans="1:16" hidden="1" x14ac:dyDescent="0.25">
      <c r="A82" t="str">
        <f>IF('Master Sheet'!C83="Area 2 (Viswakala S)",'Master Sheet'!A83,"")</f>
        <v/>
      </c>
      <c r="B82" t="str">
        <f>IF('Master Sheet'!C83="Area 2 (Viswakala S)",'Master Sheet'!B83,"")</f>
        <v/>
      </c>
      <c r="C82" t="s">
        <v>5</v>
      </c>
      <c r="D82" t="str">
        <f>IF('Master Sheet'!C83="Area 2 (Viswakala S)",'Master Sheet'!D83,"")</f>
        <v/>
      </c>
      <c r="E82" t="str">
        <f>IF('Master Sheet'!C83="Area 2 (Viswakala S)",'Master Sheet'!E83,"")</f>
        <v/>
      </c>
      <c r="F82" t="str">
        <f>IF('Master Sheet'!C83="Area 2 (Viswakala S)",'Master Sheet'!F83,"")</f>
        <v/>
      </c>
      <c r="G82" t="str">
        <f>IF('Master Sheet'!C83="Area 2 (Viswakala S)",'Master Sheet'!G83,"")</f>
        <v/>
      </c>
      <c r="H82" t="str">
        <f>IF('Master Sheet'!C83="Area 2 (Viswakala S)",'Master Sheet'!H83,"")</f>
        <v/>
      </c>
      <c r="I82" t="str">
        <f>IF('Master Sheet'!C83="Area 2 (Viswakala S)",'Master Sheet'!I83,"")</f>
        <v/>
      </c>
      <c r="J82" t="str">
        <f>IF('Master Sheet'!C83="Area 2 (Viswakala S)",'Master Sheet'!J83,"")</f>
        <v/>
      </c>
      <c r="K82" t="str">
        <f>IF('Master Sheet'!C83="Area 2 (Viswakala S)",'Master Sheet'!K83,"")</f>
        <v/>
      </c>
      <c r="L82" t="str">
        <f>IF('Master Sheet'!C83="Area 2 (Viswakala S)",'Master Sheet'!L83,"")</f>
        <v/>
      </c>
      <c r="M82" t="str">
        <f>IF('Master Sheet'!C83="Area 2 (Viswakala S)",'Master Sheet'!M83,"")</f>
        <v/>
      </c>
      <c r="N82" t="str">
        <f>IF('Master Sheet'!C83="Area 2 (Viswakala S)",'Master Sheet'!N83,"")</f>
        <v/>
      </c>
      <c r="O82" t="str">
        <f>IF('Master Sheet'!C83="Area 2 (Viswakala S)",'Master Sheet'!O83,"")</f>
        <v/>
      </c>
      <c r="P82" t="str">
        <f>IF('Master Sheet'!C83="Area 2 (Viswakala S)",'Master Sheet'!P83,"")</f>
        <v/>
      </c>
    </row>
    <row r="83" spans="1:16" hidden="1" x14ac:dyDescent="0.25">
      <c r="A83" t="str">
        <f>IF('Master Sheet'!C84="Area 2 (Viswakala S)",'Master Sheet'!A84,"")</f>
        <v/>
      </c>
      <c r="B83" t="str">
        <f>IF('Master Sheet'!C84="Area 2 (Viswakala S)",'Master Sheet'!B84,"")</f>
        <v/>
      </c>
      <c r="C83" t="s">
        <v>5</v>
      </c>
      <c r="D83" t="str">
        <f>IF('Master Sheet'!C84="Area 2 (Viswakala S)",'Master Sheet'!D84,"")</f>
        <v/>
      </c>
      <c r="E83" t="str">
        <f>IF('Master Sheet'!C84="Area 2 (Viswakala S)",'Master Sheet'!E84,"")</f>
        <v/>
      </c>
      <c r="F83" t="str">
        <f>IF('Master Sheet'!C84="Area 2 (Viswakala S)",'Master Sheet'!F84,"")</f>
        <v/>
      </c>
      <c r="G83" t="str">
        <f>IF('Master Sheet'!C84="Area 2 (Viswakala S)",'Master Sheet'!G84,"")</f>
        <v/>
      </c>
      <c r="H83" t="str">
        <f>IF('Master Sheet'!C84="Area 2 (Viswakala S)",'Master Sheet'!H84,"")</f>
        <v/>
      </c>
      <c r="I83" t="str">
        <f>IF('Master Sheet'!C84="Area 2 (Viswakala S)",'Master Sheet'!I84,"")</f>
        <v/>
      </c>
      <c r="J83" t="str">
        <f>IF('Master Sheet'!C84="Area 2 (Viswakala S)",'Master Sheet'!J84,"")</f>
        <v/>
      </c>
      <c r="K83" t="str">
        <f>IF('Master Sheet'!C84="Area 2 (Viswakala S)",'Master Sheet'!K84,"")</f>
        <v/>
      </c>
      <c r="L83" t="str">
        <f>IF('Master Sheet'!C84="Area 2 (Viswakala S)",'Master Sheet'!L84,"")</f>
        <v/>
      </c>
      <c r="M83" t="str">
        <f>IF('Master Sheet'!C84="Area 2 (Viswakala S)",'Master Sheet'!M84,"")</f>
        <v/>
      </c>
      <c r="N83" t="str">
        <f>IF('Master Sheet'!C84="Area 2 (Viswakala S)",'Master Sheet'!N84,"")</f>
        <v/>
      </c>
      <c r="O83" t="str">
        <f>IF('Master Sheet'!C84="Area 2 (Viswakala S)",'Master Sheet'!O84,"")</f>
        <v/>
      </c>
      <c r="P83" t="str">
        <f>IF('Master Sheet'!C84="Area 2 (Viswakala S)",'Master Sheet'!P84,"")</f>
        <v/>
      </c>
    </row>
    <row r="84" spans="1:16" hidden="1" x14ac:dyDescent="0.25">
      <c r="A84" t="str">
        <f>IF('Master Sheet'!C85="Area 2 (Viswakala S)",'Master Sheet'!A85,"")</f>
        <v/>
      </c>
      <c r="B84" t="str">
        <f>IF('Master Sheet'!C85="Area 2 (Viswakala S)",'Master Sheet'!B85,"")</f>
        <v/>
      </c>
      <c r="C84" t="s">
        <v>5</v>
      </c>
      <c r="D84" t="str">
        <f>IF('Master Sheet'!C85="Area 2 (Viswakala S)",'Master Sheet'!D85,"")</f>
        <v/>
      </c>
      <c r="E84" t="str">
        <f>IF('Master Sheet'!C85="Area 2 (Viswakala S)",'Master Sheet'!E85,"")</f>
        <v/>
      </c>
      <c r="F84" t="str">
        <f>IF('Master Sheet'!C85="Area 2 (Viswakala S)",'Master Sheet'!F85,"")</f>
        <v/>
      </c>
      <c r="G84" t="str">
        <f>IF('Master Sheet'!C85="Area 2 (Viswakala S)",'Master Sheet'!G85,"")</f>
        <v/>
      </c>
      <c r="H84" t="str">
        <f>IF('Master Sheet'!C85="Area 2 (Viswakala S)",'Master Sheet'!H85,"")</f>
        <v/>
      </c>
      <c r="I84" t="str">
        <f>IF('Master Sheet'!C85="Area 2 (Viswakala S)",'Master Sheet'!I85,"")</f>
        <v/>
      </c>
      <c r="J84" t="str">
        <f>IF('Master Sheet'!C85="Area 2 (Viswakala S)",'Master Sheet'!J85,"")</f>
        <v/>
      </c>
      <c r="K84" t="str">
        <f>IF('Master Sheet'!C85="Area 2 (Viswakala S)",'Master Sheet'!K85,"")</f>
        <v/>
      </c>
      <c r="L84" t="str">
        <f>IF('Master Sheet'!C85="Area 2 (Viswakala S)",'Master Sheet'!L85,"")</f>
        <v/>
      </c>
      <c r="M84" t="str">
        <f>IF('Master Sheet'!C85="Area 2 (Viswakala S)",'Master Sheet'!M85,"")</f>
        <v/>
      </c>
      <c r="N84" t="str">
        <f>IF('Master Sheet'!C85="Area 2 (Viswakala S)",'Master Sheet'!N85,"")</f>
        <v/>
      </c>
      <c r="O84" t="str">
        <f>IF('Master Sheet'!C85="Area 2 (Viswakala S)",'Master Sheet'!O85,"")</f>
        <v/>
      </c>
      <c r="P84" t="str">
        <f>IF('Master Sheet'!C85="Area 2 (Viswakala S)",'Master Sheet'!P85,"")</f>
        <v/>
      </c>
    </row>
    <row r="85" spans="1:16" hidden="1" x14ac:dyDescent="0.25">
      <c r="A85" t="str">
        <f>IF('Master Sheet'!C86="Area 2 (Viswakala S)",'Master Sheet'!A86,"")</f>
        <v/>
      </c>
      <c r="B85" t="str">
        <f>IF('Master Sheet'!C86="Area 2 (Viswakala S)",'Master Sheet'!B86,"")</f>
        <v/>
      </c>
      <c r="C85" t="s">
        <v>5</v>
      </c>
      <c r="D85" t="str">
        <f>IF('Master Sheet'!C86="Area 2 (Viswakala S)",'Master Sheet'!D86,"")</f>
        <v/>
      </c>
      <c r="E85" t="str">
        <f>IF('Master Sheet'!C86="Area 2 (Viswakala S)",'Master Sheet'!E86,"")</f>
        <v/>
      </c>
      <c r="F85" t="str">
        <f>IF('Master Sheet'!C86="Area 2 (Viswakala S)",'Master Sheet'!F86,"")</f>
        <v/>
      </c>
      <c r="G85" t="str">
        <f>IF('Master Sheet'!C86="Area 2 (Viswakala S)",'Master Sheet'!G86,"")</f>
        <v/>
      </c>
      <c r="H85" t="str">
        <f>IF('Master Sheet'!C86="Area 2 (Viswakala S)",'Master Sheet'!H86,"")</f>
        <v/>
      </c>
      <c r="I85" t="str">
        <f>IF('Master Sheet'!C86="Area 2 (Viswakala S)",'Master Sheet'!I86,"")</f>
        <v/>
      </c>
      <c r="J85" t="str">
        <f>IF('Master Sheet'!C86="Area 2 (Viswakala S)",'Master Sheet'!J86,"")</f>
        <v/>
      </c>
      <c r="K85" t="str">
        <f>IF('Master Sheet'!C86="Area 2 (Viswakala S)",'Master Sheet'!K86,"")</f>
        <v/>
      </c>
      <c r="L85" t="str">
        <f>IF('Master Sheet'!C86="Area 2 (Viswakala S)",'Master Sheet'!L86,"")</f>
        <v/>
      </c>
      <c r="M85" t="str">
        <f>IF('Master Sheet'!C86="Area 2 (Viswakala S)",'Master Sheet'!M86,"")</f>
        <v/>
      </c>
      <c r="N85" t="str">
        <f>IF('Master Sheet'!C86="Area 2 (Viswakala S)",'Master Sheet'!N86,"")</f>
        <v/>
      </c>
      <c r="O85" t="str">
        <f>IF('Master Sheet'!C86="Area 2 (Viswakala S)",'Master Sheet'!O86,"")</f>
        <v/>
      </c>
      <c r="P85" t="str">
        <f>IF('Master Sheet'!C86="Area 2 (Viswakala S)",'Master Sheet'!P86,"")</f>
        <v/>
      </c>
    </row>
    <row r="86" spans="1:16" hidden="1" x14ac:dyDescent="0.25">
      <c r="A86" t="str">
        <f>IF('Master Sheet'!C87="Area 2 (Viswakala S)",'Master Sheet'!A87,"")</f>
        <v/>
      </c>
      <c r="B86" t="str">
        <f>IF('Master Sheet'!C87="Area 2 (Viswakala S)",'Master Sheet'!B87,"")</f>
        <v/>
      </c>
      <c r="C86" t="s">
        <v>5</v>
      </c>
      <c r="D86" t="str">
        <f>IF('Master Sheet'!C87="Area 2 (Viswakala S)",'Master Sheet'!D87,"")</f>
        <v/>
      </c>
      <c r="E86" t="str">
        <f>IF('Master Sheet'!C87="Area 2 (Viswakala S)",'Master Sheet'!E87,"")</f>
        <v/>
      </c>
      <c r="F86" t="str">
        <f>IF('Master Sheet'!C87="Area 2 (Viswakala S)",'Master Sheet'!F87,"")</f>
        <v/>
      </c>
      <c r="G86" t="str">
        <f>IF('Master Sheet'!C87="Area 2 (Viswakala S)",'Master Sheet'!G87,"")</f>
        <v/>
      </c>
      <c r="H86" t="str">
        <f>IF('Master Sheet'!C87="Area 2 (Viswakala S)",'Master Sheet'!H87,"")</f>
        <v/>
      </c>
      <c r="I86" t="str">
        <f>IF('Master Sheet'!C87="Area 2 (Viswakala S)",'Master Sheet'!I87,"")</f>
        <v/>
      </c>
      <c r="J86" t="str">
        <f>IF('Master Sheet'!C87="Area 2 (Viswakala S)",'Master Sheet'!J87,"")</f>
        <v/>
      </c>
      <c r="K86" t="str">
        <f>IF('Master Sheet'!C87="Area 2 (Viswakala S)",'Master Sheet'!K87,"")</f>
        <v/>
      </c>
      <c r="L86" t="str">
        <f>IF('Master Sheet'!C87="Area 2 (Viswakala S)",'Master Sheet'!L87,"")</f>
        <v/>
      </c>
      <c r="M86" t="str">
        <f>IF('Master Sheet'!C87="Area 2 (Viswakala S)",'Master Sheet'!M87,"")</f>
        <v/>
      </c>
      <c r="N86" t="str">
        <f>IF('Master Sheet'!C87="Area 2 (Viswakala S)",'Master Sheet'!N87,"")</f>
        <v/>
      </c>
      <c r="O86" t="str">
        <f>IF('Master Sheet'!C87="Area 2 (Viswakala S)",'Master Sheet'!O87,"")</f>
        <v/>
      </c>
      <c r="P86" t="str">
        <f>IF('Master Sheet'!C87="Area 2 (Viswakala S)",'Master Sheet'!P87,"")</f>
        <v/>
      </c>
    </row>
    <row r="87" spans="1:16" hidden="1" x14ac:dyDescent="0.25">
      <c r="A87" t="str">
        <f>IF('Master Sheet'!C88="Area 2 (Viswakala S)",'Master Sheet'!A88,"")</f>
        <v/>
      </c>
      <c r="B87" t="str">
        <f>IF('Master Sheet'!C88="Area 2 (Viswakala S)",'Master Sheet'!B88,"")</f>
        <v/>
      </c>
      <c r="C87" t="s">
        <v>5</v>
      </c>
      <c r="D87" t="str">
        <f>IF('Master Sheet'!C88="Area 2 (Viswakala S)",'Master Sheet'!D88,"")</f>
        <v/>
      </c>
      <c r="E87" t="str">
        <f>IF('Master Sheet'!C88="Area 2 (Viswakala S)",'Master Sheet'!E88,"")</f>
        <v/>
      </c>
      <c r="F87" t="str">
        <f>IF('Master Sheet'!C88="Area 2 (Viswakala S)",'Master Sheet'!F88,"")</f>
        <v/>
      </c>
      <c r="G87" t="str">
        <f>IF('Master Sheet'!C88="Area 2 (Viswakala S)",'Master Sheet'!G88,"")</f>
        <v/>
      </c>
      <c r="H87" t="str">
        <f>IF('Master Sheet'!C88="Area 2 (Viswakala S)",'Master Sheet'!H88,"")</f>
        <v/>
      </c>
      <c r="I87" t="str">
        <f>IF('Master Sheet'!C88="Area 2 (Viswakala S)",'Master Sheet'!I88,"")</f>
        <v/>
      </c>
      <c r="J87" t="str">
        <f>IF('Master Sheet'!C88="Area 2 (Viswakala S)",'Master Sheet'!J88,"")</f>
        <v/>
      </c>
      <c r="K87" t="str">
        <f>IF('Master Sheet'!C88="Area 2 (Viswakala S)",'Master Sheet'!K88,"")</f>
        <v/>
      </c>
      <c r="L87" t="str">
        <f>IF('Master Sheet'!C88="Area 2 (Viswakala S)",'Master Sheet'!L88,"")</f>
        <v/>
      </c>
      <c r="M87" t="str">
        <f>IF('Master Sheet'!C88="Area 2 (Viswakala S)",'Master Sheet'!M88,"")</f>
        <v/>
      </c>
      <c r="N87" t="str">
        <f>IF('Master Sheet'!C88="Area 2 (Viswakala S)",'Master Sheet'!N88,"")</f>
        <v/>
      </c>
      <c r="O87" t="str">
        <f>IF('Master Sheet'!C88="Area 2 (Viswakala S)",'Master Sheet'!O88,"")</f>
        <v/>
      </c>
      <c r="P87" t="str">
        <f>IF('Master Sheet'!C88="Area 2 (Viswakala S)",'Master Sheet'!P88,"")</f>
        <v/>
      </c>
    </row>
    <row r="88" spans="1:16" hidden="1" x14ac:dyDescent="0.25">
      <c r="A88" t="str">
        <f>IF('Master Sheet'!C89="Area 2 (Viswakala S)",'Master Sheet'!A89,"")</f>
        <v/>
      </c>
      <c r="B88" t="str">
        <f>IF('Master Sheet'!C89="Area 2 (Viswakala S)",'Master Sheet'!B89,"")</f>
        <v/>
      </c>
      <c r="C88" t="s">
        <v>5</v>
      </c>
      <c r="D88" t="str">
        <f>IF('Master Sheet'!C89="Area 2 (Viswakala S)",'Master Sheet'!D89,"")</f>
        <v/>
      </c>
      <c r="E88" t="str">
        <f>IF('Master Sheet'!C89="Area 2 (Viswakala S)",'Master Sheet'!E89,"")</f>
        <v/>
      </c>
      <c r="F88" t="str">
        <f>IF('Master Sheet'!C89="Area 2 (Viswakala S)",'Master Sheet'!F89,"")</f>
        <v/>
      </c>
      <c r="G88" t="str">
        <f>IF('Master Sheet'!C89="Area 2 (Viswakala S)",'Master Sheet'!G89,"")</f>
        <v/>
      </c>
      <c r="H88" t="str">
        <f>IF('Master Sheet'!C89="Area 2 (Viswakala S)",'Master Sheet'!H89,"")</f>
        <v/>
      </c>
      <c r="I88" t="str">
        <f>IF('Master Sheet'!C89="Area 2 (Viswakala S)",'Master Sheet'!I89,"")</f>
        <v/>
      </c>
      <c r="J88" t="str">
        <f>IF('Master Sheet'!C89="Area 2 (Viswakala S)",'Master Sheet'!J89,"")</f>
        <v/>
      </c>
      <c r="K88" t="str">
        <f>IF('Master Sheet'!C89="Area 2 (Viswakala S)",'Master Sheet'!K89,"")</f>
        <v/>
      </c>
      <c r="L88" t="str">
        <f>IF('Master Sheet'!C89="Area 2 (Viswakala S)",'Master Sheet'!L89,"")</f>
        <v/>
      </c>
      <c r="M88" t="str">
        <f>IF('Master Sheet'!C89="Area 2 (Viswakala S)",'Master Sheet'!M89,"")</f>
        <v/>
      </c>
      <c r="N88" t="str">
        <f>IF('Master Sheet'!C89="Area 2 (Viswakala S)",'Master Sheet'!N89,"")</f>
        <v/>
      </c>
      <c r="O88" t="str">
        <f>IF('Master Sheet'!C89="Area 2 (Viswakala S)",'Master Sheet'!O89,"")</f>
        <v/>
      </c>
      <c r="P88" t="str">
        <f>IF('Master Sheet'!C89="Area 2 (Viswakala S)",'Master Sheet'!P89,"")</f>
        <v/>
      </c>
    </row>
    <row r="89" spans="1:16" hidden="1" x14ac:dyDescent="0.25">
      <c r="A89" t="str">
        <f>IF('Master Sheet'!C90="Area 2 (Viswakala S)",'Master Sheet'!A90,"")</f>
        <v/>
      </c>
      <c r="B89" t="str">
        <f>IF('Master Sheet'!C90="Area 2 (Viswakala S)",'Master Sheet'!B90,"")</f>
        <v/>
      </c>
      <c r="C89" t="s">
        <v>5</v>
      </c>
      <c r="D89" t="str">
        <f>IF('Master Sheet'!C90="Area 2 (Viswakala S)",'Master Sheet'!D90,"")</f>
        <v/>
      </c>
      <c r="E89" t="str">
        <f>IF('Master Sheet'!C90="Area 2 (Viswakala S)",'Master Sheet'!E90,"")</f>
        <v/>
      </c>
      <c r="F89" t="str">
        <f>IF('Master Sheet'!C90="Area 2 (Viswakala S)",'Master Sheet'!F90,"")</f>
        <v/>
      </c>
      <c r="G89" t="str">
        <f>IF('Master Sheet'!C90="Area 2 (Viswakala S)",'Master Sheet'!G90,"")</f>
        <v/>
      </c>
      <c r="H89" t="str">
        <f>IF('Master Sheet'!C90="Area 2 (Viswakala S)",'Master Sheet'!H90,"")</f>
        <v/>
      </c>
      <c r="I89" t="str">
        <f>IF('Master Sheet'!C90="Area 2 (Viswakala S)",'Master Sheet'!I90,"")</f>
        <v/>
      </c>
      <c r="J89" t="str">
        <f>IF('Master Sheet'!C90="Area 2 (Viswakala S)",'Master Sheet'!J90,"")</f>
        <v/>
      </c>
      <c r="K89" t="str">
        <f>IF('Master Sheet'!C90="Area 2 (Viswakala S)",'Master Sheet'!K90,"")</f>
        <v/>
      </c>
      <c r="L89" t="str">
        <f>IF('Master Sheet'!C90="Area 2 (Viswakala S)",'Master Sheet'!L90,"")</f>
        <v/>
      </c>
      <c r="M89" t="str">
        <f>IF('Master Sheet'!C90="Area 2 (Viswakala S)",'Master Sheet'!M90,"")</f>
        <v/>
      </c>
      <c r="N89" t="str">
        <f>IF('Master Sheet'!C90="Area 2 (Viswakala S)",'Master Sheet'!N90,"")</f>
        <v/>
      </c>
      <c r="O89" t="str">
        <f>IF('Master Sheet'!C90="Area 2 (Viswakala S)",'Master Sheet'!O90,"")</f>
        <v/>
      </c>
      <c r="P89" t="str">
        <f>IF('Master Sheet'!C90="Area 2 (Viswakala S)",'Master Sheet'!P90,"")</f>
        <v/>
      </c>
    </row>
    <row r="90" spans="1:16" hidden="1" x14ac:dyDescent="0.25">
      <c r="A90" t="str">
        <f>IF('Master Sheet'!C91="Area 2 (Viswakala S)",'Master Sheet'!A91,"")</f>
        <v/>
      </c>
      <c r="B90" t="str">
        <f>IF('Master Sheet'!C91="Area 2 (Viswakala S)",'Master Sheet'!B91,"")</f>
        <v/>
      </c>
      <c r="C90" t="s">
        <v>5</v>
      </c>
      <c r="D90" t="str">
        <f>IF('Master Sheet'!C91="Area 2 (Viswakala S)",'Master Sheet'!D91,"")</f>
        <v/>
      </c>
      <c r="E90" t="str">
        <f>IF('Master Sheet'!C91="Area 2 (Viswakala S)",'Master Sheet'!E91,"")</f>
        <v/>
      </c>
      <c r="F90" t="str">
        <f>IF('Master Sheet'!C91="Area 2 (Viswakala S)",'Master Sheet'!F91,"")</f>
        <v/>
      </c>
      <c r="G90" t="str">
        <f>IF('Master Sheet'!C91="Area 2 (Viswakala S)",'Master Sheet'!G91,"")</f>
        <v/>
      </c>
      <c r="H90" t="str">
        <f>IF('Master Sheet'!C91="Area 2 (Viswakala S)",'Master Sheet'!H91,"")</f>
        <v/>
      </c>
      <c r="I90" t="str">
        <f>IF('Master Sheet'!C91="Area 2 (Viswakala S)",'Master Sheet'!I91,"")</f>
        <v/>
      </c>
      <c r="J90" t="str">
        <f>IF('Master Sheet'!C91="Area 2 (Viswakala S)",'Master Sheet'!J91,"")</f>
        <v/>
      </c>
      <c r="K90" t="str">
        <f>IF('Master Sheet'!C91="Area 2 (Viswakala S)",'Master Sheet'!K91,"")</f>
        <v/>
      </c>
      <c r="L90" t="str">
        <f>IF('Master Sheet'!C91="Area 2 (Viswakala S)",'Master Sheet'!L91,"")</f>
        <v/>
      </c>
      <c r="M90" t="str">
        <f>IF('Master Sheet'!C91="Area 2 (Viswakala S)",'Master Sheet'!M91,"")</f>
        <v/>
      </c>
      <c r="N90" t="str">
        <f>IF('Master Sheet'!C91="Area 2 (Viswakala S)",'Master Sheet'!N91,"")</f>
        <v/>
      </c>
      <c r="O90" t="str">
        <f>IF('Master Sheet'!C91="Area 2 (Viswakala S)",'Master Sheet'!O91,"")</f>
        <v/>
      </c>
      <c r="P90" t="str">
        <f>IF('Master Sheet'!C91="Area 2 (Viswakala S)",'Master Sheet'!P91,"")</f>
        <v/>
      </c>
    </row>
    <row r="91" spans="1:16" hidden="1" x14ac:dyDescent="0.25">
      <c r="A91" t="str">
        <f>IF('Master Sheet'!C92="Area 2 (Viswakala S)",'Master Sheet'!A92,"")</f>
        <v/>
      </c>
      <c r="B91" t="str">
        <f>IF('Master Sheet'!C92="Area 2 (Viswakala S)",'Master Sheet'!B92,"")</f>
        <v/>
      </c>
      <c r="C91" t="s">
        <v>5</v>
      </c>
      <c r="D91" t="str">
        <f>IF('Master Sheet'!C92="Area 2 (Viswakala S)",'Master Sheet'!D92,"")</f>
        <v/>
      </c>
      <c r="E91" t="str">
        <f>IF('Master Sheet'!C92="Area 2 (Viswakala S)",'Master Sheet'!E92,"")</f>
        <v/>
      </c>
      <c r="F91" t="str">
        <f>IF('Master Sheet'!C92="Area 2 (Viswakala S)",'Master Sheet'!F92,"")</f>
        <v/>
      </c>
      <c r="G91" t="str">
        <f>IF('Master Sheet'!C92="Area 2 (Viswakala S)",'Master Sheet'!G92,"")</f>
        <v/>
      </c>
      <c r="H91" t="str">
        <f>IF('Master Sheet'!C92="Area 2 (Viswakala S)",'Master Sheet'!H92,"")</f>
        <v/>
      </c>
      <c r="I91" t="str">
        <f>IF('Master Sheet'!C92="Area 2 (Viswakala S)",'Master Sheet'!I92,"")</f>
        <v/>
      </c>
      <c r="J91" t="str">
        <f>IF('Master Sheet'!C92="Area 2 (Viswakala S)",'Master Sheet'!J92,"")</f>
        <v/>
      </c>
      <c r="K91" t="str">
        <f>IF('Master Sheet'!C92="Area 2 (Viswakala S)",'Master Sheet'!K92,"")</f>
        <v/>
      </c>
      <c r="L91" t="str">
        <f>IF('Master Sheet'!C92="Area 2 (Viswakala S)",'Master Sheet'!L92,"")</f>
        <v/>
      </c>
      <c r="M91" t="str">
        <f>IF('Master Sheet'!C92="Area 2 (Viswakala S)",'Master Sheet'!M92,"")</f>
        <v/>
      </c>
      <c r="N91" t="str">
        <f>IF('Master Sheet'!C92="Area 2 (Viswakala S)",'Master Sheet'!N92,"")</f>
        <v/>
      </c>
      <c r="O91" t="str">
        <f>IF('Master Sheet'!C92="Area 2 (Viswakala S)",'Master Sheet'!O92,"")</f>
        <v/>
      </c>
      <c r="P91" t="str">
        <f>IF('Master Sheet'!C92="Area 2 (Viswakala S)",'Master Sheet'!P92,"")</f>
        <v/>
      </c>
    </row>
    <row r="92" spans="1:16" hidden="1" x14ac:dyDescent="0.25">
      <c r="A92" t="str">
        <f>IF('Master Sheet'!C93="Area 2 (Viswakala S)",'Master Sheet'!A93,"")</f>
        <v/>
      </c>
      <c r="B92" t="str">
        <f>IF('Master Sheet'!C93="Area 2 (Viswakala S)",'Master Sheet'!B93,"")</f>
        <v/>
      </c>
      <c r="C92" t="s">
        <v>5</v>
      </c>
      <c r="D92" t="str">
        <f>IF('Master Sheet'!C93="Area 2 (Viswakala S)",'Master Sheet'!D93,"")</f>
        <v/>
      </c>
      <c r="E92" t="str">
        <f>IF('Master Sheet'!C93="Area 2 (Viswakala S)",'Master Sheet'!E93,"")</f>
        <v/>
      </c>
      <c r="F92" t="str">
        <f>IF('Master Sheet'!C93="Area 2 (Viswakala S)",'Master Sheet'!F93,"")</f>
        <v/>
      </c>
      <c r="G92" t="str">
        <f>IF('Master Sheet'!C93="Area 2 (Viswakala S)",'Master Sheet'!G93,"")</f>
        <v/>
      </c>
      <c r="H92" t="str">
        <f>IF('Master Sheet'!C93="Area 2 (Viswakala S)",'Master Sheet'!H93,"")</f>
        <v/>
      </c>
      <c r="I92" t="str">
        <f>IF('Master Sheet'!C93="Area 2 (Viswakala S)",'Master Sheet'!I93,"")</f>
        <v/>
      </c>
      <c r="J92" t="str">
        <f>IF('Master Sheet'!C93="Area 2 (Viswakala S)",'Master Sheet'!J93,"")</f>
        <v/>
      </c>
      <c r="K92" t="str">
        <f>IF('Master Sheet'!C93="Area 2 (Viswakala S)",'Master Sheet'!K93,"")</f>
        <v/>
      </c>
      <c r="L92" t="str">
        <f>IF('Master Sheet'!C93="Area 2 (Viswakala S)",'Master Sheet'!L93,"")</f>
        <v/>
      </c>
      <c r="M92" t="str">
        <f>IF('Master Sheet'!C93="Area 2 (Viswakala S)",'Master Sheet'!M93,"")</f>
        <v/>
      </c>
      <c r="N92" t="str">
        <f>IF('Master Sheet'!C93="Area 2 (Viswakala S)",'Master Sheet'!N93,"")</f>
        <v/>
      </c>
      <c r="O92" t="str">
        <f>IF('Master Sheet'!C93="Area 2 (Viswakala S)",'Master Sheet'!O93,"")</f>
        <v/>
      </c>
      <c r="P92" t="str">
        <f>IF('Master Sheet'!C93="Area 2 (Viswakala S)",'Master Sheet'!P93,"")</f>
        <v/>
      </c>
    </row>
    <row r="93" spans="1:16" hidden="1" x14ac:dyDescent="0.25">
      <c r="A93" t="str">
        <f>IF('Master Sheet'!C94="Area 2 (Viswakala S)",'Master Sheet'!A94,"")</f>
        <v/>
      </c>
      <c r="B93" t="str">
        <f>IF('Master Sheet'!C94="Area 2 (Viswakala S)",'Master Sheet'!B94,"")</f>
        <v/>
      </c>
      <c r="C93" t="s">
        <v>5</v>
      </c>
      <c r="D93" t="str">
        <f>IF('Master Sheet'!C94="Area 2 (Viswakala S)",'Master Sheet'!D94,"")</f>
        <v/>
      </c>
      <c r="E93" t="str">
        <f>IF('Master Sheet'!C94="Area 2 (Viswakala S)",'Master Sheet'!E94,"")</f>
        <v/>
      </c>
      <c r="F93" t="str">
        <f>IF('Master Sheet'!C94="Area 2 (Viswakala S)",'Master Sheet'!F94,"")</f>
        <v/>
      </c>
      <c r="G93" t="str">
        <f>IF('Master Sheet'!C94="Area 2 (Viswakala S)",'Master Sheet'!G94,"")</f>
        <v/>
      </c>
      <c r="H93" t="str">
        <f>IF('Master Sheet'!C94="Area 2 (Viswakala S)",'Master Sheet'!H94,"")</f>
        <v/>
      </c>
      <c r="I93" t="str">
        <f>IF('Master Sheet'!C94="Area 2 (Viswakala S)",'Master Sheet'!I94,"")</f>
        <v/>
      </c>
      <c r="J93" t="str">
        <f>IF('Master Sheet'!C94="Area 2 (Viswakala S)",'Master Sheet'!J94,"")</f>
        <v/>
      </c>
      <c r="K93" t="str">
        <f>IF('Master Sheet'!C94="Area 2 (Viswakala S)",'Master Sheet'!K94,"")</f>
        <v/>
      </c>
      <c r="L93" t="str">
        <f>IF('Master Sheet'!C94="Area 2 (Viswakala S)",'Master Sheet'!L94,"")</f>
        <v/>
      </c>
      <c r="M93" t="str">
        <f>IF('Master Sheet'!C94="Area 2 (Viswakala S)",'Master Sheet'!M94,"")</f>
        <v/>
      </c>
      <c r="N93" t="str">
        <f>IF('Master Sheet'!C94="Area 2 (Viswakala S)",'Master Sheet'!N94,"")</f>
        <v/>
      </c>
      <c r="O93" t="str">
        <f>IF('Master Sheet'!C94="Area 2 (Viswakala S)",'Master Sheet'!O94,"")</f>
        <v/>
      </c>
      <c r="P93" t="str">
        <f>IF('Master Sheet'!C94="Area 2 (Viswakala S)",'Master Sheet'!P94,"")</f>
        <v/>
      </c>
    </row>
    <row r="94" spans="1:16" hidden="1" x14ac:dyDescent="0.25">
      <c r="A94" t="str">
        <f>IF('Master Sheet'!C95="Area 2 (Viswakala S)",'Master Sheet'!A95,"")</f>
        <v/>
      </c>
      <c r="B94" t="str">
        <f>IF('Master Sheet'!C95="Area 2 (Viswakala S)",'Master Sheet'!B95,"")</f>
        <v/>
      </c>
      <c r="C94" t="s">
        <v>5</v>
      </c>
      <c r="D94" t="str">
        <f>IF('Master Sheet'!C95="Area 2 (Viswakala S)",'Master Sheet'!D95,"")</f>
        <v/>
      </c>
      <c r="E94" t="str">
        <f>IF('Master Sheet'!C95="Area 2 (Viswakala S)",'Master Sheet'!E95,"")</f>
        <v/>
      </c>
      <c r="F94" t="str">
        <f>IF('Master Sheet'!C95="Area 2 (Viswakala S)",'Master Sheet'!F95,"")</f>
        <v/>
      </c>
      <c r="G94" t="str">
        <f>IF('Master Sheet'!C95="Area 2 (Viswakala S)",'Master Sheet'!G95,"")</f>
        <v/>
      </c>
      <c r="H94" t="str">
        <f>IF('Master Sheet'!C95="Area 2 (Viswakala S)",'Master Sheet'!H95,"")</f>
        <v/>
      </c>
      <c r="I94" t="str">
        <f>IF('Master Sheet'!C95="Area 2 (Viswakala S)",'Master Sheet'!I95,"")</f>
        <v/>
      </c>
      <c r="J94" t="str">
        <f>IF('Master Sheet'!C95="Area 2 (Viswakala S)",'Master Sheet'!J95,"")</f>
        <v/>
      </c>
      <c r="K94" t="str">
        <f>IF('Master Sheet'!C95="Area 2 (Viswakala S)",'Master Sheet'!K95,"")</f>
        <v/>
      </c>
      <c r="L94" t="str">
        <f>IF('Master Sheet'!C95="Area 2 (Viswakala S)",'Master Sheet'!L95,"")</f>
        <v/>
      </c>
      <c r="M94" t="str">
        <f>IF('Master Sheet'!C95="Area 2 (Viswakala S)",'Master Sheet'!M95,"")</f>
        <v/>
      </c>
      <c r="N94" t="str">
        <f>IF('Master Sheet'!C95="Area 2 (Viswakala S)",'Master Sheet'!N95,"")</f>
        <v/>
      </c>
      <c r="O94" t="str">
        <f>IF('Master Sheet'!C95="Area 2 (Viswakala S)",'Master Sheet'!O95,"")</f>
        <v/>
      </c>
      <c r="P94" t="str">
        <f>IF('Master Sheet'!C95="Area 2 (Viswakala S)",'Master Sheet'!P95,"")</f>
        <v/>
      </c>
    </row>
    <row r="95" spans="1:16" hidden="1" x14ac:dyDescent="0.25">
      <c r="A95" t="str">
        <f>IF('Master Sheet'!C96="Area 2 (Viswakala S)",'Master Sheet'!A96,"")</f>
        <v/>
      </c>
      <c r="B95" t="str">
        <f>IF('Master Sheet'!C96="Area 2 (Viswakala S)",'Master Sheet'!B96,"")</f>
        <v/>
      </c>
      <c r="C95" t="s">
        <v>5</v>
      </c>
      <c r="D95" t="str">
        <f>IF('Master Sheet'!C96="Area 2 (Viswakala S)",'Master Sheet'!D96,"")</f>
        <v/>
      </c>
      <c r="E95" t="str">
        <f>IF('Master Sheet'!C96="Area 2 (Viswakala S)",'Master Sheet'!E96,"")</f>
        <v/>
      </c>
      <c r="F95" t="str">
        <f>IF('Master Sheet'!C96="Area 2 (Viswakala S)",'Master Sheet'!F96,"")</f>
        <v/>
      </c>
      <c r="G95" t="str">
        <f>IF('Master Sheet'!C96="Area 2 (Viswakala S)",'Master Sheet'!G96,"")</f>
        <v/>
      </c>
      <c r="H95" t="str">
        <f>IF('Master Sheet'!C96="Area 2 (Viswakala S)",'Master Sheet'!H96,"")</f>
        <v/>
      </c>
      <c r="I95" t="str">
        <f>IF('Master Sheet'!C96="Area 2 (Viswakala S)",'Master Sheet'!I96,"")</f>
        <v/>
      </c>
      <c r="J95" t="str">
        <f>IF('Master Sheet'!C96="Area 2 (Viswakala S)",'Master Sheet'!J96,"")</f>
        <v/>
      </c>
      <c r="K95" t="str">
        <f>IF('Master Sheet'!C96="Area 2 (Viswakala S)",'Master Sheet'!K96,"")</f>
        <v/>
      </c>
      <c r="L95" t="str">
        <f>IF('Master Sheet'!C96="Area 2 (Viswakala S)",'Master Sheet'!L96,"")</f>
        <v/>
      </c>
      <c r="M95" t="str">
        <f>IF('Master Sheet'!C96="Area 2 (Viswakala S)",'Master Sheet'!M96,"")</f>
        <v/>
      </c>
      <c r="N95" t="str">
        <f>IF('Master Sheet'!C96="Area 2 (Viswakala S)",'Master Sheet'!N96,"")</f>
        <v/>
      </c>
      <c r="O95" t="str">
        <f>IF('Master Sheet'!C96="Area 2 (Viswakala S)",'Master Sheet'!O96,"")</f>
        <v/>
      </c>
      <c r="P95" t="str">
        <f>IF('Master Sheet'!C96="Area 2 (Viswakala S)",'Master Sheet'!P96,"")</f>
        <v/>
      </c>
    </row>
    <row r="96" spans="1:16" hidden="1" x14ac:dyDescent="0.25">
      <c r="A96" t="str">
        <f>IF('Master Sheet'!C97="Area 2 (Viswakala S)",'Master Sheet'!A97,"")</f>
        <v/>
      </c>
      <c r="B96" t="str">
        <f>IF('Master Sheet'!C97="Area 2 (Viswakala S)",'Master Sheet'!B97,"")</f>
        <v/>
      </c>
      <c r="C96" t="s">
        <v>5</v>
      </c>
      <c r="D96" t="str">
        <f>IF('Master Sheet'!C97="Area 2 (Viswakala S)",'Master Sheet'!D97,"")</f>
        <v/>
      </c>
      <c r="E96" t="str">
        <f>IF('Master Sheet'!C97="Area 2 (Viswakala S)",'Master Sheet'!E97,"")</f>
        <v/>
      </c>
      <c r="F96" t="str">
        <f>IF('Master Sheet'!C97="Area 2 (Viswakala S)",'Master Sheet'!F97,"")</f>
        <v/>
      </c>
      <c r="G96" t="str">
        <f>IF('Master Sheet'!C97="Area 2 (Viswakala S)",'Master Sheet'!G97,"")</f>
        <v/>
      </c>
      <c r="H96" t="str">
        <f>IF('Master Sheet'!C97="Area 2 (Viswakala S)",'Master Sheet'!H97,"")</f>
        <v/>
      </c>
      <c r="I96" t="str">
        <f>IF('Master Sheet'!C97="Area 2 (Viswakala S)",'Master Sheet'!I97,"")</f>
        <v/>
      </c>
      <c r="J96" t="str">
        <f>IF('Master Sheet'!C97="Area 2 (Viswakala S)",'Master Sheet'!J97,"")</f>
        <v/>
      </c>
      <c r="K96" t="str">
        <f>IF('Master Sheet'!C97="Area 2 (Viswakala S)",'Master Sheet'!K97,"")</f>
        <v/>
      </c>
      <c r="L96" t="str">
        <f>IF('Master Sheet'!C97="Area 2 (Viswakala S)",'Master Sheet'!L97,"")</f>
        <v/>
      </c>
      <c r="M96" t="str">
        <f>IF('Master Sheet'!C97="Area 2 (Viswakala S)",'Master Sheet'!M97,"")</f>
        <v/>
      </c>
      <c r="N96" t="str">
        <f>IF('Master Sheet'!C97="Area 2 (Viswakala S)",'Master Sheet'!N97,"")</f>
        <v/>
      </c>
      <c r="O96" t="str">
        <f>IF('Master Sheet'!C97="Area 2 (Viswakala S)",'Master Sheet'!O97,"")</f>
        <v/>
      </c>
      <c r="P96" t="str">
        <f>IF('Master Sheet'!C97="Area 2 (Viswakala S)",'Master Sheet'!P97,"")</f>
        <v/>
      </c>
    </row>
    <row r="97" spans="1:16" hidden="1" x14ac:dyDescent="0.25">
      <c r="A97" t="str">
        <f>IF('Master Sheet'!C98="Area 2 (Viswakala S)",'Master Sheet'!A98,"")</f>
        <v/>
      </c>
      <c r="B97" t="str">
        <f>IF('Master Sheet'!C98="Area 2 (Viswakala S)",'Master Sheet'!B98,"")</f>
        <v/>
      </c>
      <c r="C97" t="s">
        <v>5</v>
      </c>
      <c r="D97" t="str">
        <f>IF('Master Sheet'!C98="Area 2 (Viswakala S)",'Master Sheet'!D98,"")</f>
        <v/>
      </c>
      <c r="E97" t="str">
        <f>IF('Master Sheet'!C98="Area 2 (Viswakala S)",'Master Sheet'!E98,"")</f>
        <v/>
      </c>
      <c r="F97" t="str">
        <f>IF('Master Sheet'!C98="Area 2 (Viswakala S)",'Master Sheet'!F98,"")</f>
        <v/>
      </c>
      <c r="G97" t="str">
        <f>IF('Master Sheet'!C98="Area 2 (Viswakala S)",'Master Sheet'!G98,"")</f>
        <v/>
      </c>
      <c r="H97" t="str">
        <f>IF('Master Sheet'!C98="Area 2 (Viswakala S)",'Master Sheet'!H98,"")</f>
        <v/>
      </c>
      <c r="I97" t="str">
        <f>IF('Master Sheet'!C98="Area 2 (Viswakala S)",'Master Sheet'!I98,"")</f>
        <v/>
      </c>
      <c r="J97" t="str">
        <f>IF('Master Sheet'!C98="Area 2 (Viswakala S)",'Master Sheet'!J98,"")</f>
        <v/>
      </c>
      <c r="K97" t="str">
        <f>IF('Master Sheet'!C98="Area 2 (Viswakala S)",'Master Sheet'!K98,"")</f>
        <v/>
      </c>
      <c r="L97" t="str">
        <f>IF('Master Sheet'!C98="Area 2 (Viswakala S)",'Master Sheet'!L98,"")</f>
        <v/>
      </c>
      <c r="M97" t="str">
        <f>IF('Master Sheet'!C98="Area 2 (Viswakala S)",'Master Sheet'!M98,"")</f>
        <v/>
      </c>
      <c r="N97" t="str">
        <f>IF('Master Sheet'!C98="Area 2 (Viswakala S)",'Master Sheet'!N98,"")</f>
        <v/>
      </c>
      <c r="O97" t="str">
        <f>IF('Master Sheet'!C98="Area 2 (Viswakala S)",'Master Sheet'!O98,"")</f>
        <v/>
      </c>
      <c r="P97" t="str">
        <f>IF('Master Sheet'!C98="Area 2 (Viswakala S)",'Master Sheet'!P98,"")</f>
        <v/>
      </c>
    </row>
    <row r="98" spans="1:16" hidden="1" x14ac:dyDescent="0.25">
      <c r="A98" t="str">
        <f>IF('Master Sheet'!C99="Area 2 (Viswakala S)",'Master Sheet'!A99,"")</f>
        <v/>
      </c>
      <c r="B98" t="str">
        <f>IF('Master Sheet'!C99="Area 2 (Viswakala S)",'Master Sheet'!B99,"")</f>
        <v/>
      </c>
      <c r="C98" t="s">
        <v>5</v>
      </c>
      <c r="D98" t="str">
        <f>IF('Master Sheet'!C99="Area 2 (Viswakala S)",'Master Sheet'!D99,"")</f>
        <v/>
      </c>
      <c r="E98" t="str">
        <f>IF('Master Sheet'!C99="Area 2 (Viswakala S)",'Master Sheet'!E99,"")</f>
        <v/>
      </c>
      <c r="F98" t="str">
        <f>IF('Master Sheet'!C99="Area 2 (Viswakala S)",'Master Sheet'!F99,"")</f>
        <v/>
      </c>
      <c r="G98" t="str">
        <f>IF('Master Sheet'!C99="Area 2 (Viswakala S)",'Master Sheet'!G99,"")</f>
        <v/>
      </c>
      <c r="H98" t="str">
        <f>IF('Master Sheet'!C99="Area 2 (Viswakala S)",'Master Sheet'!H99,"")</f>
        <v/>
      </c>
      <c r="I98" t="str">
        <f>IF('Master Sheet'!C99="Area 2 (Viswakala S)",'Master Sheet'!I99,"")</f>
        <v/>
      </c>
      <c r="J98" t="str">
        <f>IF('Master Sheet'!C99="Area 2 (Viswakala S)",'Master Sheet'!J99,"")</f>
        <v/>
      </c>
      <c r="K98" t="str">
        <f>IF('Master Sheet'!C99="Area 2 (Viswakala S)",'Master Sheet'!K99,"")</f>
        <v/>
      </c>
      <c r="L98" t="str">
        <f>IF('Master Sheet'!C99="Area 2 (Viswakala S)",'Master Sheet'!L99,"")</f>
        <v/>
      </c>
      <c r="M98" t="str">
        <f>IF('Master Sheet'!C99="Area 2 (Viswakala S)",'Master Sheet'!M99,"")</f>
        <v/>
      </c>
      <c r="N98" t="str">
        <f>IF('Master Sheet'!C99="Area 2 (Viswakala S)",'Master Sheet'!N99,"")</f>
        <v/>
      </c>
      <c r="O98" t="str">
        <f>IF('Master Sheet'!C99="Area 2 (Viswakala S)",'Master Sheet'!O99,"")</f>
        <v/>
      </c>
      <c r="P98" t="str">
        <f>IF('Master Sheet'!C99="Area 2 (Viswakala S)",'Master Sheet'!P99,"")</f>
        <v/>
      </c>
    </row>
    <row r="99" spans="1:16" hidden="1" x14ac:dyDescent="0.25">
      <c r="A99" t="str">
        <f>IF('Master Sheet'!C100="Area 2 (Viswakala S)",'Master Sheet'!A100,"")</f>
        <v/>
      </c>
      <c r="B99" t="str">
        <f>IF('Master Sheet'!C100="Area 2 (Viswakala S)",'Master Sheet'!B100,"")</f>
        <v/>
      </c>
      <c r="C99" t="s">
        <v>5</v>
      </c>
      <c r="D99" t="str">
        <f>IF('Master Sheet'!C100="Area 2 (Viswakala S)",'Master Sheet'!D100,"")</f>
        <v/>
      </c>
      <c r="E99" t="str">
        <f>IF('Master Sheet'!C100="Area 2 (Viswakala S)",'Master Sheet'!E100,"")</f>
        <v/>
      </c>
      <c r="F99" t="str">
        <f>IF('Master Sheet'!C100="Area 2 (Viswakala S)",'Master Sheet'!F100,"")</f>
        <v/>
      </c>
      <c r="G99" t="str">
        <f>IF('Master Sheet'!C100="Area 2 (Viswakala S)",'Master Sheet'!G100,"")</f>
        <v/>
      </c>
      <c r="H99" t="str">
        <f>IF('Master Sheet'!C100="Area 2 (Viswakala S)",'Master Sheet'!H100,"")</f>
        <v/>
      </c>
      <c r="I99" t="str">
        <f>IF('Master Sheet'!C100="Area 2 (Viswakala S)",'Master Sheet'!I100,"")</f>
        <v/>
      </c>
      <c r="J99" t="str">
        <f>IF('Master Sheet'!C100="Area 2 (Viswakala S)",'Master Sheet'!J100,"")</f>
        <v/>
      </c>
      <c r="K99" t="str">
        <f>IF('Master Sheet'!C100="Area 2 (Viswakala S)",'Master Sheet'!K100,"")</f>
        <v/>
      </c>
      <c r="L99" t="str">
        <f>IF('Master Sheet'!C100="Area 2 (Viswakala S)",'Master Sheet'!L100,"")</f>
        <v/>
      </c>
      <c r="M99" t="str">
        <f>IF('Master Sheet'!C100="Area 2 (Viswakala S)",'Master Sheet'!M100,"")</f>
        <v/>
      </c>
      <c r="N99" t="str">
        <f>IF('Master Sheet'!C100="Area 2 (Viswakala S)",'Master Sheet'!N100,"")</f>
        <v/>
      </c>
      <c r="O99" t="str">
        <f>IF('Master Sheet'!C100="Area 2 (Viswakala S)",'Master Sheet'!O100,"")</f>
        <v/>
      </c>
      <c r="P99" t="str">
        <f>IF('Master Sheet'!C100="Area 2 (Viswakala S)",'Master Sheet'!P100,"")</f>
        <v/>
      </c>
    </row>
    <row r="100" spans="1:16" hidden="1" x14ac:dyDescent="0.25">
      <c r="A100" t="str">
        <f>IF('Master Sheet'!C101="Area 2 (Viswakala S)",'Master Sheet'!A101,"")</f>
        <v/>
      </c>
      <c r="B100" t="str">
        <f>IF('Master Sheet'!C101="Area 2 (Viswakala S)",'Master Sheet'!B101,"")</f>
        <v/>
      </c>
      <c r="C100" t="s">
        <v>5</v>
      </c>
      <c r="D100" t="str">
        <f>IF('Master Sheet'!C101="Area 2 (Viswakala S)",'Master Sheet'!D101,"")</f>
        <v/>
      </c>
      <c r="E100" t="str">
        <f>IF('Master Sheet'!C101="Area 2 (Viswakala S)",'Master Sheet'!E101,"")</f>
        <v/>
      </c>
      <c r="F100" t="str">
        <f>IF('Master Sheet'!C101="Area 2 (Viswakala S)",'Master Sheet'!F101,"")</f>
        <v/>
      </c>
      <c r="G100" t="str">
        <f>IF('Master Sheet'!C101="Area 2 (Viswakala S)",'Master Sheet'!G101,"")</f>
        <v/>
      </c>
      <c r="H100" t="str">
        <f>IF('Master Sheet'!C101="Area 2 (Viswakala S)",'Master Sheet'!H101,"")</f>
        <v/>
      </c>
      <c r="I100" t="str">
        <f>IF('Master Sheet'!C101="Area 2 (Viswakala S)",'Master Sheet'!I101,"")</f>
        <v/>
      </c>
      <c r="J100" t="str">
        <f>IF('Master Sheet'!C101="Area 2 (Viswakala S)",'Master Sheet'!J101,"")</f>
        <v/>
      </c>
      <c r="K100" t="str">
        <f>IF('Master Sheet'!C101="Area 2 (Viswakala S)",'Master Sheet'!K101,"")</f>
        <v/>
      </c>
      <c r="L100" t="str">
        <f>IF('Master Sheet'!C101="Area 2 (Viswakala S)",'Master Sheet'!L101,"")</f>
        <v/>
      </c>
      <c r="M100" t="str">
        <f>IF('Master Sheet'!C101="Area 2 (Viswakala S)",'Master Sheet'!M101,"")</f>
        <v/>
      </c>
      <c r="N100" t="str">
        <f>IF('Master Sheet'!C101="Area 2 (Viswakala S)",'Master Sheet'!N101,"")</f>
        <v/>
      </c>
      <c r="O100" t="str">
        <f>IF('Master Sheet'!C101="Area 2 (Viswakala S)",'Master Sheet'!O101,"")</f>
        <v/>
      </c>
      <c r="P100" t="str">
        <f>IF('Master Sheet'!C101="Area 2 (Viswakala S)",'Master Sheet'!P101,"")</f>
        <v/>
      </c>
    </row>
    <row r="101" spans="1:16" hidden="1" x14ac:dyDescent="0.25">
      <c r="A101" t="str">
        <f>IF('Master Sheet'!C102="Area 2 (Viswakala S)",'Master Sheet'!A102,"")</f>
        <v/>
      </c>
      <c r="B101" t="str">
        <f>IF('Master Sheet'!C102="Area 2 (Viswakala S)",'Master Sheet'!B102,"")</f>
        <v/>
      </c>
      <c r="C101" t="s">
        <v>5</v>
      </c>
      <c r="D101" t="str">
        <f>IF('Master Sheet'!C102="Area 2 (Viswakala S)",'Master Sheet'!D102,"")</f>
        <v/>
      </c>
      <c r="E101" t="str">
        <f>IF('Master Sheet'!C102="Area 2 (Viswakala S)",'Master Sheet'!E102,"")</f>
        <v/>
      </c>
      <c r="F101" t="str">
        <f>IF('Master Sheet'!C102="Area 2 (Viswakala S)",'Master Sheet'!F102,"")</f>
        <v/>
      </c>
      <c r="G101" t="str">
        <f>IF('Master Sheet'!C102="Area 2 (Viswakala S)",'Master Sheet'!G102,"")</f>
        <v/>
      </c>
      <c r="H101" t="str">
        <f>IF('Master Sheet'!C102="Area 2 (Viswakala S)",'Master Sheet'!H102,"")</f>
        <v/>
      </c>
      <c r="I101" t="str">
        <f>IF('Master Sheet'!C102="Area 2 (Viswakala S)",'Master Sheet'!I102,"")</f>
        <v/>
      </c>
      <c r="J101" t="str">
        <f>IF('Master Sheet'!C102="Area 2 (Viswakala S)",'Master Sheet'!J102,"")</f>
        <v/>
      </c>
      <c r="K101" t="str">
        <f>IF('Master Sheet'!C102="Area 2 (Viswakala S)",'Master Sheet'!K102,"")</f>
        <v/>
      </c>
      <c r="L101" t="str">
        <f>IF('Master Sheet'!C102="Area 2 (Viswakala S)",'Master Sheet'!L102,"")</f>
        <v/>
      </c>
      <c r="M101" t="str">
        <f>IF('Master Sheet'!C102="Area 2 (Viswakala S)",'Master Sheet'!M102,"")</f>
        <v/>
      </c>
      <c r="N101" t="str">
        <f>IF('Master Sheet'!C102="Area 2 (Viswakala S)",'Master Sheet'!N102,"")</f>
        <v/>
      </c>
      <c r="O101" t="str">
        <f>IF('Master Sheet'!C102="Area 2 (Viswakala S)",'Master Sheet'!O102,"")</f>
        <v/>
      </c>
      <c r="P101" t="str">
        <f>IF('Master Sheet'!C102="Area 2 (Viswakala S)",'Master Sheet'!P102,"")</f>
        <v/>
      </c>
    </row>
    <row r="102" spans="1:16" hidden="1" x14ac:dyDescent="0.25">
      <c r="A102" t="str">
        <f>IF('Master Sheet'!C103="Area 2 (Viswakala S)",'Master Sheet'!A103,"")</f>
        <v/>
      </c>
      <c r="B102" t="str">
        <f>IF('Master Sheet'!C103="Area 2 (Viswakala S)",'Master Sheet'!B103,"")</f>
        <v/>
      </c>
      <c r="C102" t="s">
        <v>5</v>
      </c>
      <c r="D102" t="str">
        <f>IF('Master Sheet'!C103="Area 2 (Viswakala S)",'Master Sheet'!D103,"")</f>
        <v/>
      </c>
      <c r="E102" t="str">
        <f>IF('Master Sheet'!C103="Area 2 (Viswakala S)",'Master Sheet'!E103,"")</f>
        <v/>
      </c>
      <c r="F102" t="str">
        <f>IF('Master Sheet'!C103="Area 2 (Viswakala S)",'Master Sheet'!F103,"")</f>
        <v/>
      </c>
      <c r="G102" t="str">
        <f>IF('Master Sheet'!C103="Area 2 (Viswakala S)",'Master Sheet'!G103,"")</f>
        <v/>
      </c>
      <c r="H102" t="str">
        <f>IF('Master Sheet'!C103="Area 2 (Viswakala S)",'Master Sheet'!H103,"")</f>
        <v/>
      </c>
      <c r="I102" t="str">
        <f>IF('Master Sheet'!C103="Area 2 (Viswakala S)",'Master Sheet'!I103,"")</f>
        <v/>
      </c>
      <c r="J102" t="str">
        <f>IF('Master Sheet'!C103="Area 2 (Viswakala S)",'Master Sheet'!J103,"")</f>
        <v/>
      </c>
      <c r="K102" t="str">
        <f>IF('Master Sheet'!C103="Area 2 (Viswakala S)",'Master Sheet'!K103,"")</f>
        <v/>
      </c>
      <c r="L102" t="str">
        <f>IF('Master Sheet'!C103="Area 2 (Viswakala S)",'Master Sheet'!L103,"")</f>
        <v/>
      </c>
      <c r="M102" t="str">
        <f>IF('Master Sheet'!C103="Area 2 (Viswakala S)",'Master Sheet'!M103,"")</f>
        <v/>
      </c>
      <c r="N102" t="str">
        <f>IF('Master Sheet'!C103="Area 2 (Viswakala S)",'Master Sheet'!N103,"")</f>
        <v/>
      </c>
      <c r="O102" t="str">
        <f>IF('Master Sheet'!C103="Area 2 (Viswakala S)",'Master Sheet'!O103,"")</f>
        <v/>
      </c>
      <c r="P102" t="str">
        <f>IF('Master Sheet'!C103="Area 2 (Viswakala S)",'Master Sheet'!P103,"")</f>
        <v/>
      </c>
    </row>
    <row r="103" spans="1:16" hidden="1" x14ac:dyDescent="0.25">
      <c r="A103" t="str">
        <f>IF('Master Sheet'!C104="Area 2 (Viswakala S)",'Master Sheet'!A104,"")</f>
        <v/>
      </c>
      <c r="B103" t="str">
        <f>IF('Master Sheet'!C104="Area 2 (Viswakala S)",'Master Sheet'!B104,"")</f>
        <v/>
      </c>
      <c r="C103" t="s">
        <v>5</v>
      </c>
      <c r="D103" t="str">
        <f>IF('Master Sheet'!C104="Area 2 (Viswakala S)",'Master Sheet'!D104,"")</f>
        <v/>
      </c>
      <c r="E103" t="str">
        <f>IF('Master Sheet'!C104="Area 2 (Viswakala S)",'Master Sheet'!E104,"")</f>
        <v/>
      </c>
      <c r="F103" t="str">
        <f>IF('Master Sheet'!C104="Area 2 (Viswakala S)",'Master Sheet'!F104,"")</f>
        <v/>
      </c>
      <c r="G103" t="str">
        <f>IF('Master Sheet'!C104="Area 2 (Viswakala S)",'Master Sheet'!G104,"")</f>
        <v/>
      </c>
      <c r="H103" t="str">
        <f>IF('Master Sheet'!C104="Area 2 (Viswakala S)",'Master Sheet'!H104,"")</f>
        <v/>
      </c>
      <c r="I103" t="str">
        <f>IF('Master Sheet'!C104="Area 2 (Viswakala S)",'Master Sheet'!I104,"")</f>
        <v/>
      </c>
      <c r="J103" t="str">
        <f>IF('Master Sheet'!C104="Area 2 (Viswakala S)",'Master Sheet'!J104,"")</f>
        <v/>
      </c>
      <c r="K103" t="str">
        <f>IF('Master Sheet'!C104="Area 2 (Viswakala S)",'Master Sheet'!K104,"")</f>
        <v/>
      </c>
      <c r="L103" t="str">
        <f>IF('Master Sheet'!C104="Area 2 (Viswakala S)",'Master Sheet'!L104,"")</f>
        <v/>
      </c>
      <c r="M103" t="str">
        <f>IF('Master Sheet'!C104="Area 2 (Viswakala S)",'Master Sheet'!M104,"")</f>
        <v/>
      </c>
      <c r="N103" t="str">
        <f>IF('Master Sheet'!C104="Area 2 (Viswakala S)",'Master Sheet'!N104,"")</f>
        <v/>
      </c>
      <c r="O103" t="str">
        <f>IF('Master Sheet'!C104="Area 2 (Viswakala S)",'Master Sheet'!O104,"")</f>
        <v/>
      </c>
      <c r="P103" t="str">
        <f>IF('Master Sheet'!C104="Area 2 (Viswakala S)",'Master Sheet'!P104,"")</f>
        <v/>
      </c>
    </row>
    <row r="104" spans="1:16" hidden="1" x14ac:dyDescent="0.25">
      <c r="A104" t="str">
        <f>IF('Master Sheet'!C105="Area 2 (Viswakala S)",'Master Sheet'!A105,"")</f>
        <v/>
      </c>
      <c r="B104" t="str">
        <f>IF('Master Sheet'!C105="Area 2 (Viswakala S)",'Master Sheet'!B105,"")</f>
        <v/>
      </c>
      <c r="C104" t="s">
        <v>5</v>
      </c>
      <c r="D104" t="str">
        <f>IF('Master Sheet'!C105="Area 2 (Viswakala S)",'Master Sheet'!D105,"")</f>
        <v/>
      </c>
      <c r="E104" t="str">
        <f>IF('Master Sheet'!C105="Area 2 (Viswakala S)",'Master Sheet'!E105,"")</f>
        <v/>
      </c>
      <c r="F104" t="str">
        <f>IF('Master Sheet'!C105="Area 2 (Viswakala S)",'Master Sheet'!F105,"")</f>
        <v/>
      </c>
      <c r="G104" t="str">
        <f>IF('Master Sheet'!C105="Area 2 (Viswakala S)",'Master Sheet'!G105,"")</f>
        <v/>
      </c>
      <c r="H104" t="str">
        <f>IF('Master Sheet'!C105="Area 2 (Viswakala S)",'Master Sheet'!H105,"")</f>
        <v/>
      </c>
      <c r="I104" t="str">
        <f>IF('Master Sheet'!C105="Area 2 (Viswakala S)",'Master Sheet'!I105,"")</f>
        <v/>
      </c>
      <c r="J104" t="str">
        <f>IF('Master Sheet'!C105="Area 2 (Viswakala S)",'Master Sheet'!J105,"")</f>
        <v/>
      </c>
      <c r="K104" t="str">
        <f>IF('Master Sheet'!C105="Area 2 (Viswakala S)",'Master Sheet'!K105,"")</f>
        <v/>
      </c>
      <c r="L104" t="str">
        <f>IF('Master Sheet'!C105="Area 2 (Viswakala S)",'Master Sheet'!L105,"")</f>
        <v/>
      </c>
      <c r="M104" t="str">
        <f>IF('Master Sheet'!C105="Area 2 (Viswakala S)",'Master Sheet'!M105,"")</f>
        <v/>
      </c>
      <c r="N104" t="str">
        <f>IF('Master Sheet'!C105="Area 2 (Viswakala S)",'Master Sheet'!N105,"")</f>
        <v/>
      </c>
      <c r="O104" t="str">
        <f>IF('Master Sheet'!C105="Area 2 (Viswakala S)",'Master Sheet'!O105,"")</f>
        <v/>
      </c>
      <c r="P104" t="str">
        <f>IF('Master Sheet'!C105="Area 2 (Viswakala S)",'Master Sheet'!P105,"")</f>
        <v/>
      </c>
    </row>
    <row r="105" spans="1:16" hidden="1" x14ac:dyDescent="0.25">
      <c r="A105" t="str">
        <f>IF('Master Sheet'!C106="Area 2 (Viswakala S)",'Master Sheet'!A106,"")</f>
        <v/>
      </c>
      <c r="B105" t="str">
        <f>IF('Master Sheet'!C106="Area 2 (Viswakala S)",'Master Sheet'!B106,"")</f>
        <v/>
      </c>
      <c r="C105" t="s">
        <v>5</v>
      </c>
      <c r="D105" t="str">
        <f>IF('Master Sheet'!C106="Area 2 (Viswakala S)",'Master Sheet'!D106,"")</f>
        <v/>
      </c>
      <c r="E105" t="str">
        <f>IF('Master Sheet'!C106="Area 2 (Viswakala S)",'Master Sheet'!E106,"")</f>
        <v/>
      </c>
      <c r="F105" t="str">
        <f>IF('Master Sheet'!C106="Area 2 (Viswakala S)",'Master Sheet'!F106,"")</f>
        <v/>
      </c>
      <c r="G105" t="str">
        <f>IF('Master Sheet'!C106="Area 2 (Viswakala S)",'Master Sheet'!G106,"")</f>
        <v/>
      </c>
      <c r="H105" t="str">
        <f>IF('Master Sheet'!C106="Area 2 (Viswakala S)",'Master Sheet'!H106,"")</f>
        <v/>
      </c>
      <c r="I105" t="str">
        <f>IF('Master Sheet'!C106="Area 2 (Viswakala S)",'Master Sheet'!I106,"")</f>
        <v/>
      </c>
      <c r="J105" t="str">
        <f>IF('Master Sheet'!C106="Area 2 (Viswakala S)",'Master Sheet'!J106,"")</f>
        <v/>
      </c>
      <c r="K105" t="str">
        <f>IF('Master Sheet'!C106="Area 2 (Viswakala S)",'Master Sheet'!K106,"")</f>
        <v/>
      </c>
      <c r="L105" t="str">
        <f>IF('Master Sheet'!C106="Area 2 (Viswakala S)",'Master Sheet'!L106,"")</f>
        <v/>
      </c>
      <c r="M105" t="str">
        <f>IF('Master Sheet'!C106="Area 2 (Viswakala S)",'Master Sheet'!M106,"")</f>
        <v/>
      </c>
      <c r="N105" t="str">
        <f>IF('Master Sheet'!C106="Area 2 (Viswakala S)",'Master Sheet'!N106,"")</f>
        <v/>
      </c>
      <c r="O105" t="str">
        <f>IF('Master Sheet'!C106="Area 2 (Viswakala S)",'Master Sheet'!O106,"")</f>
        <v/>
      </c>
      <c r="P105" t="str">
        <f>IF('Master Sheet'!C106="Area 2 (Viswakala S)",'Master Sheet'!P106,"")</f>
        <v/>
      </c>
    </row>
    <row r="106" spans="1:16" hidden="1" x14ac:dyDescent="0.25">
      <c r="A106" t="str">
        <f>IF('Master Sheet'!C107="Area 2 (Viswakala S)",'Master Sheet'!A107,"")</f>
        <v/>
      </c>
      <c r="B106" t="str">
        <f>IF('Master Sheet'!C107="Area 2 (Viswakala S)",'Master Sheet'!B107,"")</f>
        <v/>
      </c>
      <c r="C106" t="s">
        <v>5</v>
      </c>
      <c r="D106" t="str">
        <f>IF('Master Sheet'!C107="Area 2 (Viswakala S)",'Master Sheet'!D107,"")</f>
        <v/>
      </c>
      <c r="E106" t="str">
        <f>IF('Master Sheet'!C107="Area 2 (Viswakala S)",'Master Sheet'!E107,"")</f>
        <v/>
      </c>
      <c r="F106" t="str">
        <f>IF('Master Sheet'!C107="Area 2 (Viswakala S)",'Master Sheet'!F107,"")</f>
        <v/>
      </c>
      <c r="G106" t="str">
        <f>IF('Master Sheet'!C107="Area 2 (Viswakala S)",'Master Sheet'!G107,"")</f>
        <v/>
      </c>
      <c r="H106" t="str">
        <f>IF('Master Sheet'!C107="Area 2 (Viswakala S)",'Master Sheet'!H107,"")</f>
        <v/>
      </c>
      <c r="I106" t="str">
        <f>IF('Master Sheet'!C107="Area 2 (Viswakala S)",'Master Sheet'!I107,"")</f>
        <v/>
      </c>
      <c r="J106" t="str">
        <f>IF('Master Sheet'!C107="Area 2 (Viswakala S)",'Master Sheet'!J107,"")</f>
        <v/>
      </c>
      <c r="K106" t="str">
        <f>IF('Master Sheet'!C107="Area 2 (Viswakala S)",'Master Sheet'!K107,"")</f>
        <v/>
      </c>
      <c r="L106" t="str">
        <f>IF('Master Sheet'!C107="Area 2 (Viswakala S)",'Master Sheet'!L107,"")</f>
        <v/>
      </c>
      <c r="M106" t="str">
        <f>IF('Master Sheet'!C107="Area 2 (Viswakala S)",'Master Sheet'!M107,"")</f>
        <v/>
      </c>
      <c r="N106" t="str">
        <f>IF('Master Sheet'!C107="Area 2 (Viswakala S)",'Master Sheet'!N107,"")</f>
        <v/>
      </c>
      <c r="O106" t="str">
        <f>IF('Master Sheet'!C107="Area 2 (Viswakala S)",'Master Sheet'!O107,"")</f>
        <v/>
      </c>
      <c r="P106" t="str">
        <f>IF('Master Sheet'!C107="Area 2 (Viswakala S)",'Master Sheet'!P107,"")</f>
        <v/>
      </c>
    </row>
    <row r="107" spans="1:16" hidden="1" x14ac:dyDescent="0.25">
      <c r="A107" t="str">
        <f>IF('Master Sheet'!C108="Area 2 (Viswakala S)",'Master Sheet'!A108,"")</f>
        <v/>
      </c>
      <c r="B107" t="str">
        <f>IF('Master Sheet'!C108="Area 2 (Viswakala S)",'Master Sheet'!B108,"")</f>
        <v/>
      </c>
      <c r="C107" t="s">
        <v>5</v>
      </c>
      <c r="D107" t="str">
        <f>IF('Master Sheet'!C108="Area 2 (Viswakala S)",'Master Sheet'!D108,"")</f>
        <v/>
      </c>
      <c r="E107" t="str">
        <f>IF('Master Sheet'!C108="Area 2 (Viswakala S)",'Master Sheet'!E108,"")</f>
        <v/>
      </c>
      <c r="F107" t="str">
        <f>IF('Master Sheet'!C108="Area 2 (Viswakala S)",'Master Sheet'!F108,"")</f>
        <v/>
      </c>
      <c r="G107" t="str">
        <f>IF('Master Sheet'!C108="Area 2 (Viswakala S)",'Master Sheet'!G108,"")</f>
        <v/>
      </c>
      <c r="H107" t="str">
        <f>IF('Master Sheet'!C108="Area 2 (Viswakala S)",'Master Sheet'!H108,"")</f>
        <v/>
      </c>
      <c r="I107" t="str">
        <f>IF('Master Sheet'!C108="Area 2 (Viswakala S)",'Master Sheet'!I108,"")</f>
        <v/>
      </c>
      <c r="J107" t="str">
        <f>IF('Master Sheet'!C108="Area 2 (Viswakala S)",'Master Sheet'!J108,"")</f>
        <v/>
      </c>
      <c r="K107" t="str">
        <f>IF('Master Sheet'!C108="Area 2 (Viswakala S)",'Master Sheet'!K108,"")</f>
        <v/>
      </c>
      <c r="L107" t="str">
        <f>IF('Master Sheet'!C108="Area 2 (Viswakala S)",'Master Sheet'!L108,"")</f>
        <v/>
      </c>
      <c r="M107" t="str">
        <f>IF('Master Sheet'!C108="Area 2 (Viswakala S)",'Master Sheet'!M108,"")</f>
        <v/>
      </c>
      <c r="N107" t="str">
        <f>IF('Master Sheet'!C108="Area 2 (Viswakala S)",'Master Sheet'!N108,"")</f>
        <v/>
      </c>
      <c r="O107" t="str">
        <f>IF('Master Sheet'!C108="Area 2 (Viswakala S)",'Master Sheet'!O108,"")</f>
        <v/>
      </c>
      <c r="P107" t="str">
        <f>IF('Master Sheet'!C108="Area 2 (Viswakala S)",'Master Sheet'!P108,"")</f>
        <v/>
      </c>
    </row>
    <row r="108" spans="1:16" hidden="1" x14ac:dyDescent="0.25">
      <c r="A108" t="str">
        <f>IF('Master Sheet'!C109="Area 2 (Viswakala S)",'Master Sheet'!A109,"")</f>
        <v/>
      </c>
      <c r="B108" t="str">
        <f>IF('Master Sheet'!C109="Area 2 (Viswakala S)",'Master Sheet'!B109,"")</f>
        <v/>
      </c>
      <c r="C108" t="s">
        <v>5</v>
      </c>
      <c r="D108" t="str">
        <f>IF('Master Sheet'!C109="Area 2 (Viswakala S)",'Master Sheet'!D109,"")</f>
        <v/>
      </c>
      <c r="E108" t="str">
        <f>IF('Master Sheet'!C109="Area 2 (Viswakala S)",'Master Sheet'!E109,"")</f>
        <v/>
      </c>
      <c r="F108" t="str">
        <f>IF('Master Sheet'!C109="Area 2 (Viswakala S)",'Master Sheet'!F109,"")</f>
        <v/>
      </c>
      <c r="G108" t="str">
        <f>IF('Master Sheet'!C109="Area 2 (Viswakala S)",'Master Sheet'!G109,"")</f>
        <v/>
      </c>
      <c r="H108" t="str">
        <f>IF('Master Sheet'!C109="Area 2 (Viswakala S)",'Master Sheet'!H109,"")</f>
        <v/>
      </c>
      <c r="I108" t="str">
        <f>IF('Master Sheet'!C109="Area 2 (Viswakala S)",'Master Sheet'!I109,"")</f>
        <v/>
      </c>
      <c r="J108" t="str">
        <f>IF('Master Sheet'!C109="Area 2 (Viswakala S)",'Master Sheet'!J109,"")</f>
        <v/>
      </c>
      <c r="K108" t="str">
        <f>IF('Master Sheet'!C109="Area 2 (Viswakala S)",'Master Sheet'!K109,"")</f>
        <v/>
      </c>
      <c r="L108" t="str">
        <f>IF('Master Sheet'!C109="Area 2 (Viswakala S)",'Master Sheet'!L109,"")</f>
        <v/>
      </c>
      <c r="M108" t="str">
        <f>IF('Master Sheet'!C109="Area 2 (Viswakala S)",'Master Sheet'!M109,"")</f>
        <v/>
      </c>
      <c r="N108" t="str">
        <f>IF('Master Sheet'!C109="Area 2 (Viswakala S)",'Master Sheet'!N109,"")</f>
        <v/>
      </c>
      <c r="O108" t="str">
        <f>IF('Master Sheet'!C109="Area 2 (Viswakala S)",'Master Sheet'!O109,"")</f>
        <v/>
      </c>
      <c r="P108" t="str">
        <f>IF('Master Sheet'!C109="Area 2 (Viswakala S)",'Master Sheet'!P109,"")</f>
        <v/>
      </c>
    </row>
    <row r="109" spans="1:16" hidden="1" x14ac:dyDescent="0.25">
      <c r="A109" t="str">
        <f>IF('Master Sheet'!C110="Area 2 (Viswakala S)",'Master Sheet'!A110,"")</f>
        <v/>
      </c>
      <c r="B109" t="str">
        <f>IF('Master Sheet'!C110="Area 2 (Viswakala S)",'Master Sheet'!B110,"")</f>
        <v/>
      </c>
      <c r="C109" t="s">
        <v>5</v>
      </c>
      <c r="D109" t="str">
        <f>IF('Master Sheet'!C110="Area 2 (Viswakala S)",'Master Sheet'!D110,"")</f>
        <v/>
      </c>
      <c r="E109" t="str">
        <f>IF('Master Sheet'!C110="Area 2 (Viswakala S)",'Master Sheet'!E110,"")</f>
        <v/>
      </c>
      <c r="F109" t="str">
        <f>IF('Master Sheet'!C110="Area 2 (Viswakala S)",'Master Sheet'!F110,"")</f>
        <v/>
      </c>
      <c r="G109" t="str">
        <f>IF('Master Sheet'!C110="Area 2 (Viswakala S)",'Master Sheet'!G110,"")</f>
        <v/>
      </c>
      <c r="H109" t="str">
        <f>IF('Master Sheet'!C110="Area 2 (Viswakala S)",'Master Sheet'!H110,"")</f>
        <v/>
      </c>
      <c r="I109" t="str">
        <f>IF('Master Sheet'!C110="Area 2 (Viswakala S)",'Master Sheet'!I110,"")</f>
        <v/>
      </c>
      <c r="J109" t="str">
        <f>IF('Master Sheet'!C110="Area 2 (Viswakala S)",'Master Sheet'!J110,"")</f>
        <v/>
      </c>
      <c r="K109" t="str">
        <f>IF('Master Sheet'!C110="Area 2 (Viswakala S)",'Master Sheet'!K110,"")</f>
        <v/>
      </c>
      <c r="L109" t="str">
        <f>IF('Master Sheet'!C110="Area 2 (Viswakala S)",'Master Sheet'!L110,"")</f>
        <v/>
      </c>
      <c r="M109" t="str">
        <f>IF('Master Sheet'!C110="Area 2 (Viswakala S)",'Master Sheet'!M110,"")</f>
        <v/>
      </c>
      <c r="N109" t="str">
        <f>IF('Master Sheet'!C110="Area 2 (Viswakala S)",'Master Sheet'!N110,"")</f>
        <v/>
      </c>
      <c r="O109" t="str">
        <f>IF('Master Sheet'!C110="Area 2 (Viswakala S)",'Master Sheet'!O110,"")</f>
        <v/>
      </c>
      <c r="P109" t="str">
        <f>IF('Master Sheet'!C110="Area 2 (Viswakala S)",'Master Sheet'!P110,"")</f>
        <v/>
      </c>
    </row>
    <row r="110" spans="1:16" hidden="1" x14ac:dyDescent="0.25">
      <c r="A110" t="str">
        <f>IF('Master Sheet'!C111="Area 2 (Viswakala S)",'Master Sheet'!A111,"")</f>
        <v/>
      </c>
      <c r="B110" t="str">
        <f>IF('Master Sheet'!C111="Area 2 (Viswakala S)",'Master Sheet'!B111,"")</f>
        <v/>
      </c>
      <c r="C110" t="s">
        <v>5</v>
      </c>
      <c r="D110" t="str">
        <f>IF('Master Sheet'!C111="Area 2 (Viswakala S)",'Master Sheet'!D111,"")</f>
        <v/>
      </c>
      <c r="E110" t="str">
        <f>IF('Master Sheet'!C111="Area 2 (Viswakala S)",'Master Sheet'!E111,"")</f>
        <v/>
      </c>
      <c r="F110" t="str">
        <f>IF('Master Sheet'!C111="Area 2 (Viswakala S)",'Master Sheet'!F111,"")</f>
        <v/>
      </c>
      <c r="G110" t="str">
        <f>IF('Master Sheet'!C111="Area 2 (Viswakala S)",'Master Sheet'!G111,"")</f>
        <v/>
      </c>
      <c r="H110" t="str">
        <f>IF('Master Sheet'!C111="Area 2 (Viswakala S)",'Master Sheet'!H111,"")</f>
        <v/>
      </c>
      <c r="I110" t="str">
        <f>IF('Master Sheet'!C111="Area 2 (Viswakala S)",'Master Sheet'!I111,"")</f>
        <v/>
      </c>
      <c r="J110" t="str">
        <f>IF('Master Sheet'!C111="Area 2 (Viswakala S)",'Master Sheet'!J111,"")</f>
        <v/>
      </c>
      <c r="K110" t="str">
        <f>IF('Master Sheet'!C111="Area 2 (Viswakala S)",'Master Sheet'!K111,"")</f>
        <v/>
      </c>
      <c r="L110" t="str">
        <f>IF('Master Sheet'!C111="Area 2 (Viswakala S)",'Master Sheet'!L111,"")</f>
        <v/>
      </c>
      <c r="M110" t="str">
        <f>IF('Master Sheet'!C111="Area 2 (Viswakala S)",'Master Sheet'!M111,"")</f>
        <v/>
      </c>
      <c r="N110" t="str">
        <f>IF('Master Sheet'!C111="Area 2 (Viswakala S)",'Master Sheet'!N111,"")</f>
        <v/>
      </c>
      <c r="O110" t="str">
        <f>IF('Master Sheet'!C111="Area 2 (Viswakala S)",'Master Sheet'!O111,"")</f>
        <v/>
      </c>
      <c r="P110" t="str">
        <f>IF('Master Sheet'!C111="Area 2 (Viswakala S)",'Master Sheet'!P111,"")</f>
        <v/>
      </c>
    </row>
    <row r="111" spans="1:16" hidden="1" x14ac:dyDescent="0.25">
      <c r="A111" t="str">
        <f>IF('Master Sheet'!C112="Area 2 (Viswakala S)",'Master Sheet'!A112,"")</f>
        <v/>
      </c>
      <c r="B111" t="str">
        <f>IF('Master Sheet'!C112="Area 2 (Viswakala S)",'Master Sheet'!B112,"")</f>
        <v/>
      </c>
      <c r="C111" t="s">
        <v>5</v>
      </c>
      <c r="D111" t="str">
        <f>IF('Master Sheet'!C112="Area 2 (Viswakala S)",'Master Sheet'!D112,"")</f>
        <v/>
      </c>
      <c r="E111" t="str">
        <f>IF('Master Sheet'!C112="Area 2 (Viswakala S)",'Master Sheet'!E112,"")</f>
        <v/>
      </c>
      <c r="F111" t="str">
        <f>IF('Master Sheet'!C112="Area 2 (Viswakala S)",'Master Sheet'!F112,"")</f>
        <v/>
      </c>
      <c r="G111" t="str">
        <f>IF('Master Sheet'!C112="Area 2 (Viswakala S)",'Master Sheet'!G112,"")</f>
        <v/>
      </c>
      <c r="H111" t="str">
        <f>IF('Master Sheet'!C112="Area 2 (Viswakala S)",'Master Sheet'!H112,"")</f>
        <v/>
      </c>
      <c r="I111" t="str">
        <f>IF('Master Sheet'!C112="Area 2 (Viswakala S)",'Master Sheet'!I112,"")</f>
        <v/>
      </c>
      <c r="J111" t="str">
        <f>IF('Master Sheet'!C112="Area 2 (Viswakala S)",'Master Sheet'!J112,"")</f>
        <v/>
      </c>
      <c r="K111" t="str">
        <f>IF('Master Sheet'!C112="Area 2 (Viswakala S)",'Master Sheet'!K112,"")</f>
        <v/>
      </c>
      <c r="L111" t="str">
        <f>IF('Master Sheet'!C112="Area 2 (Viswakala S)",'Master Sheet'!L112,"")</f>
        <v/>
      </c>
      <c r="M111" t="str">
        <f>IF('Master Sheet'!C112="Area 2 (Viswakala S)",'Master Sheet'!M112,"")</f>
        <v/>
      </c>
      <c r="N111" t="str">
        <f>IF('Master Sheet'!C112="Area 2 (Viswakala S)",'Master Sheet'!N112,"")</f>
        <v/>
      </c>
      <c r="O111" t="str">
        <f>IF('Master Sheet'!C112="Area 2 (Viswakala S)",'Master Sheet'!O112,"")</f>
        <v/>
      </c>
      <c r="P111" t="str">
        <f>IF('Master Sheet'!C112="Area 2 (Viswakala S)",'Master Sheet'!P112,"")</f>
        <v/>
      </c>
    </row>
    <row r="112" spans="1:16" hidden="1" x14ac:dyDescent="0.25">
      <c r="A112" t="str">
        <f>IF('Master Sheet'!C113="Area 2 (Viswakala S)",'Master Sheet'!A113,"")</f>
        <v/>
      </c>
      <c r="B112" t="str">
        <f>IF('Master Sheet'!C113="Area 2 (Viswakala S)",'Master Sheet'!B113,"")</f>
        <v/>
      </c>
      <c r="C112" t="s">
        <v>5</v>
      </c>
      <c r="D112" t="str">
        <f>IF('Master Sheet'!C113="Area 2 (Viswakala S)",'Master Sheet'!D113,"")</f>
        <v/>
      </c>
      <c r="E112" t="str">
        <f>IF('Master Sheet'!C113="Area 2 (Viswakala S)",'Master Sheet'!E113,"")</f>
        <v/>
      </c>
      <c r="F112" t="str">
        <f>IF('Master Sheet'!C113="Area 2 (Viswakala S)",'Master Sheet'!F113,"")</f>
        <v/>
      </c>
      <c r="G112" t="str">
        <f>IF('Master Sheet'!C113="Area 2 (Viswakala S)",'Master Sheet'!G113,"")</f>
        <v/>
      </c>
      <c r="H112" t="str">
        <f>IF('Master Sheet'!C113="Area 2 (Viswakala S)",'Master Sheet'!H113,"")</f>
        <v/>
      </c>
      <c r="I112" t="str">
        <f>IF('Master Sheet'!C113="Area 2 (Viswakala S)",'Master Sheet'!I113,"")</f>
        <v/>
      </c>
      <c r="J112" t="str">
        <f>IF('Master Sheet'!C113="Area 2 (Viswakala S)",'Master Sheet'!J113,"")</f>
        <v/>
      </c>
      <c r="K112" t="str">
        <f>IF('Master Sheet'!C113="Area 2 (Viswakala S)",'Master Sheet'!K113,"")</f>
        <v/>
      </c>
      <c r="L112" t="str">
        <f>IF('Master Sheet'!C113="Area 2 (Viswakala S)",'Master Sheet'!L113,"")</f>
        <v/>
      </c>
      <c r="M112" t="str">
        <f>IF('Master Sheet'!C113="Area 2 (Viswakala S)",'Master Sheet'!M113,"")</f>
        <v/>
      </c>
      <c r="N112" t="str">
        <f>IF('Master Sheet'!C113="Area 2 (Viswakala S)",'Master Sheet'!N113,"")</f>
        <v/>
      </c>
      <c r="O112" t="str">
        <f>IF('Master Sheet'!C113="Area 2 (Viswakala S)",'Master Sheet'!O113,"")</f>
        <v/>
      </c>
      <c r="P112" t="str">
        <f>IF('Master Sheet'!C113="Area 2 (Viswakala S)",'Master Sheet'!P113,"")</f>
        <v/>
      </c>
    </row>
    <row r="113" spans="1:16" hidden="1" x14ac:dyDescent="0.25">
      <c r="A113" t="str">
        <f>IF('Master Sheet'!C114="Area 2 (Viswakala S)",'Master Sheet'!A114,"")</f>
        <v/>
      </c>
      <c r="B113" t="str">
        <f>IF('Master Sheet'!C114="Area 2 (Viswakala S)",'Master Sheet'!B114,"")</f>
        <v/>
      </c>
      <c r="C113" t="s">
        <v>5</v>
      </c>
      <c r="D113" t="str">
        <f>IF('Master Sheet'!C114="Area 2 (Viswakala S)",'Master Sheet'!D114,"")</f>
        <v/>
      </c>
      <c r="E113" t="str">
        <f>IF('Master Sheet'!C114="Area 2 (Viswakala S)",'Master Sheet'!E114,"")</f>
        <v/>
      </c>
      <c r="F113" t="str">
        <f>IF('Master Sheet'!C114="Area 2 (Viswakala S)",'Master Sheet'!F114,"")</f>
        <v/>
      </c>
      <c r="G113" t="str">
        <f>IF('Master Sheet'!C114="Area 2 (Viswakala S)",'Master Sheet'!G114,"")</f>
        <v/>
      </c>
      <c r="H113" t="str">
        <f>IF('Master Sheet'!C114="Area 2 (Viswakala S)",'Master Sheet'!H114,"")</f>
        <v/>
      </c>
      <c r="I113" t="str">
        <f>IF('Master Sheet'!C114="Area 2 (Viswakala S)",'Master Sheet'!I114,"")</f>
        <v/>
      </c>
      <c r="J113" t="str">
        <f>IF('Master Sheet'!C114="Area 2 (Viswakala S)",'Master Sheet'!J114,"")</f>
        <v/>
      </c>
      <c r="K113" t="str">
        <f>IF('Master Sheet'!C114="Area 2 (Viswakala S)",'Master Sheet'!K114,"")</f>
        <v/>
      </c>
      <c r="L113" t="str">
        <f>IF('Master Sheet'!C114="Area 2 (Viswakala S)",'Master Sheet'!L114,"")</f>
        <v/>
      </c>
      <c r="M113" t="str">
        <f>IF('Master Sheet'!C114="Area 2 (Viswakala S)",'Master Sheet'!M114,"")</f>
        <v/>
      </c>
      <c r="N113" t="str">
        <f>IF('Master Sheet'!C114="Area 2 (Viswakala S)",'Master Sheet'!N114,"")</f>
        <v/>
      </c>
      <c r="O113" t="str">
        <f>IF('Master Sheet'!C114="Area 2 (Viswakala S)",'Master Sheet'!O114,"")</f>
        <v/>
      </c>
      <c r="P113" t="str">
        <f>IF('Master Sheet'!C114="Area 2 (Viswakala S)",'Master Sheet'!P114,"")</f>
        <v/>
      </c>
    </row>
    <row r="114" spans="1:16" hidden="1" x14ac:dyDescent="0.25">
      <c r="A114" t="str">
        <f>IF('Master Sheet'!C115="Area 2 (Viswakala S)",'Master Sheet'!A115,"")</f>
        <v/>
      </c>
      <c r="B114" t="str">
        <f>IF('Master Sheet'!C115="Area 2 (Viswakala S)",'Master Sheet'!B115,"")</f>
        <v/>
      </c>
      <c r="C114" t="s">
        <v>5</v>
      </c>
      <c r="D114" t="str">
        <f>IF('Master Sheet'!C115="Area 2 (Viswakala S)",'Master Sheet'!D115,"")</f>
        <v/>
      </c>
      <c r="E114" t="str">
        <f>IF('Master Sheet'!C115="Area 2 (Viswakala S)",'Master Sheet'!E115,"")</f>
        <v/>
      </c>
      <c r="F114" t="str">
        <f>IF('Master Sheet'!C115="Area 2 (Viswakala S)",'Master Sheet'!F115,"")</f>
        <v/>
      </c>
      <c r="G114" t="str">
        <f>IF('Master Sheet'!C115="Area 2 (Viswakala S)",'Master Sheet'!G115,"")</f>
        <v/>
      </c>
      <c r="H114" t="str">
        <f>IF('Master Sheet'!C115="Area 2 (Viswakala S)",'Master Sheet'!H115,"")</f>
        <v/>
      </c>
      <c r="I114" t="str">
        <f>IF('Master Sheet'!C115="Area 2 (Viswakala S)",'Master Sheet'!I115,"")</f>
        <v/>
      </c>
      <c r="J114" t="str">
        <f>IF('Master Sheet'!C115="Area 2 (Viswakala S)",'Master Sheet'!J115,"")</f>
        <v/>
      </c>
      <c r="K114" t="str">
        <f>IF('Master Sheet'!C115="Area 2 (Viswakala S)",'Master Sheet'!K115,"")</f>
        <v/>
      </c>
      <c r="L114" t="str">
        <f>IF('Master Sheet'!C115="Area 2 (Viswakala S)",'Master Sheet'!L115,"")</f>
        <v/>
      </c>
      <c r="M114" t="str">
        <f>IF('Master Sheet'!C115="Area 2 (Viswakala S)",'Master Sheet'!M115,"")</f>
        <v/>
      </c>
      <c r="N114" t="str">
        <f>IF('Master Sheet'!C115="Area 2 (Viswakala S)",'Master Sheet'!N115,"")</f>
        <v/>
      </c>
      <c r="O114" t="str">
        <f>IF('Master Sheet'!C115="Area 2 (Viswakala S)",'Master Sheet'!O115,"")</f>
        <v/>
      </c>
      <c r="P114" t="str">
        <f>IF('Master Sheet'!C115="Area 2 (Viswakala S)",'Master Sheet'!P115,"")</f>
        <v/>
      </c>
    </row>
    <row r="115" spans="1:16" hidden="1" x14ac:dyDescent="0.25">
      <c r="A115" t="str">
        <f>IF('Master Sheet'!C116="Area 2 (Viswakala S)",'Master Sheet'!A116,"")</f>
        <v/>
      </c>
      <c r="B115" t="str">
        <f>IF('Master Sheet'!C116="Area 2 (Viswakala S)",'Master Sheet'!B116,"")</f>
        <v/>
      </c>
      <c r="C115" t="s">
        <v>5</v>
      </c>
      <c r="D115" t="str">
        <f>IF('Master Sheet'!C116="Area 2 (Viswakala S)",'Master Sheet'!D116,"")</f>
        <v/>
      </c>
      <c r="E115" t="str">
        <f>IF('Master Sheet'!C116="Area 2 (Viswakala S)",'Master Sheet'!E116,"")</f>
        <v/>
      </c>
      <c r="F115" t="str">
        <f>IF('Master Sheet'!C116="Area 2 (Viswakala S)",'Master Sheet'!F116,"")</f>
        <v/>
      </c>
      <c r="G115" t="str">
        <f>IF('Master Sheet'!C116="Area 2 (Viswakala S)",'Master Sheet'!G116,"")</f>
        <v/>
      </c>
      <c r="H115" t="str">
        <f>IF('Master Sheet'!C116="Area 2 (Viswakala S)",'Master Sheet'!H116,"")</f>
        <v/>
      </c>
      <c r="I115" t="str">
        <f>IF('Master Sheet'!C116="Area 2 (Viswakala S)",'Master Sheet'!I116,"")</f>
        <v/>
      </c>
      <c r="J115" t="str">
        <f>IF('Master Sheet'!C116="Area 2 (Viswakala S)",'Master Sheet'!J116,"")</f>
        <v/>
      </c>
      <c r="K115" t="str">
        <f>IF('Master Sheet'!C116="Area 2 (Viswakala S)",'Master Sheet'!K116,"")</f>
        <v/>
      </c>
      <c r="L115" t="str">
        <f>IF('Master Sheet'!C116="Area 2 (Viswakala S)",'Master Sheet'!L116,"")</f>
        <v/>
      </c>
      <c r="M115" t="str">
        <f>IF('Master Sheet'!C116="Area 2 (Viswakala S)",'Master Sheet'!M116,"")</f>
        <v/>
      </c>
      <c r="N115" t="str">
        <f>IF('Master Sheet'!C116="Area 2 (Viswakala S)",'Master Sheet'!N116,"")</f>
        <v/>
      </c>
      <c r="O115" t="str">
        <f>IF('Master Sheet'!C116="Area 2 (Viswakala S)",'Master Sheet'!O116,"")</f>
        <v/>
      </c>
      <c r="P115" t="str">
        <f>IF('Master Sheet'!C116="Area 2 (Viswakala S)",'Master Sheet'!P116,"")</f>
        <v/>
      </c>
    </row>
    <row r="116" spans="1:16" hidden="1" x14ac:dyDescent="0.25">
      <c r="A116" t="str">
        <f>IF('Master Sheet'!C117="Area 2 (Viswakala S)",'Master Sheet'!A117,"")</f>
        <v/>
      </c>
      <c r="B116" t="str">
        <f>IF('Master Sheet'!C117="Area 2 (Viswakala S)",'Master Sheet'!B117,"")</f>
        <v/>
      </c>
      <c r="C116" t="s">
        <v>5</v>
      </c>
      <c r="D116" t="str">
        <f>IF('Master Sheet'!C117="Area 2 (Viswakala S)",'Master Sheet'!D117,"")</f>
        <v/>
      </c>
      <c r="E116" t="str">
        <f>IF('Master Sheet'!C117="Area 2 (Viswakala S)",'Master Sheet'!E117,"")</f>
        <v/>
      </c>
      <c r="F116" t="str">
        <f>IF('Master Sheet'!C117="Area 2 (Viswakala S)",'Master Sheet'!F117,"")</f>
        <v/>
      </c>
      <c r="G116" t="str">
        <f>IF('Master Sheet'!C117="Area 2 (Viswakala S)",'Master Sheet'!G117,"")</f>
        <v/>
      </c>
      <c r="H116" t="str">
        <f>IF('Master Sheet'!C117="Area 2 (Viswakala S)",'Master Sheet'!H117,"")</f>
        <v/>
      </c>
      <c r="I116" t="str">
        <f>IF('Master Sheet'!C117="Area 2 (Viswakala S)",'Master Sheet'!I117,"")</f>
        <v/>
      </c>
      <c r="J116" t="str">
        <f>IF('Master Sheet'!C117="Area 2 (Viswakala S)",'Master Sheet'!J117,"")</f>
        <v/>
      </c>
      <c r="K116" t="str">
        <f>IF('Master Sheet'!C117="Area 2 (Viswakala S)",'Master Sheet'!K117,"")</f>
        <v/>
      </c>
      <c r="L116" t="str">
        <f>IF('Master Sheet'!C117="Area 2 (Viswakala S)",'Master Sheet'!L117,"")</f>
        <v/>
      </c>
      <c r="M116" t="str">
        <f>IF('Master Sheet'!C117="Area 2 (Viswakala S)",'Master Sheet'!M117,"")</f>
        <v/>
      </c>
      <c r="N116" t="str">
        <f>IF('Master Sheet'!C117="Area 2 (Viswakala S)",'Master Sheet'!N117,"")</f>
        <v/>
      </c>
      <c r="O116" t="str">
        <f>IF('Master Sheet'!C117="Area 2 (Viswakala S)",'Master Sheet'!O117,"")</f>
        <v/>
      </c>
      <c r="P116" t="str">
        <f>IF('Master Sheet'!C117="Area 2 (Viswakala S)",'Master Sheet'!P117,"")</f>
        <v/>
      </c>
    </row>
    <row r="117" spans="1:16" hidden="1" x14ac:dyDescent="0.25">
      <c r="A117" t="str">
        <f>IF('Master Sheet'!C118="Area 2 (Viswakala S)",'Master Sheet'!A118,"")</f>
        <v/>
      </c>
      <c r="B117" t="str">
        <f>IF('Master Sheet'!C118="Area 2 (Viswakala S)",'Master Sheet'!B118,"")</f>
        <v/>
      </c>
      <c r="C117" t="s">
        <v>5</v>
      </c>
      <c r="D117" t="str">
        <f>IF('Master Sheet'!C118="Area 2 (Viswakala S)",'Master Sheet'!D118,"")</f>
        <v/>
      </c>
      <c r="E117" t="str">
        <f>IF('Master Sheet'!C118="Area 2 (Viswakala S)",'Master Sheet'!E118,"")</f>
        <v/>
      </c>
      <c r="F117" t="str">
        <f>IF('Master Sheet'!C118="Area 2 (Viswakala S)",'Master Sheet'!F118,"")</f>
        <v/>
      </c>
      <c r="G117" t="str">
        <f>IF('Master Sheet'!C118="Area 2 (Viswakala S)",'Master Sheet'!G118,"")</f>
        <v/>
      </c>
      <c r="H117" t="str">
        <f>IF('Master Sheet'!C118="Area 2 (Viswakala S)",'Master Sheet'!H118,"")</f>
        <v/>
      </c>
      <c r="I117" t="str">
        <f>IF('Master Sheet'!C118="Area 2 (Viswakala S)",'Master Sheet'!I118,"")</f>
        <v/>
      </c>
      <c r="J117" t="str">
        <f>IF('Master Sheet'!C118="Area 2 (Viswakala S)",'Master Sheet'!J118,"")</f>
        <v/>
      </c>
      <c r="K117" t="str">
        <f>IF('Master Sheet'!C118="Area 2 (Viswakala S)",'Master Sheet'!K118,"")</f>
        <v/>
      </c>
      <c r="L117" t="str">
        <f>IF('Master Sheet'!C118="Area 2 (Viswakala S)",'Master Sheet'!L118,"")</f>
        <v/>
      </c>
      <c r="M117" t="str">
        <f>IF('Master Sheet'!C118="Area 2 (Viswakala S)",'Master Sheet'!M118,"")</f>
        <v/>
      </c>
      <c r="N117" t="str">
        <f>IF('Master Sheet'!C118="Area 2 (Viswakala S)",'Master Sheet'!N118,"")</f>
        <v/>
      </c>
      <c r="O117" t="str">
        <f>IF('Master Sheet'!C118="Area 2 (Viswakala S)",'Master Sheet'!O118,"")</f>
        <v/>
      </c>
      <c r="P117" t="str">
        <f>IF('Master Sheet'!C118="Area 2 (Viswakala S)",'Master Sheet'!P118,"")</f>
        <v/>
      </c>
    </row>
    <row r="118" spans="1:16" hidden="1" x14ac:dyDescent="0.25">
      <c r="A118" t="str">
        <f>IF('Master Sheet'!C119="Area 2 (Viswakala S)",'Master Sheet'!A119,"")</f>
        <v/>
      </c>
      <c r="B118" t="str">
        <f>IF('Master Sheet'!C119="Area 2 (Viswakala S)",'Master Sheet'!B119,"")</f>
        <v/>
      </c>
      <c r="C118" t="s">
        <v>5</v>
      </c>
      <c r="D118" t="str">
        <f>IF('Master Sheet'!C119="Area 2 (Viswakala S)",'Master Sheet'!D119,"")</f>
        <v/>
      </c>
      <c r="E118" t="str">
        <f>IF('Master Sheet'!C119="Area 2 (Viswakala S)",'Master Sheet'!E119,"")</f>
        <v/>
      </c>
      <c r="F118" t="str">
        <f>IF('Master Sheet'!C119="Area 2 (Viswakala S)",'Master Sheet'!F119,"")</f>
        <v/>
      </c>
      <c r="G118" t="str">
        <f>IF('Master Sheet'!C119="Area 2 (Viswakala S)",'Master Sheet'!G119,"")</f>
        <v/>
      </c>
      <c r="H118" t="str">
        <f>IF('Master Sheet'!C119="Area 2 (Viswakala S)",'Master Sheet'!H119,"")</f>
        <v/>
      </c>
      <c r="I118" t="str">
        <f>IF('Master Sheet'!C119="Area 2 (Viswakala S)",'Master Sheet'!I119,"")</f>
        <v/>
      </c>
      <c r="J118" t="str">
        <f>IF('Master Sheet'!C119="Area 2 (Viswakala S)",'Master Sheet'!J119,"")</f>
        <v/>
      </c>
      <c r="K118" t="str">
        <f>IF('Master Sheet'!C119="Area 2 (Viswakala S)",'Master Sheet'!K119,"")</f>
        <v/>
      </c>
      <c r="L118" t="str">
        <f>IF('Master Sheet'!C119="Area 2 (Viswakala S)",'Master Sheet'!L119,"")</f>
        <v/>
      </c>
      <c r="M118" t="str">
        <f>IF('Master Sheet'!C119="Area 2 (Viswakala S)",'Master Sheet'!M119,"")</f>
        <v/>
      </c>
      <c r="N118" t="str">
        <f>IF('Master Sheet'!C119="Area 2 (Viswakala S)",'Master Sheet'!N119,"")</f>
        <v/>
      </c>
      <c r="O118" t="str">
        <f>IF('Master Sheet'!C119="Area 2 (Viswakala S)",'Master Sheet'!O119,"")</f>
        <v/>
      </c>
      <c r="P118" t="str">
        <f>IF('Master Sheet'!C119="Area 2 (Viswakala S)",'Master Sheet'!P119,"")</f>
        <v/>
      </c>
    </row>
    <row r="119" spans="1:16" hidden="1" x14ac:dyDescent="0.25">
      <c r="A119" t="str">
        <f>IF('Master Sheet'!C120="Area 2 (Viswakala S)",'Master Sheet'!A120,"")</f>
        <v/>
      </c>
      <c r="B119" t="str">
        <f>IF('Master Sheet'!C120="Area 2 (Viswakala S)",'Master Sheet'!B120,"")</f>
        <v/>
      </c>
      <c r="C119" t="s">
        <v>5</v>
      </c>
      <c r="D119" t="str">
        <f>IF('Master Sheet'!C120="Area 2 (Viswakala S)",'Master Sheet'!D120,"")</f>
        <v/>
      </c>
      <c r="E119" t="str">
        <f>IF('Master Sheet'!C120="Area 2 (Viswakala S)",'Master Sheet'!E120,"")</f>
        <v/>
      </c>
      <c r="F119" t="str">
        <f>IF('Master Sheet'!C120="Area 2 (Viswakala S)",'Master Sheet'!F120,"")</f>
        <v/>
      </c>
      <c r="G119" t="str">
        <f>IF('Master Sheet'!C120="Area 2 (Viswakala S)",'Master Sheet'!G120,"")</f>
        <v/>
      </c>
      <c r="H119" t="str">
        <f>IF('Master Sheet'!C120="Area 2 (Viswakala S)",'Master Sheet'!H120,"")</f>
        <v/>
      </c>
      <c r="I119" t="str">
        <f>IF('Master Sheet'!C120="Area 2 (Viswakala S)",'Master Sheet'!I120,"")</f>
        <v/>
      </c>
      <c r="J119" t="str">
        <f>IF('Master Sheet'!C120="Area 2 (Viswakala S)",'Master Sheet'!J120,"")</f>
        <v/>
      </c>
      <c r="K119" t="str">
        <f>IF('Master Sheet'!C120="Area 2 (Viswakala S)",'Master Sheet'!K120,"")</f>
        <v/>
      </c>
      <c r="L119" t="str">
        <f>IF('Master Sheet'!C120="Area 2 (Viswakala S)",'Master Sheet'!L120,"")</f>
        <v/>
      </c>
      <c r="M119" t="str">
        <f>IF('Master Sheet'!C120="Area 2 (Viswakala S)",'Master Sheet'!M120,"")</f>
        <v/>
      </c>
      <c r="N119" t="str">
        <f>IF('Master Sheet'!C120="Area 2 (Viswakala S)",'Master Sheet'!N120,"")</f>
        <v/>
      </c>
      <c r="O119" t="str">
        <f>IF('Master Sheet'!C120="Area 2 (Viswakala S)",'Master Sheet'!O120,"")</f>
        <v/>
      </c>
      <c r="P119" t="str">
        <f>IF('Master Sheet'!C120="Area 2 (Viswakala S)",'Master Sheet'!P120,"")</f>
        <v/>
      </c>
    </row>
    <row r="120" spans="1:16" hidden="1" x14ac:dyDescent="0.25">
      <c r="A120" t="str">
        <f>IF('Master Sheet'!C121="Area 2 (Viswakala S)",'Master Sheet'!A121,"")</f>
        <v/>
      </c>
      <c r="B120" t="str">
        <f>IF('Master Sheet'!C121="Area 2 (Viswakala S)",'Master Sheet'!B121,"")</f>
        <v/>
      </c>
      <c r="C120" t="s">
        <v>5</v>
      </c>
      <c r="D120" t="str">
        <f>IF('Master Sheet'!C121="Area 2 (Viswakala S)",'Master Sheet'!D121,"")</f>
        <v/>
      </c>
      <c r="E120" t="str">
        <f>IF('Master Sheet'!C121="Area 2 (Viswakala S)",'Master Sheet'!E121,"")</f>
        <v/>
      </c>
      <c r="F120" t="str">
        <f>IF('Master Sheet'!C121="Area 2 (Viswakala S)",'Master Sheet'!F121,"")</f>
        <v/>
      </c>
      <c r="G120" t="str">
        <f>IF('Master Sheet'!C121="Area 2 (Viswakala S)",'Master Sheet'!G121,"")</f>
        <v/>
      </c>
      <c r="H120" t="str">
        <f>IF('Master Sheet'!C121="Area 2 (Viswakala S)",'Master Sheet'!H121,"")</f>
        <v/>
      </c>
      <c r="I120" t="str">
        <f>IF('Master Sheet'!C121="Area 2 (Viswakala S)",'Master Sheet'!I121,"")</f>
        <v/>
      </c>
      <c r="J120" t="str">
        <f>IF('Master Sheet'!C121="Area 2 (Viswakala S)",'Master Sheet'!J121,"")</f>
        <v/>
      </c>
      <c r="K120" t="str">
        <f>IF('Master Sheet'!C121="Area 2 (Viswakala S)",'Master Sheet'!K121,"")</f>
        <v/>
      </c>
      <c r="L120" t="str">
        <f>IF('Master Sheet'!C121="Area 2 (Viswakala S)",'Master Sheet'!L121,"")</f>
        <v/>
      </c>
      <c r="M120" t="str">
        <f>IF('Master Sheet'!C121="Area 2 (Viswakala S)",'Master Sheet'!M121,"")</f>
        <v/>
      </c>
      <c r="N120" t="str">
        <f>IF('Master Sheet'!C121="Area 2 (Viswakala S)",'Master Sheet'!N121,"")</f>
        <v/>
      </c>
      <c r="O120" t="str">
        <f>IF('Master Sheet'!C121="Area 2 (Viswakala S)",'Master Sheet'!O121,"")</f>
        <v/>
      </c>
      <c r="P120" t="str">
        <f>IF('Master Sheet'!C121="Area 2 (Viswakala S)",'Master Sheet'!P121,"")</f>
        <v/>
      </c>
    </row>
    <row r="121" spans="1:16" hidden="1" x14ac:dyDescent="0.25">
      <c r="A121" t="str">
        <f>IF('Master Sheet'!C122="Area 2 (Viswakala S)",'Master Sheet'!A122,"")</f>
        <v/>
      </c>
      <c r="B121" t="str">
        <f>IF('Master Sheet'!C122="Area 2 (Viswakala S)",'Master Sheet'!B122,"")</f>
        <v/>
      </c>
      <c r="C121" t="s">
        <v>5</v>
      </c>
      <c r="D121" t="str">
        <f>IF('Master Sheet'!C122="Area 2 (Viswakala S)",'Master Sheet'!D122,"")</f>
        <v/>
      </c>
      <c r="E121" t="str">
        <f>IF('Master Sheet'!C122="Area 2 (Viswakala S)",'Master Sheet'!E122,"")</f>
        <v/>
      </c>
      <c r="F121" t="str">
        <f>IF('Master Sheet'!C122="Area 2 (Viswakala S)",'Master Sheet'!F122,"")</f>
        <v/>
      </c>
      <c r="G121" t="str">
        <f>IF('Master Sheet'!C122="Area 2 (Viswakala S)",'Master Sheet'!G122,"")</f>
        <v/>
      </c>
      <c r="H121" t="str">
        <f>IF('Master Sheet'!C122="Area 2 (Viswakala S)",'Master Sheet'!H122,"")</f>
        <v/>
      </c>
      <c r="I121" t="str">
        <f>IF('Master Sheet'!C122="Area 2 (Viswakala S)",'Master Sheet'!I122,"")</f>
        <v/>
      </c>
      <c r="J121" t="str">
        <f>IF('Master Sheet'!C122="Area 2 (Viswakala S)",'Master Sheet'!J122,"")</f>
        <v/>
      </c>
      <c r="K121" t="str">
        <f>IF('Master Sheet'!C122="Area 2 (Viswakala S)",'Master Sheet'!K122,"")</f>
        <v/>
      </c>
      <c r="L121" t="str">
        <f>IF('Master Sheet'!C122="Area 2 (Viswakala S)",'Master Sheet'!L122,"")</f>
        <v/>
      </c>
      <c r="M121" t="str">
        <f>IF('Master Sheet'!C122="Area 2 (Viswakala S)",'Master Sheet'!M122,"")</f>
        <v/>
      </c>
      <c r="N121" t="str">
        <f>IF('Master Sheet'!C122="Area 2 (Viswakala S)",'Master Sheet'!N122,"")</f>
        <v/>
      </c>
      <c r="O121" t="str">
        <f>IF('Master Sheet'!C122="Area 2 (Viswakala S)",'Master Sheet'!O122,"")</f>
        <v/>
      </c>
      <c r="P121" t="str">
        <f>IF('Master Sheet'!C122="Area 2 (Viswakala S)",'Master Sheet'!P122,"")</f>
        <v/>
      </c>
    </row>
    <row r="122" spans="1:16" hidden="1" x14ac:dyDescent="0.25">
      <c r="A122" t="str">
        <f>IF('Master Sheet'!C123="Area 2 (Viswakala S)",'Master Sheet'!A123,"")</f>
        <v/>
      </c>
      <c r="B122" t="str">
        <f>IF('Master Sheet'!C123="Area 2 (Viswakala S)",'Master Sheet'!B123,"")</f>
        <v/>
      </c>
      <c r="C122" t="s">
        <v>5</v>
      </c>
      <c r="D122" t="str">
        <f>IF('Master Sheet'!C123="Area 2 (Viswakala S)",'Master Sheet'!D123,"")</f>
        <v/>
      </c>
      <c r="E122" t="str">
        <f>IF('Master Sheet'!C123="Area 2 (Viswakala S)",'Master Sheet'!E123,"")</f>
        <v/>
      </c>
      <c r="F122" t="str">
        <f>IF('Master Sheet'!C123="Area 2 (Viswakala S)",'Master Sheet'!F123,"")</f>
        <v/>
      </c>
      <c r="G122" t="str">
        <f>IF('Master Sheet'!C123="Area 2 (Viswakala S)",'Master Sheet'!G123,"")</f>
        <v/>
      </c>
      <c r="H122" t="str">
        <f>IF('Master Sheet'!C123="Area 2 (Viswakala S)",'Master Sheet'!H123,"")</f>
        <v/>
      </c>
      <c r="I122" t="str">
        <f>IF('Master Sheet'!C123="Area 2 (Viswakala S)",'Master Sheet'!I123,"")</f>
        <v/>
      </c>
      <c r="J122" t="str">
        <f>IF('Master Sheet'!C123="Area 2 (Viswakala S)",'Master Sheet'!J123,"")</f>
        <v/>
      </c>
      <c r="K122" t="str">
        <f>IF('Master Sheet'!C123="Area 2 (Viswakala S)",'Master Sheet'!K123,"")</f>
        <v/>
      </c>
      <c r="L122" t="str">
        <f>IF('Master Sheet'!C123="Area 2 (Viswakala S)",'Master Sheet'!L123,"")</f>
        <v/>
      </c>
      <c r="M122" t="str">
        <f>IF('Master Sheet'!C123="Area 2 (Viswakala S)",'Master Sheet'!M123,"")</f>
        <v/>
      </c>
      <c r="N122" t="str">
        <f>IF('Master Sheet'!C123="Area 2 (Viswakala S)",'Master Sheet'!N123,"")</f>
        <v/>
      </c>
      <c r="O122" t="str">
        <f>IF('Master Sheet'!C123="Area 2 (Viswakala S)",'Master Sheet'!O123,"")</f>
        <v/>
      </c>
      <c r="P122" t="str">
        <f>IF('Master Sheet'!C123="Area 2 (Viswakala S)",'Master Sheet'!P123,"")</f>
        <v/>
      </c>
    </row>
    <row r="123" spans="1:16" hidden="1" x14ac:dyDescent="0.25">
      <c r="A123" t="str">
        <f>IF('Master Sheet'!C124="Area 2 (Viswakala S)",'Master Sheet'!A124,"")</f>
        <v/>
      </c>
      <c r="B123" t="str">
        <f>IF('Master Sheet'!C124="Area 2 (Viswakala S)",'Master Sheet'!B124,"")</f>
        <v/>
      </c>
      <c r="C123" t="s">
        <v>5</v>
      </c>
      <c r="D123" t="str">
        <f>IF('Master Sheet'!C124="Area 2 (Viswakala S)",'Master Sheet'!D124,"")</f>
        <v/>
      </c>
      <c r="E123" t="str">
        <f>IF('Master Sheet'!C124="Area 2 (Viswakala S)",'Master Sheet'!E124,"")</f>
        <v/>
      </c>
      <c r="F123" t="str">
        <f>IF('Master Sheet'!C124="Area 2 (Viswakala S)",'Master Sheet'!F124,"")</f>
        <v/>
      </c>
      <c r="G123" t="str">
        <f>IF('Master Sheet'!C124="Area 2 (Viswakala S)",'Master Sheet'!G124,"")</f>
        <v/>
      </c>
      <c r="H123" t="str">
        <f>IF('Master Sheet'!C124="Area 2 (Viswakala S)",'Master Sheet'!H124,"")</f>
        <v/>
      </c>
      <c r="I123" t="str">
        <f>IF('Master Sheet'!C124="Area 2 (Viswakala S)",'Master Sheet'!I124,"")</f>
        <v/>
      </c>
      <c r="J123" t="str">
        <f>IF('Master Sheet'!C124="Area 2 (Viswakala S)",'Master Sheet'!J124,"")</f>
        <v/>
      </c>
      <c r="K123" t="str">
        <f>IF('Master Sheet'!C124="Area 2 (Viswakala S)",'Master Sheet'!K124,"")</f>
        <v/>
      </c>
      <c r="L123" t="str">
        <f>IF('Master Sheet'!C124="Area 2 (Viswakala S)",'Master Sheet'!L124,"")</f>
        <v/>
      </c>
      <c r="M123" t="str">
        <f>IF('Master Sheet'!C124="Area 2 (Viswakala S)",'Master Sheet'!M124,"")</f>
        <v/>
      </c>
      <c r="N123" t="str">
        <f>IF('Master Sheet'!C124="Area 2 (Viswakala S)",'Master Sheet'!N124,"")</f>
        <v/>
      </c>
      <c r="O123" t="str">
        <f>IF('Master Sheet'!C124="Area 2 (Viswakala S)",'Master Sheet'!O124,"")</f>
        <v/>
      </c>
      <c r="P123" t="str">
        <f>IF('Master Sheet'!C124="Area 2 (Viswakala S)",'Master Sheet'!P124,"")</f>
        <v/>
      </c>
    </row>
    <row r="124" spans="1:16" hidden="1" x14ac:dyDescent="0.25">
      <c r="A124" t="str">
        <f>IF('Master Sheet'!C125="Area 2 (Viswakala S)",'Master Sheet'!A125,"")</f>
        <v/>
      </c>
      <c r="B124" t="str">
        <f>IF('Master Sheet'!C125="Area 2 (Viswakala S)",'Master Sheet'!B125,"")</f>
        <v/>
      </c>
      <c r="C124" t="s">
        <v>5</v>
      </c>
      <c r="D124" t="str">
        <f>IF('Master Sheet'!C125="Area 2 (Viswakala S)",'Master Sheet'!D125,"")</f>
        <v/>
      </c>
      <c r="E124" t="str">
        <f>IF('Master Sheet'!C125="Area 2 (Viswakala S)",'Master Sheet'!E125,"")</f>
        <v/>
      </c>
      <c r="F124" t="str">
        <f>IF('Master Sheet'!C125="Area 2 (Viswakala S)",'Master Sheet'!F125,"")</f>
        <v/>
      </c>
      <c r="G124" t="str">
        <f>IF('Master Sheet'!C125="Area 2 (Viswakala S)",'Master Sheet'!G125,"")</f>
        <v/>
      </c>
      <c r="H124" t="str">
        <f>IF('Master Sheet'!C125="Area 2 (Viswakala S)",'Master Sheet'!H125,"")</f>
        <v/>
      </c>
      <c r="I124" t="str">
        <f>IF('Master Sheet'!C125="Area 2 (Viswakala S)",'Master Sheet'!I125,"")</f>
        <v/>
      </c>
      <c r="J124" t="str">
        <f>IF('Master Sheet'!C125="Area 2 (Viswakala S)",'Master Sheet'!J125,"")</f>
        <v/>
      </c>
      <c r="K124" t="str">
        <f>IF('Master Sheet'!C125="Area 2 (Viswakala S)",'Master Sheet'!K125,"")</f>
        <v/>
      </c>
      <c r="L124" t="str">
        <f>IF('Master Sheet'!C125="Area 2 (Viswakala S)",'Master Sheet'!L125,"")</f>
        <v/>
      </c>
      <c r="M124" t="str">
        <f>IF('Master Sheet'!C125="Area 2 (Viswakala S)",'Master Sheet'!M125,"")</f>
        <v/>
      </c>
      <c r="N124" t="str">
        <f>IF('Master Sheet'!C125="Area 2 (Viswakala S)",'Master Sheet'!N125,"")</f>
        <v/>
      </c>
      <c r="O124" t="str">
        <f>IF('Master Sheet'!C125="Area 2 (Viswakala S)",'Master Sheet'!O125,"")</f>
        <v/>
      </c>
      <c r="P124" t="str">
        <f>IF('Master Sheet'!C125="Area 2 (Viswakala S)",'Master Sheet'!P125,"")</f>
        <v/>
      </c>
    </row>
    <row r="125" spans="1:16" hidden="1" x14ac:dyDescent="0.25">
      <c r="A125" t="str">
        <f>IF('Master Sheet'!C126="Area 2 (Viswakala S)",'Master Sheet'!A126,"")</f>
        <v/>
      </c>
      <c r="B125" t="str">
        <f>IF('Master Sheet'!C126="Area 2 (Viswakala S)",'Master Sheet'!B126,"")</f>
        <v/>
      </c>
      <c r="C125" t="s">
        <v>5</v>
      </c>
      <c r="D125" t="str">
        <f>IF('Master Sheet'!C126="Area 2 (Viswakala S)",'Master Sheet'!D126,"")</f>
        <v/>
      </c>
      <c r="E125" t="str">
        <f>IF('Master Sheet'!C126="Area 2 (Viswakala S)",'Master Sheet'!E126,"")</f>
        <v/>
      </c>
      <c r="F125" t="str">
        <f>IF('Master Sheet'!C126="Area 2 (Viswakala S)",'Master Sheet'!F126,"")</f>
        <v/>
      </c>
      <c r="G125" t="str">
        <f>IF('Master Sheet'!C126="Area 2 (Viswakala S)",'Master Sheet'!G126,"")</f>
        <v/>
      </c>
      <c r="H125" t="str">
        <f>IF('Master Sheet'!C126="Area 2 (Viswakala S)",'Master Sheet'!H126,"")</f>
        <v/>
      </c>
      <c r="I125" t="str">
        <f>IF('Master Sheet'!C126="Area 2 (Viswakala S)",'Master Sheet'!I126,"")</f>
        <v/>
      </c>
      <c r="J125" t="str">
        <f>IF('Master Sheet'!C126="Area 2 (Viswakala S)",'Master Sheet'!J126,"")</f>
        <v/>
      </c>
      <c r="K125" t="str">
        <f>IF('Master Sheet'!C126="Area 2 (Viswakala S)",'Master Sheet'!K126,"")</f>
        <v/>
      </c>
      <c r="L125" t="str">
        <f>IF('Master Sheet'!C126="Area 2 (Viswakala S)",'Master Sheet'!L126,"")</f>
        <v/>
      </c>
      <c r="M125" t="str">
        <f>IF('Master Sheet'!C126="Area 2 (Viswakala S)",'Master Sheet'!M126,"")</f>
        <v/>
      </c>
      <c r="N125" t="str">
        <f>IF('Master Sheet'!C126="Area 2 (Viswakala S)",'Master Sheet'!N126,"")</f>
        <v/>
      </c>
      <c r="O125" t="str">
        <f>IF('Master Sheet'!C126="Area 2 (Viswakala S)",'Master Sheet'!O126,"")</f>
        <v/>
      </c>
      <c r="P125" t="str">
        <f>IF('Master Sheet'!C126="Area 2 (Viswakala S)",'Master Sheet'!P126,"")</f>
        <v/>
      </c>
    </row>
    <row r="126" spans="1:16" hidden="1" x14ac:dyDescent="0.25">
      <c r="A126" t="str">
        <f>IF('Master Sheet'!C127="Area 2 (Viswakala S)",'Master Sheet'!A127,"")</f>
        <v/>
      </c>
      <c r="B126" t="str">
        <f>IF('Master Sheet'!C127="Area 2 (Viswakala S)",'Master Sheet'!B127,"")</f>
        <v/>
      </c>
      <c r="C126" t="s">
        <v>5</v>
      </c>
      <c r="D126" t="str">
        <f>IF('Master Sheet'!C127="Area 2 (Viswakala S)",'Master Sheet'!D127,"")</f>
        <v/>
      </c>
      <c r="E126" t="str">
        <f>IF('Master Sheet'!C127="Area 2 (Viswakala S)",'Master Sheet'!E127,"")</f>
        <v/>
      </c>
      <c r="F126" t="str">
        <f>IF('Master Sheet'!C127="Area 2 (Viswakala S)",'Master Sheet'!F127,"")</f>
        <v/>
      </c>
      <c r="G126" t="str">
        <f>IF('Master Sheet'!C127="Area 2 (Viswakala S)",'Master Sheet'!G127,"")</f>
        <v/>
      </c>
      <c r="H126" t="str">
        <f>IF('Master Sheet'!C127="Area 2 (Viswakala S)",'Master Sheet'!H127,"")</f>
        <v/>
      </c>
      <c r="I126" t="str">
        <f>IF('Master Sheet'!C127="Area 2 (Viswakala S)",'Master Sheet'!I127,"")</f>
        <v/>
      </c>
      <c r="J126" t="str">
        <f>IF('Master Sheet'!C127="Area 2 (Viswakala S)",'Master Sheet'!J127,"")</f>
        <v/>
      </c>
      <c r="K126" t="str">
        <f>IF('Master Sheet'!C127="Area 2 (Viswakala S)",'Master Sheet'!K127,"")</f>
        <v/>
      </c>
      <c r="L126" t="str">
        <f>IF('Master Sheet'!C127="Area 2 (Viswakala S)",'Master Sheet'!L127,"")</f>
        <v/>
      </c>
      <c r="M126" t="str">
        <f>IF('Master Sheet'!C127="Area 2 (Viswakala S)",'Master Sheet'!M127,"")</f>
        <v/>
      </c>
      <c r="N126" t="str">
        <f>IF('Master Sheet'!C127="Area 2 (Viswakala S)",'Master Sheet'!N127,"")</f>
        <v/>
      </c>
      <c r="O126" t="str">
        <f>IF('Master Sheet'!C127="Area 2 (Viswakala S)",'Master Sheet'!O127,"")</f>
        <v/>
      </c>
      <c r="P126" t="str">
        <f>IF('Master Sheet'!C127="Area 2 (Viswakala S)",'Master Sheet'!P127,"")</f>
        <v/>
      </c>
    </row>
    <row r="127" spans="1:16" hidden="1" x14ac:dyDescent="0.25">
      <c r="A127" t="str">
        <f>IF('Master Sheet'!C128="Area 2 (Viswakala S)",'Master Sheet'!A128,"")</f>
        <v/>
      </c>
      <c r="B127" t="str">
        <f>IF('Master Sheet'!C128="Area 2 (Viswakala S)",'Master Sheet'!B128,"")</f>
        <v/>
      </c>
      <c r="C127" t="s">
        <v>5</v>
      </c>
      <c r="D127" t="str">
        <f>IF('Master Sheet'!C128="Area 2 (Viswakala S)",'Master Sheet'!D128,"")</f>
        <v/>
      </c>
      <c r="E127" t="str">
        <f>IF('Master Sheet'!C128="Area 2 (Viswakala S)",'Master Sheet'!E128,"")</f>
        <v/>
      </c>
      <c r="F127" t="str">
        <f>IF('Master Sheet'!C128="Area 2 (Viswakala S)",'Master Sheet'!F128,"")</f>
        <v/>
      </c>
      <c r="G127" t="str">
        <f>IF('Master Sheet'!C128="Area 2 (Viswakala S)",'Master Sheet'!G128,"")</f>
        <v/>
      </c>
      <c r="H127" t="str">
        <f>IF('Master Sheet'!C128="Area 2 (Viswakala S)",'Master Sheet'!H128,"")</f>
        <v/>
      </c>
      <c r="I127" t="str">
        <f>IF('Master Sheet'!C128="Area 2 (Viswakala S)",'Master Sheet'!I128,"")</f>
        <v/>
      </c>
      <c r="J127" t="str">
        <f>IF('Master Sheet'!C128="Area 2 (Viswakala S)",'Master Sheet'!J128,"")</f>
        <v/>
      </c>
      <c r="K127" t="str">
        <f>IF('Master Sheet'!C128="Area 2 (Viswakala S)",'Master Sheet'!K128,"")</f>
        <v/>
      </c>
      <c r="L127" t="str">
        <f>IF('Master Sheet'!C128="Area 2 (Viswakala S)",'Master Sheet'!L128,"")</f>
        <v/>
      </c>
      <c r="M127" t="str">
        <f>IF('Master Sheet'!C128="Area 2 (Viswakala S)",'Master Sheet'!M128,"")</f>
        <v/>
      </c>
      <c r="N127" t="str">
        <f>IF('Master Sheet'!C128="Area 2 (Viswakala S)",'Master Sheet'!N128,"")</f>
        <v/>
      </c>
      <c r="O127" t="str">
        <f>IF('Master Sheet'!C128="Area 2 (Viswakala S)",'Master Sheet'!O128,"")</f>
        <v/>
      </c>
      <c r="P127" t="str">
        <f>IF('Master Sheet'!C128="Area 2 (Viswakala S)",'Master Sheet'!P128,"")</f>
        <v/>
      </c>
    </row>
    <row r="128" spans="1:16" hidden="1" x14ac:dyDescent="0.25">
      <c r="A128" t="str">
        <f>IF('Master Sheet'!C129="Area 2 (Viswakala S)",'Master Sheet'!A129,"")</f>
        <v/>
      </c>
      <c r="B128" t="str">
        <f>IF('Master Sheet'!C129="Area 2 (Viswakala S)",'Master Sheet'!B129,"")</f>
        <v/>
      </c>
      <c r="C128" t="s">
        <v>5</v>
      </c>
      <c r="D128" t="str">
        <f>IF('Master Sheet'!C129="Area 2 (Viswakala S)",'Master Sheet'!D129,"")</f>
        <v/>
      </c>
      <c r="E128" t="str">
        <f>IF('Master Sheet'!C129="Area 2 (Viswakala S)",'Master Sheet'!E129,"")</f>
        <v/>
      </c>
      <c r="F128" t="str">
        <f>IF('Master Sheet'!C129="Area 2 (Viswakala S)",'Master Sheet'!F129,"")</f>
        <v/>
      </c>
      <c r="G128" t="str">
        <f>IF('Master Sheet'!C129="Area 2 (Viswakala S)",'Master Sheet'!G129,"")</f>
        <v/>
      </c>
      <c r="H128" t="str">
        <f>IF('Master Sheet'!C129="Area 2 (Viswakala S)",'Master Sheet'!H129,"")</f>
        <v/>
      </c>
      <c r="I128" t="str">
        <f>IF('Master Sheet'!C129="Area 2 (Viswakala S)",'Master Sheet'!I129,"")</f>
        <v/>
      </c>
      <c r="J128" t="str">
        <f>IF('Master Sheet'!C129="Area 2 (Viswakala S)",'Master Sheet'!J129,"")</f>
        <v/>
      </c>
      <c r="K128" t="str">
        <f>IF('Master Sheet'!C129="Area 2 (Viswakala S)",'Master Sheet'!K129,"")</f>
        <v/>
      </c>
      <c r="L128" t="str">
        <f>IF('Master Sheet'!C129="Area 2 (Viswakala S)",'Master Sheet'!L129,"")</f>
        <v/>
      </c>
      <c r="M128" t="str">
        <f>IF('Master Sheet'!C129="Area 2 (Viswakala S)",'Master Sheet'!M129,"")</f>
        <v/>
      </c>
      <c r="N128" t="str">
        <f>IF('Master Sheet'!C129="Area 2 (Viswakala S)",'Master Sheet'!N129,"")</f>
        <v/>
      </c>
      <c r="O128" t="str">
        <f>IF('Master Sheet'!C129="Area 2 (Viswakala S)",'Master Sheet'!O129,"")</f>
        <v/>
      </c>
      <c r="P128" t="str">
        <f>IF('Master Sheet'!C129="Area 2 (Viswakala S)",'Master Sheet'!P129,"")</f>
        <v/>
      </c>
    </row>
    <row r="129" spans="1:16" hidden="1" x14ac:dyDescent="0.25">
      <c r="A129" t="str">
        <f>IF('Master Sheet'!C130="Area 2 (Viswakala S)",'Master Sheet'!A130,"")</f>
        <v/>
      </c>
      <c r="B129" t="str">
        <f>IF('Master Sheet'!C130="Area 2 (Viswakala S)",'Master Sheet'!B130,"")</f>
        <v/>
      </c>
      <c r="C129" t="s">
        <v>5</v>
      </c>
      <c r="D129" t="str">
        <f>IF('Master Sheet'!C130="Area 2 (Viswakala S)",'Master Sheet'!D130,"")</f>
        <v/>
      </c>
      <c r="E129" t="str">
        <f>IF('Master Sheet'!C130="Area 2 (Viswakala S)",'Master Sheet'!E130,"")</f>
        <v/>
      </c>
      <c r="F129" t="str">
        <f>IF('Master Sheet'!C130="Area 2 (Viswakala S)",'Master Sheet'!F130,"")</f>
        <v/>
      </c>
      <c r="G129" t="str">
        <f>IF('Master Sheet'!C130="Area 2 (Viswakala S)",'Master Sheet'!G130,"")</f>
        <v/>
      </c>
      <c r="H129" t="str">
        <f>IF('Master Sheet'!C130="Area 2 (Viswakala S)",'Master Sheet'!H130,"")</f>
        <v/>
      </c>
      <c r="I129" t="str">
        <f>IF('Master Sheet'!C130="Area 2 (Viswakala S)",'Master Sheet'!I130,"")</f>
        <v/>
      </c>
      <c r="J129" t="str">
        <f>IF('Master Sheet'!C130="Area 2 (Viswakala S)",'Master Sheet'!J130,"")</f>
        <v/>
      </c>
      <c r="K129" t="str">
        <f>IF('Master Sheet'!C130="Area 2 (Viswakala S)",'Master Sheet'!K130,"")</f>
        <v/>
      </c>
      <c r="L129" t="str">
        <f>IF('Master Sheet'!C130="Area 2 (Viswakala S)",'Master Sheet'!L130,"")</f>
        <v/>
      </c>
      <c r="M129" t="str">
        <f>IF('Master Sheet'!C130="Area 2 (Viswakala S)",'Master Sheet'!M130,"")</f>
        <v/>
      </c>
      <c r="N129" t="str">
        <f>IF('Master Sheet'!C130="Area 2 (Viswakala S)",'Master Sheet'!N130,"")</f>
        <v/>
      </c>
      <c r="O129" t="str">
        <f>IF('Master Sheet'!C130="Area 2 (Viswakala S)",'Master Sheet'!O130,"")</f>
        <v/>
      </c>
      <c r="P129" t="str">
        <f>IF('Master Sheet'!C130="Area 2 (Viswakala S)",'Master Sheet'!P130,"")</f>
        <v/>
      </c>
    </row>
    <row r="130" spans="1:16" hidden="1" x14ac:dyDescent="0.25">
      <c r="A130" t="str">
        <f>IF('Master Sheet'!C131="Area 2 (Viswakala S)",'Master Sheet'!A131,"")</f>
        <v/>
      </c>
      <c r="B130" t="str">
        <f>IF('Master Sheet'!C131="Area 2 (Viswakala S)",'Master Sheet'!B131,"")</f>
        <v/>
      </c>
      <c r="C130" t="s">
        <v>5</v>
      </c>
      <c r="D130" t="str">
        <f>IF('Master Sheet'!C131="Area 2 (Viswakala S)",'Master Sheet'!D131,"")</f>
        <v/>
      </c>
      <c r="E130" t="str">
        <f>IF('Master Sheet'!C131="Area 2 (Viswakala S)",'Master Sheet'!E131,"")</f>
        <v/>
      </c>
      <c r="F130" t="str">
        <f>IF('Master Sheet'!C131="Area 2 (Viswakala S)",'Master Sheet'!F131,"")</f>
        <v/>
      </c>
      <c r="G130" t="str">
        <f>IF('Master Sheet'!C131="Area 2 (Viswakala S)",'Master Sheet'!G131,"")</f>
        <v/>
      </c>
      <c r="H130" t="str">
        <f>IF('Master Sheet'!C131="Area 2 (Viswakala S)",'Master Sheet'!H131,"")</f>
        <v/>
      </c>
      <c r="I130" t="str">
        <f>IF('Master Sheet'!C131="Area 2 (Viswakala S)",'Master Sheet'!I131,"")</f>
        <v/>
      </c>
      <c r="J130" t="str">
        <f>IF('Master Sheet'!C131="Area 2 (Viswakala S)",'Master Sheet'!J131,"")</f>
        <v/>
      </c>
      <c r="K130" t="str">
        <f>IF('Master Sheet'!C131="Area 2 (Viswakala S)",'Master Sheet'!K131,"")</f>
        <v/>
      </c>
      <c r="L130" t="str">
        <f>IF('Master Sheet'!C131="Area 2 (Viswakala S)",'Master Sheet'!L131,"")</f>
        <v/>
      </c>
      <c r="M130" t="str">
        <f>IF('Master Sheet'!C131="Area 2 (Viswakala S)",'Master Sheet'!M131,"")</f>
        <v/>
      </c>
      <c r="N130" t="str">
        <f>IF('Master Sheet'!C131="Area 2 (Viswakala S)",'Master Sheet'!N131,"")</f>
        <v/>
      </c>
      <c r="O130" t="str">
        <f>IF('Master Sheet'!C131="Area 2 (Viswakala S)",'Master Sheet'!O131,"")</f>
        <v/>
      </c>
      <c r="P130" t="str">
        <f>IF('Master Sheet'!C131="Area 2 (Viswakala S)",'Master Sheet'!P131,"")</f>
        <v/>
      </c>
    </row>
    <row r="131" spans="1:16" hidden="1" x14ac:dyDescent="0.25">
      <c r="A131" t="str">
        <f>IF('Master Sheet'!C132="Area 2 (Viswakala S)",'Master Sheet'!A132,"")</f>
        <v/>
      </c>
      <c r="B131" t="str">
        <f>IF('Master Sheet'!C132="Area 2 (Viswakala S)",'Master Sheet'!B132,"")</f>
        <v/>
      </c>
      <c r="C131" t="s">
        <v>5</v>
      </c>
      <c r="D131" t="str">
        <f>IF('Master Sheet'!C132="Area 2 (Viswakala S)",'Master Sheet'!D132,"")</f>
        <v/>
      </c>
      <c r="E131" t="str">
        <f>IF('Master Sheet'!C132="Area 2 (Viswakala S)",'Master Sheet'!E132,"")</f>
        <v/>
      </c>
      <c r="F131" t="str">
        <f>IF('Master Sheet'!C132="Area 2 (Viswakala S)",'Master Sheet'!F132,"")</f>
        <v/>
      </c>
      <c r="G131" t="str">
        <f>IF('Master Sheet'!C132="Area 2 (Viswakala S)",'Master Sheet'!G132,"")</f>
        <v/>
      </c>
      <c r="H131" t="str">
        <f>IF('Master Sheet'!C132="Area 2 (Viswakala S)",'Master Sheet'!H132,"")</f>
        <v/>
      </c>
      <c r="I131" t="str">
        <f>IF('Master Sheet'!C132="Area 2 (Viswakala S)",'Master Sheet'!I132,"")</f>
        <v/>
      </c>
      <c r="J131" t="str">
        <f>IF('Master Sheet'!C132="Area 2 (Viswakala S)",'Master Sheet'!J132,"")</f>
        <v/>
      </c>
      <c r="K131" t="str">
        <f>IF('Master Sheet'!C132="Area 2 (Viswakala S)",'Master Sheet'!K132,"")</f>
        <v/>
      </c>
      <c r="L131" t="str">
        <f>IF('Master Sheet'!C132="Area 2 (Viswakala S)",'Master Sheet'!L132,"")</f>
        <v/>
      </c>
      <c r="M131" t="str">
        <f>IF('Master Sheet'!C132="Area 2 (Viswakala S)",'Master Sheet'!M132,"")</f>
        <v/>
      </c>
      <c r="N131" t="str">
        <f>IF('Master Sheet'!C132="Area 2 (Viswakala S)",'Master Sheet'!N132,"")</f>
        <v/>
      </c>
      <c r="O131" t="str">
        <f>IF('Master Sheet'!C132="Area 2 (Viswakala S)",'Master Sheet'!O132,"")</f>
        <v/>
      </c>
      <c r="P131" t="str">
        <f>IF('Master Sheet'!C132="Area 2 (Viswakala S)",'Master Sheet'!P132,"")</f>
        <v/>
      </c>
    </row>
    <row r="132" spans="1:16" hidden="1" x14ac:dyDescent="0.25">
      <c r="A132" t="str">
        <f>IF('Master Sheet'!C133="Area 2 (Viswakala S)",'Master Sheet'!A133,"")</f>
        <v/>
      </c>
      <c r="B132" t="str">
        <f>IF('Master Sheet'!C133="Area 2 (Viswakala S)",'Master Sheet'!B133,"")</f>
        <v/>
      </c>
      <c r="C132" t="s">
        <v>5</v>
      </c>
      <c r="D132" t="str">
        <f>IF('Master Sheet'!C133="Area 2 (Viswakala S)",'Master Sheet'!D133,"")</f>
        <v/>
      </c>
      <c r="E132" t="str">
        <f>IF('Master Sheet'!C133="Area 2 (Viswakala S)",'Master Sheet'!E133,"")</f>
        <v/>
      </c>
      <c r="F132" t="str">
        <f>IF('Master Sheet'!C133="Area 2 (Viswakala S)",'Master Sheet'!F133,"")</f>
        <v/>
      </c>
      <c r="G132" t="str">
        <f>IF('Master Sheet'!C133="Area 2 (Viswakala S)",'Master Sheet'!G133,"")</f>
        <v/>
      </c>
      <c r="H132" t="str">
        <f>IF('Master Sheet'!C133="Area 2 (Viswakala S)",'Master Sheet'!H133,"")</f>
        <v/>
      </c>
      <c r="I132" t="str">
        <f>IF('Master Sheet'!C133="Area 2 (Viswakala S)",'Master Sheet'!I133,"")</f>
        <v/>
      </c>
      <c r="J132" t="str">
        <f>IF('Master Sheet'!C133="Area 2 (Viswakala S)",'Master Sheet'!J133,"")</f>
        <v/>
      </c>
      <c r="K132" t="str">
        <f>IF('Master Sheet'!C133="Area 2 (Viswakala S)",'Master Sheet'!K133,"")</f>
        <v/>
      </c>
      <c r="L132" t="str">
        <f>IF('Master Sheet'!C133="Area 2 (Viswakala S)",'Master Sheet'!L133,"")</f>
        <v/>
      </c>
      <c r="M132" t="str">
        <f>IF('Master Sheet'!C133="Area 2 (Viswakala S)",'Master Sheet'!M133,"")</f>
        <v/>
      </c>
      <c r="N132" t="str">
        <f>IF('Master Sheet'!C133="Area 2 (Viswakala S)",'Master Sheet'!N133,"")</f>
        <v/>
      </c>
      <c r="O132" t="str">
        <f>IF('Master Sheet'!C133="Area 2 (Viswakala S)",'Master Sheet'!O133,"")</f>
        <v/>
      </c>
      <c r="P132" t="str">
        <f>IF('Master Sheet'!C133="Area 2 (Viswakala S)",'Master Sheet'!P133,"")</f>
        <v/>
      </c>
    </row>
    <row r="133" spans="1:16" hidden="1" x14ac:dyDescent="0.25">
      <c r="A133" t="str">
        <f>IF('Master Sheet'!C134="Area 2 (Viswakala S)",'Master Sheet'!A134,"")</f>
        <v/>
      </c>
      <c r="B133" t="str">
        <f>IF('Master Sheet'!C134="Area 2 (Viswakala S)",'Master Sheet'!B134,"")</f>
        <v/>
      </c>
      <c r="C133" t="s">
        <v>5</v>
      </c>
      <c r="D133" t="str">
        <f>IF('Master Sheet'!C134="Area 2 (Viswakala S)",'Master Sheet'!D134,"")</f>
        <v/>
      </c>
      <c r="E133" t="str">
        <f>IF('Master Sheet'!C134="Area 2 (Viswakala S)",'Master Sheet'!E134,"")</f>
        <v/>
      </c>
      <c r="F133" t="str">
        <f>IF('Master Sheet'!C134="Area 2 (Viswakala S)",'Master Sheet'!F134,"")</f>
        <v/>
      </c>
      <c r="G133" t="str">
        <f>IF('Master Sheet'!C134="Area 2 (Viswakala S)",'Master Sheet'!G134,"")</f>
        <v/>
      </c>
      <c r="H133" t="str">
        <f>IF('Master Sheet'!C134="Area 2 (Viswakala S)",'Master Sheet'!H134,"")</f>
        <v/>
      </c>
      <c r="I133" t="str">
        <f>IF('Master Sheet'!C134="Area 2 (Viswakala S)",'Master Sheet'!I134,"")</f>
        <v/>
      </c>
      <c r="J133" t="str">
        <f>IF('Master Sheet'!C134="Area 2 (Viswakala S)",'Master Sheet'!J134,"")</f>
        <v/>
      </c>
      <c r="K133" t="str">
        <f>IF('Master Sheet'!C134="Area 2 (Viswakala S)",'Master Sheet'!K134,"")</f>
        <v/>
      </c>
      <c r="L133" t="str">
        <f>IF('Master Sheet'!C134="Area 2 (Viswakala S)",'Master Sheet'!L134,"")</f>
        <v/>
      </c>
      <c r="M133" t="str">
        <f>IF('Master Sheet'!C134="Area 2 (Viswakala S)",'Master Sheet'!M134,"")</f>
        <v/>
      </c>
      <c r="N133" t="str">
        <f>IF('Master Sheet'!C134="Area 2 (Viswakala S)",'Master Sheet'!N134,"")</f>
        <v/>
      </c>
      <c r="O133" t="str">
        <f>IF('Master Sheet'!C134="Area 2 (Viswakala S)",'Master Sheet'!O134,"")</f>
        <v/>
      </c>
      <c r="P133" t="str">
        <f>IF('Master Sheet'!C134="Area 2 (Viswakala S)",'Master Sheet'!P134,"")</f>
        <v/>
      </c>
    </row>
    <row r="134" spans="1:16" hidden="1" x14ac:dyDescent="0.25">
      <c r="A134" t="str">
        <f>IF('Master Sheet'!C135="Area 2 (Viswakala S)",'Master Sheet'!A135,"")</f>
        <v/>
      </c>
      <c r="B134" t="str">
        <f>IF('Master Sheet'!C135="Area 2 (Viswakala S)",'Master Sheet'!B135,"")</f>
        <v/>
      </c>
      <c r="C134" t="s">
        <v>5</v>
      </c>
      <c r="D134" t="str">
        <f>IF('Master Sheet'!C135="Area 2 (Viswakala S)",'Master Sheet'!D135,"")</f>
        <v/>
      </c>
      <c r="E134" t="str">
        <f>IF('Master Sheet'!C135="Area 2 (Viswakala S)",'Master Sheet'!E135,"")</f>
        <v/>
      </c>
      <c r="F134" t="str">
        <f>IF('Master Sheet'!C135="Area 2 (Viswakala S)",'Master Sheet'!F135,"")</f>
        <v/>
      </c>
      <c r="G134" t="str">
        <f>IF('Master Sheet'!C135="Area 2 (Viswakala S)",'Master Sheet'!G135,"")</f>
        <v/>
      </c>
      <c r="H134" t="str">
        <f>IF('Master Sheet'!C135="Area 2 (Viswakala S)",'Master Sheet'!H135,"")</f>
        <v/>
      </c>
      <c r="I134" t="str">
        <f>IF('Master Sheet'!C135="Area 2 (Viswakala S)",'Master Sheet'!I135,"")</f>
        <v/>
      </c>
      <c r="J134" t="str">
        <f>IF('Master Sheet'!C135="Area 2 (Viswakala S)",'Master Sheet'!J135,"")</f>
        <v/>
      </c>
      <c r="K134" t="str">
        <f>IF('Master Sheet'!C135="Area 2 (Viswakala S)",'Master Sheet'!K135,"")</f>
        <v/>
      </c>
      <c r="L134" t="str">
        <f>IF('Master Sheet'!C135="Area 2 (Viswakala S)",'Master Sheet'!L135,"")</f>
        <v/>
      </c>
      <c r="M134" t="str">
        <f>IF('Master Sheet'!C135="Area 2 (Viswakala S)",'Master Sheet'!M135,"")</f>
        <v/>
      </c>
      <c r="N134" t="str">
        <f>IF('Master Sheet'!C135="Area 2 (Viswakala S)",'Master Sheet'!N135,"")</f>
        <v/>
      </c>
      <c r="O134" t="str">
        <f>IF('Master Sheet'!C135="Area 2 (Viswakala S)",'Master Sheet'!O135,"")</f>
        <v/>
      </c>
      <c r="P134" t="str">
        <f>IF('Master Sheet'!C135="Area 2 (Viswakala S)",'Master Sheet'!P135,"")</f>
        <v/>
      </c>
    </row>
    <row r="135" spans="1:16" hidden="1" x14ac:dyDescent="0.25">
      <c r="A135" t="str">
        <f>IF('Master Sheet'!C136="Area 2 (Viswakala S)",'Master Sheet'!A136,"")</f>
        <v/>
      </c>
      <c r="B135" t="str">
        <f>IF('Master Sheet'!C136="Area 2 (Viswakala S)",'Master Sheet'!B136,"")</f>
        <v/>
      </c>
      <c r="C135" t="s">
        <v>5</v>
      </c>
      <c r="D135" t="str">
        <f>IF('Master Sheet'!C136="Area 2 (Viswakala S)",'Master Sheet'!D136,"")</f>
        <v/>
      </c>
      <c r="E135" t="str">
        <f>IF('Master Sheet'!C136="Area 2 (Viswakala S)",'Master Sheet'!E136,"")</f>
        <v/>
      </c>
      <c r="F135" t="str">
        <f>IF('Master Sheet'!C136="Area 2 (Viswakala S)",'Master Sheet'!F136,"")</f>
        <v/>
      </c>
      <c r="G135" t="str">
        <f>IF('Master Sheet'!C136="Area 2 (Viswakala S)",'Master Sheet'!G136,"")</f>
        <v/>
      </c>
      <c r="H135" t="str">
        <f>IF('Master Sheet'!C136="Area 2 (Viswakala S)",'Master Sheet'!H136,"")</f>
        <v/>
      </c>
      <c r="I135" t="str">
        <f>IF('Master Sheet'!C136="Area 2 (Viswakala S)",'Master Sheet'!I136,"")</f>
        <v/>
      </c>
      <c r="J135" t="str">
        <f>IF('Master Sheet'!C136="Area 2 (Viswakala S)",'Master Sheet'!J136,"")</f>
        <v/>
      </c>
      <c r="K135" t="str">
        <f>IF('Master Sheet'!C136="Area 2 (Viswakala S)",'Master Sheet'!K136,"")</f>
        <v/>
      </c>
      <c r="L135" t="str">
        <f>IF('Master Sheet'!C136="Area 2 (Viswakala S)",'Master Sheet'!L136,"")</f>
        <v/>
      </c>
      <c r="M135" t="str">
        <f>IF('Master Sheet'!C136="Area 2 (Viswakala S)",'Master Sheet'!M136,"")</f>
        <v/>
      </c>
      <c r="N135" t="str">
        <f>IF('Master Sheet'!C136="Area 2 (Viswakala S)",'Master Sheet'!N136,"")</f>
        <v/>
      </c>
      <c r="O135" t="str">
        <f>IF('Master Sheet'!C136="Area 2 (Viswakala S)",'Master Sheet'!O136,"")</f>
        <v/>
      </c>
      <c r="P135" t="str">
        <f>IF('Master Sheet'!C136="Area 2 (Viswakala S)",'Master Sheet'!P136,"")</f>
        <v/>
      </c>
    </row>
    <row r="136" spans="1:16" hidden="1" x14ac:dyDescent="0.25">
      <c r="A136" t="str">
        <f>IF('Master Sheet'!C137="Area 2 (Viswakala S)",'Master Sheet'!A137,"")</f>
        <v/>
      </c>
      <c r="B136" t="str">
        <f>IF('Master Sheet'!C137="Area 2 (Viswakala S)",'Master Sheet'!B137,"")</f>
        <v/>
      </c>
      <c r="C136" t="s">
        <v>5</v>
      </c>
      <c r="D136" t="str">
        <f>IF('Master Sheet'!C137="Area 2 (Viswakala S)",'Master Sheet'!D137,"")</f>
        <v/>
      </c>
      <c r="E136" t="str">
        <f>IF('Master Sheet'!C137="Area 2 (Viswakala S)",'Master Sheet'!E137,"")</f>
        <v/>
      </c>
      <c r="F136" t="str">
        <f>IF('Master Sheet'!C137="Area 2 (Viswakala S)",'Master Sheet'!F137,"")</f>
        <v/>
      </c>
      <c r="G136" t="str">
        <f>IF('Master Sheet'!C137="Area 2 (Viswakala S)",'Master Sheet'!G137,"")</f>
        <v/>
      </c>
      <c r="H136" t="str">
        <f>IF('Master Sheet'!C137="Area 2 (Viswakala S)",'Master Sheet'!H137,"")</f>
        <v/>
      </c>
      <c r="I136" t="str">
        <f>IF('Master Sheet'!C137="Area 2 (Viswakala S)",'Master Sheet'!I137,"")</f>
        <v/>
      </c>
      <c r="J136" t="str">
        <f>IF('Master Sheet'!C137="Area 2 (Viswakala S)",'Master Sheet'!J137,"")</f>
        <v/>
      </c>
      <c r="K136" t="str">
        <f>IF('Master Sheet'!C137="Area 2 (Viswakala S)",'Master Sheet'!K137,"")</f>
        <v/>
      </c>
      <c r="L136" t="str">
        <f>IF('Master Sheet'!C137="Area 2 (Viswakala S)",'Master Sheet'!L137,"")</f>
        <v/>
      </c>
      <c r="M136" t="str">
        <f>IF('Master Sheet'!C137="Area 2 (Viswakala S)",'Master Sheet'!M137,"")</f>
        <v/>
      </c>
      <c r="N136" t="str">
        <f>IF('Master Sheet'!C137="Area 2 (Viswakala S)",'Master Sheet'!N137,"")</f>
        <v/>
      </c>
      <c r="O136" t="str">
        <f>IF('Master Sheet'!C137="Area 2 (Viswakala S)",'Master Sheet'!O137,"")</f>
        <v/>
      </c>
      <c r="P136" t="str">
        <f>IF('Master Sheet'!C137="Area 2 (Viswakala S)",'Master Sheet'!P137,"")</f>
        <v/>
      </c>
    </row>
    <row r="137" spans="1:16" hidden="1" x14ac:dyDescent="0.25">
      <c r="A137" t="str">
        <f>IF('Master Sheet'!C138="Area 2 (Viswakala S)",'Master Sheet'!A138,"")</f>
        <v/>
      </c>
      <c r="B137" t="str">
        <f>IF('Master Sheet'!C138="Area 2 (Viswakala S)",'Master Sheet'!B138,"")</f>
        <v/>
      </c>
      <c r="C137" t="s">
        <v>5</v>
      </c>
      <c r="D137" t="str">
        <f>IF('Master Sheet'!C138="Area 2 (Viswakala S)",'Master Sheet'!D138,"")</f>
        <v/>
      </c>
      <c r="E137" t="str">
        <f>IF('Master Sheet'!C138="Area 2 (Viswakala S)",'Master Sheet'!E138,"")</f>
        <v/>
      </c>
      <c r="F137" t="str">
        <f>IF('Master Sheet'!C138="Area 2 (Viswakala S)",'Master Sheet'!F138,"")</f>
        <v/>
      </c>
      <c r="G137" t="str">
        <f>IF('Master Sheet'!C138="Area 2 (Viswakala S)",'Master Sheet'!G138,"")</f>
        <v/>
      </c>
      <c r="H137" t="str">
        <f>IF('Master Sheet'!C138="Area 2 (Viswakala S)",'Master Sheet'!H138,"")</f>
        <v/>
      </c>
      <c r="I137" t="str">
        <f>IF('Master Sheet'!C138="Area 2 (Viswakala S)",'Master Sheet'!I138,"")</f>
        <v/>
      </c>
      <c r="J137" t="str">
        <f>IF('Master Sheet'!C138="Area 2 (Viswakala S)",'Master Sheet'!J138,"")</f>
        <v/>
      </c>
      <c r="K137" t="str">
        <f>IF('Master Sheet'!C138="Area 2 (Viswakala S)",'Master Sheet'!K138,"")</f>
        <v/>
      </c>
      <c r="L137" t="str">
        <f>IF('Master Sheet'!C138="Area 2 (Viswakala S)",'Master Sheet'!L138,"")</f>
        <v/>
      </c>
      <c r="M137" t="str">
        <f>IF('Master Sheet'!C138="Area 2 (Viswakala S)",'Master Sheet'!M138,"")</f>
        <v/>
      </c>
      <c r="N137" t="str">
        <f>IF('Master Sheet'!C138="Area 2 (Viswakala S)",'Master Sheet'!N138,"")</f>
        <v/>
      </c>
      <c r="O137" t="str">
        <f>IF('Master Sheet'!C138="Area 2 (Viswakala S)",'Master Sheet'!O138,"")</f>
        <v/>
      </c>
      <c r="P137" t="str">
        <f>IF('Master Sheet'!C138="Area 2 (Viswakala S)",'Master Sheet'!P138,"")</f>
        <v/>
      </c>
    </row>
    <row r="138" spans="1:16" hidden="1" x14ac:dyDescent="0.25">
      <c r="A138" t="str">
        <f>IF('Master Sheet'!C139="Area 2 (Viswakala S)",'Master Sheet'!A139,"")</f>
        <v/>
      </c>
      <c r="B138" t="str">
        <f>IF('Master Sheet'!C139="Area 2 (Viswakala S)",'Master Sheet'!B139,"")</f>
        <v/>
      </c>
      <c r="C138" t="s">
        <v>5</v>
      </c>
      <c r="D138" t="str">
        <f>IF('Master Sheet'!C139="Area 2 (Viswakala S)",'Master Sheet'!D139,"")</f>
        <v/>
      </c>
      <c r="E138" t="str">
        <f>IF('Master Sheet'!C139="Area 2 (Viswakala S)",'Master Sheet'!E139,"")</f>
        <v/>
      </c>
      <c r="F138" t="str">
        <f>IF('Master Sheet'!C139="Area 2 (Viswakala S)",'Master Sheet'!F139,"")</f>
        <v/>
      </c>
      <c r="G138" t="str">
        <f>IF('Master Sheet'!C139="Area 2 (Viswakala S)",'Master Sheet'!G139,"")</f>
        <v/>
      </c>
      <c r="H138" t="str">
        <f>IF('Master Sheet'!C139="Area 2 (Viswakala S)",'Master Sheet'!H139,"")</f>
        <v/>
      </c>
      <c r="I138" t="str">
        <f>IF('Master Sheet'!C139="Area 2 (Viswakala S)",'Master Sheet'!I139,"")</f>
        <v/>
      </c>
      <c r="J138" t="str">
        <f>IF('Master Sheet'!C139="Area 2 (Viswakala S)",'Master Sheet'!J139,"")</f>
        <v/>
      </c>
      <c r="K138" t="str">
        <f>IF('Master Sheet'!C139="Area 2 (Viswakala S)",'Master Sheet'!K139,"")</f>
        <v/>
      </c>
      <c r="L138" t="str">
        <f>IF('Master Sheet'!C139="Area 2 (Viswakala S)",'Master Sheet'!L139,"")</f>
        <v/>
      </c>
      <c r="M138" t="str">
        <f>IF('Master Sheet'!C139="Area 2 (Viswakala S)",'Master Sheet'!M139,"")</f>
        <v/>
      </c>
      <c r="N138" t="str">
        <f>IF('Master Sheet'!C139="Area 2 (Viswakala S)",'Master Sheet'!N139,"")</f>
        <v/>
      </c>
      <c r="O138" t="str">
        <f>IF('Master Sheet'!C139="Area 2 (Viswakala S)",'Master Sheet'!O139,"")</f>
        <v/>
      </c>
      <c r="P138" t="str">
        <f>IF('Master Sheet'!C139="Area 2 (Viswakala S)",'Master Sheet'!P139,"")</f>
        <v/>
      </c>
    </row>
    <row r="139" spans="1:16" hidden="1" x14ac:dyDescent="0.25">
      <c r="A139" t="str">
        <f>IF('Master Sheet'!C140="Area 2 (Viswakala S)",'Master Sheet'!A140,"")</f>
        <v/>
      </c>
      <c r="B139" t="str">
        <f>IF('Master Sheet'!C140="Area 2 (Viswakala S)",'Master Sheet'!B140,"")</f>
        <v/>
      </c>
      <c r="C139" t="s">
        <v>5</v>
      </c>
      <c r="D139" t="str">
        <f>IF('Master Sheet'!C140="Area 2 (Viswakala S)",'Master Sheet'!D140,"")</f>
        <v/>
      </c>
      <c r="E139" t="str">
        <f>IF('Master Sheet'!C140="Area 2 (Viswakala S)",'Master Sheet'!E140,"")</f>
        <v/>
      </c>
      <c r="F139" t="str">
        <f>IF('Master Sheet'!C140="Area 2 (Viswakala S)",'Master Sheet'!F140,"")</f>
        <v/>
      </c>
      <c r="G139" t="str">
        <f>IF('Master Sheet'!C140="Area 2 (Viswakala S)",'Master Sheet'!G140,"")</f>
        <v/>
      </c>
      <c r="H139" t="str">
        <f>IF('Master Sheet'!C140="Area 2 (Viswakala S)",'Master Sheet'!H140,"")</f>
        <v/>
      </c>
      <c r="I139" t="str">
        <f>IF('Master Sheet'!C140="Area 2 (Viswakala S)",'Master Sheet'!I140,"")</f>
        <v/>
      </c>
      <c r="J139" t="str">
        <f>IF('Master Sheet'!C140="Area 2 (Viswakala S)",'Master Sheet'!J140,"")</f>
        <v/>
      </c>
      <c r="K139" t="str">
        <f>IF('Master Sheet'!C140="Area 2 (Viswakala S)",'Master Sheet'!K140,"")</f>
        <v/>
      </c>
      <c r="L139" t="str">
        <f>IF('Master Sheet'!C140="Area 2 (Viswakala S)",'Master Sheet'!L140,"")</f>
        <v/>
      </c>
      <c r="M139" t="str">
        <f>IF('Master Sheet'!C140="Area 2 (Viswakala S)",'Master Sheet'!M140,"")</f>
        <v/>
      </c>
      <c r="N139" t="str">
        <f>IF('Master Sheet'!C140="Area 2 (Viswakala S)",'Master Sheet'!N140,"")</f>
        <v/>
      </c>
      <c r="O139" t="str">
        <f>IF('Master Sheet'!C140="Area 2 (Viswakala S)",'Master Sheet'!O140,"")</f>
        <v/>
      </c>
      <c r="P139" t="str">
        <f>IF('Master Sheet'!C140="Area 2 (Viswakala S)",'Master Sheet'!P140,"")</f>
        <v/>
      </c>
    </row>
    <row r="140" spans="1:16" hidden="1" x14ac:dyDescent="0.25">
      <c r="A140" t="str">
        <f>IF('Master Sheet'!C141="Area 2 (Viswakala S)",'Master Sheet'!A141,"")</f>
        <v/>
      </c>
      <c r="B140" t="str">
        <f>IF('Master Sheet'!C141="Area 2 (Viswakala S)",'Master Sheet'!B141,"")</f>
        <v/>
      </c>
      <c r="C140" t="s">
        <v>5</v>
      </c>
      <c r="D140" t="str">
        <f>IF('Master Sheet'!C141="Area 2 (Viswakala S)",'Master Sheet'!D141,"")</f>
        <v/>
      </c>
      <c r="E140" t="str">
        <f>IF('Master Sheet'!C141="Area 2 (Viswakala S)",'Master Sheet'!E141,"")</f>
        <v/>
      </c>
      <c r="F140" t="str">
        <f>IF('Master Sheet'!C141="Area 2 (Viswakala S)",'Master Sheet'!F141,"")</f>
        <v/>
      </c>
      <c r="G140" t="str">
        <f>IF('Master Sheet'!C141="Area 2 (Viswakala S)",'Master Sheet'!G141,"")</f>
        <v/>
      </c>
      <c r="H140" t="str">
        <f>IF('Master Sheet'!C141="Area 2 (Viswakala S)",'Master Sheet'!H141,"")</f>
        <v/>
      </c>
      <c r="I140" t="str">
        <f>IF('Master Sheet'!C141="Area 2 (Viswakala S)",'Master Sheet'!I141,"")</f>
        <v/>
      </c>
      <c r="J140" t="str">
        <f>IF('Master Sheet'!C141="Area 2 (Viswakala S)",'Master Sheet'!J141,"")</f>
        <v/>
      </c>
      <c r="K140" t="str">
        <f>IF('Master Sheet'!C141="Area 2 (Viswakala S)",'Master Sheet'!K141,"")</f>
        <v/>
      </c>
      <c r="L140" t="str">
        <f>IF('Master Sheet'!C141="Area 2 (Viswakala S)",'Master Sheet'!L141,"")</f>
        <v/>
      </c>
      <c r="M140" t="str">
        <f>IF('Master Sheet'!C141="Area 2 (Viswakala S)",'Master Sheet'!M141,"")</f>
        <v/>
      </c>
      <c r="N140" t="str">
        <f>IF('Master Sheet'!C141="Area 2 (Viswakala S)",'Master Sheet'!N141,"")</f>
        <v/>
      </c>
      <c r="O140" t="str">
        <f>IF('Master Sheet'!C141="Area 2 (Viswakala S)",'Master Sheet'!O141,"")</f>
        <v/>
      </c>
      <c r="P140" t="str">
        <f>IF('Master Sheet'!C141="Area 2 (Viswakala S)",'Master Sheet'!P141,"")</f>
        <v/>
      </c>
    </row>
    <row r="141" spans="1:16" hidden="1" x14ac:dyDescent="0.25">
      <c r="A141" t="str">
        <f>IF('Master Sheet'!C142="Area 2 (Viswakala S)",'Master Sheet'!A142,"")</f>
        <v/>
      </c>
      <c r="B141" t="str">
        <f>IF('Master Sheet'!C142="Area 2 (Viswakala S)",'Master Sheet'!B142,"")</f>
        <v/>
      </c>
      <c r="C141" t="s">
        <v>5</v>
      </c>
      <c r="D141" t="str">
        <f>IF('Master Sheet'!C142="Area 2 (Viswakala S)",'Master Sheet'!D142,"")</f>
        <v/>
      </c>
      <c r="E141" t="str">
        <f>IF('Master Sheet'!C142="Area 2 (Viswakala S)",'Master Sheet'!E142,"")</f>
        <v/>
      </c>
      <c r="F141" t="str">
        <f>IF('Master Sheet'!C142="Area 2 (Viswakala S)",'Master Sheet'!F142,"")</f>
        <v/>
      </c>
      <c r="G141" t="str">
        <f>IF('Master Sheet'!C142="Area 2 (Viswakala S)",'Master Sheet'!G142,"")</f>
        <v/>
      </c>
      <c r="H141" t="str">
        <f>IF('Master Sheet'!C142="Area 2 (Viswakala S)",'Master Sheet'!H142,"")</f>
        <v/>
      </c>
      <c r="I141" t="str">
        <f>IF('Master Sheet'!C142="Area 2 (Viswakala S)",'Master Sheet'!I142,"")</f>
        <v/>
      </c>
      <c r="J141" t="str">
        <f>IF('Master Sheet'!C142="Area 2 (Viswakala S)",'Master Sheet'!J142,"")</f>
        <v/>
      </c>
      <c r="K141" t="str">
        <f>IF('Master Sheet'!C142="Area 2 (Viswakala S)",'Master Sheet'!K142,"")</f>
        <v/>
      </c>
      <c r="L141" t="str">
        <f>IF('Master Sheet'!C142="Area 2 (Viswakala S)",'Master Sheet'!L142,"")</f>
        <v/>
      </c>
      <c r="M141" t="str">
        <f>IF('Master Sheet'!C142="Area 2 (Viswakala S)",'Master Sheet'!M142,"")</f>
        <v/>
      </c>
      <c r="N141" t="str">
        <f>IF('Master Sheet'!C142="Area 2 (Viswakala S)",'Master Sheet'!N142,"")</f>
        <v/>
      </c>
      <c r="O141" t="str">
        <f>IF('Master Sheet'!C142="Area 2 (Viswakala S)",'Master Sheet'!O142,"")</f>
        <v/>
      </c>
      <c r="P141" t="str">
        <f>IF('Master Sheet'!C142="Area 2 (Viswakala S)",'Master Sheet'!P142,"")</f>
        <v/>
      </c>
    </row>
    <row r="142" spans="1:16" hidden="1" x14ac:dyDescent="0.25">
      <c r="A142" t="str">
        <f>IF('Master Sheet'!C143="Area 2 (Viswakala S)",'Master Sheet'!A143,"")</f>
        <v/>
      </c>
      <c r="B142" t="str">
        <f>IF('Master Sheet'!C143="Area 2 (Viswakala S)",'Master Sheet'!B143,"")</f>
        <v/>
      </c>
      <c r="C142" t="s">
        <v>5</v>
      </c>
      <c r="D142" t="str">
        <f>IF('Master Sheet'!C143="Area 2 (Viswakala S)",'Master Sheet'!D143,"")</f>
        <v/>
      </c>
      <c r="E142" t="str">
        <f>IF('Master Sheet'!C143="Area 2 (Viswakala S)",'Master Sheet'!E143,"")</f>
        <v/>
      </c>
      <c r="F142" t="str">
        <f>IF('Master Sheet'!C143="Area 2 (Viswakala S)",'Master Sheet'!F143,"")</f>
        <v/>
      </c>
      <c r="G142" t="str">
        <f>IF('Master Sheet'!C143="Area 2 (Viswakala S)",'Master Sheet'!G143,"")</f>
        <v/>
      </c>
      <c r="H142" t="str">
        <f>IF('Master Sheet'!C143="Area 2 (Viswakala S)",'Master Sheet'!H143,"")</f>
        <v/>
      </c>
      <c r="I142" t="str">
        <f>IF('Master Sheet'!C143="Area 2 (Viswakala S)",'Master Sheet'!I143,"")</f>
        <v/>
      </c>
      <c r="J142" t="str">
        <f>IF('Master Sheet'!C143="Area 2 (Viswakala S)",'Master Sheet'!J143,"")</f>
        <v/>
      </c>
      <c r="K142" t="str">
        <f>IF('Master Sheet'!C143="Area 2 (Viswakala S)",'Master Sheet'!K143,"")</f>
        <v/>
      </c>
      <c r="L142" t="str">
        <f>IF('Master Sheet'!C143="Area 2 (Viswakala S)",'Master Sheet'!L143,"")</f>
        <v/>
      </c>
      <c r="M142" t="str">
        <f>IF('Master Sheet'!C143="Area 2 (Viswakala S)",'Master Sheet'!M143,"")</f>
        <v/>
      </c>
      <c r="N142" t="str">
        <f>IF('Master Sheet'!C143="Area 2 (Viswakala S)",'Master Sheet'!N143,"")</f>
        <v/>
      </c>
      <c r="O142" t="str">
        <f>IF('Master Sheet'!C143="Area 2 (Viswakala S)",'Master Sheet'!O143,"")</f>
        <v/>
      </c>
      <c r="P142" t="str">
        <f>IF('Master Sheet'!C143="Area 2 (Viswakala S)",'Master Sheet'!P143,"")</f>
        <v/>
      </c>
    </row>
    <row r="143" spans="1:16" hidden="1" x14ac:dyDescent="0.25">
      <c r="A143" t="str">
        <f>IF('Master Sheet'!C144="Area 2 (Viswakala S)",'Master Sheet'!A144,"")</f>
        <v/>
      </c>
      <c r="B143" t="str">
        <f>IF('Master Sheet'!C144="Area 2 (Viswakala S)",'Master Sheet'!B144,"")</f>
        <v/>
      </c>
      <c r="C143" t="s">
        <v>5</v>
      </c>
      <c r="D143" t="str">
        <f>IF('Master Sheet'!C144="Area 2 (Viswakala S)",'Master Sheet'!D144,"")</f>
        <v/>
      </c>
      <c r="E143" t="str">
        <f>IF('Master Sheet'!C144="Area 2 (Viswakala S)",'Master Sheet'!E144,"")</f>
        <v/>
      </c>
      <c r="F143" t="str">
        <f>IF('Master Sheet'!C144="Area 2 (Viswakala S)",'Master Sheet'!F144,"")</f>
        <v/>
      </c>
      <c r="G143" t="str">
        <f>IF('Master Sheet'!C144="Area 2 (Viswakala S)",'Master Sheet'!G144,"")</f>
        <v/>
      </c>
      <c r="H143" t="str">
        <f>IF('Master Sheet'!C144="Area 2 (Viswakala S)",'Master Sheet'!H144,"")</f>
        <v/>
      </c>
      <c r="I143" t="str">
        <f>IF('Master Sheet'!C144="Area 2 (Viswakala S)",'Master Sheet'!I144,"")</f>
        <v/>
      </c>
      <c r="J143" t="str">
        <f>IF('Master Sheet'!C144="Area 2 (Viswakala S)",'Master Sheet'!J144,"")</f>
        <v/>
      </c>
      <c r="K143" t="str">
        <f>IF('Master Sheet'!C144="Area 2 (Viswakala S)",'Master Sheet'!K144,"")</f>
        <v/>
      </c>
      <c r="L143" t="str">
        <f>IF('Master Sheet'!C144="Area 2 (Viswakala S)",'Master Sheet'!L144,"")</f>
        <v/>
      </c>
      <c r="M143" t="str">
        <f>IF('Master Sheet'!C144="Area 2 (Viswakala S)",'Master Sheet'!M144,"")</f>
        <v/>
      </c>
      <c r="N143" t="str">
        <f>IF('Master Sheet'!C144="Area 2 (Viswakala S)",'Master Sheet'!N144,"")</f>
        <v/>
      </c>
      <c r="O143" t="str">
        <f>IF('Master Sheet'!C144="Area 2 (Viswakala S)",'Master Sheet'!O144,"")</f>
        <v/>
      </c>
      <c r="P143" t="str">
        <f>IF('Master Sheet'!C144="Area 2 (Viswakala S)",'Master Sheet'!P144,"")</f>
        <v/>
      </c>
    </row>
    <row r="144" spans="1:16" hidden="1" x14ac:dyDescent="0.25">
      <c r="A144" t="str">
        <f>IF('Master Sheet'!C145="Area 2 (Viswakala S)",'Master Sheet'!A145,"")</f>
        <v/>
      </c>
      <c r="B144" t="str">
        <f>IF('Master Sheet'!C145="Area 2 (Viswakala S)",'Master Sheet'!B145,"")</f>
        <v/>
      </c>
      <c r="C144" t="s">
        <v>5</v>
      </c>
      <c r="D144" t="str">
        <f>IF('Master Sheet'!C145="Area 2 (Viswakala S)",'Master Sheet'!D145,"")</f>
        <v/>
      </c>
      <c r="E144" t="str">
        <f>IF('Master Sheet'!C145="Area 2 (Viswakala S)",'Master Sheet'!E145,"")</f>
        <v/>
      </c>
      <c r="F144" t="str">
        <f>IF('Master Sheet'!C145="Area 2 (Viswakala S)",'Master Sheet'!F145,"")</f>
        <v/>
      </c>
      <c r="G144" t="str">
        <f>IF('Master Sheet'!C145="Area 2 (Viswakala S)",'Master Sheet'!G145,"")</f>
        <v/>
      </c>
      <c r="H144" t="str">
        <f>IF('Master Sheet'!C145="Area 2 (Viswakala S)",'Master Sheet'!H145,"")</f>
        <v/>
      </c>
      <c r="I144" t="str">
        <f>IF('Master Sheet'!C145="Area 2 (Viswakala S)",'Master Sheet'!I145,"")</f>
        <v/>
      </c>
      <c r="J144" t="str">
        <f>IF('Master Sheet'!C145="Area 2 (Viswakala S)",'Master Sheet'!J145,"")</f>
        <v/>
      </c>
      <c r="K144" t="str">
        <f>IF('Master Sheet'!C145="Area 2 (Viswakala S)",'Master Sheet'!K145,"")</f>
        <v/>
      </c>
      <c r="L144" t="str">
        <f>IF('Master Sheet'!C145="Area 2 (Viswakala S)",'Master Sheet'!L145,"")</f>
        <v/>
      </c>
      <c r="M144" t="str">
        <f>IF('Master Sheet'!C145="Area 2 (Viswakala S)",'Master Sheet'!M145,"")</f>
        <v/>
      </c>
      <c r="N144" t="str">
        <f>IF('Master Sheet'!C145="Area 2 (Viswakala S)",'Master Sheet'!N145,"")</f>
        <v/>
      </c>
      <c r="O144" t="str">
        <f>IF('Master Sheet'!C145="Area 2 (Viswakala S)",'Master Sheet'!O145,"")</f>
        <v/>
      </c>
      <c r="P144" t="str">
        <f>IF('Master Sheet'!C145="Area 2 (Viswakala S)",'Master Sheet'!P145,"")</f>
        <v/>
      </c>
    </row>
    <row r="145" spans="1:16" hidden="1" x14ac:dyDescent="0.25">
      <c r="A145" t="str">
        <f>IF('Master Sheet'!C146="Area 2 (Viswakala S)",'Master Sheet'!A146,"")</f>
        <v/>
      </c>
      <c r="B145" t="str">
        <f>IF('Master Sheet'!C146="Area 2 (Viswakala S)",'Master Sheet'!B146,"")</f>
        <v/>
      </c>
      <c r="C145" t="s">
        <v>5</v>
      </c>
      <c r="D145" t="str">
        <f>IF('Master Sheet'!C146="Area 2 (Viswakala S)",'Master Sheet'!D146,"")</f>
        <v/>
      </c>
      <c r="E145" t="str">
        <f>IF('Master Sheet'!C146="Area 2 (Viswakala S)",'Master Sheet'!E146,"")</f>
        <v/>
      </c>
      <c r="F145" t="str">
        <f>IF('Master Sheet'!C146="Area 2 (Viswakala S)",'Master Sheet'!F146,"")</f>
        <v/>
      </c>
      <c r="G145" t="str">
        <f>IF('Master Sheet'!C146="Area 2 (Viswakala S)",'Master Sheet'!G146,"")</f>
        <v/>
      </c>
      <c r="H145" t="str">
        <f>IF('Master Sheet'!C146="Area 2 (Viswakala S)",'Master Sheet'!H146,"")</f>
        <v/>
      </c>
      <c r="I145" t="str">
        <f>IF('Master Sheet'!C146="Area 2 (Viswakala S)",'Master Sheet'!I146,"")</f>
        <v/>
      </c>
      <c r="J145" t="str">
        <f>IF('Master Sheet'!C146="Area 2 (Viswakala S)",'Master Sheet'!J146,"")</f>
        <v/>
      </c>
      <c r="K145" t="str">
        <f>IF('Master Sheet'!C146="Area 2 (Viswakala S)",'Master Sheet'!K146,"")</f>
        <v/>
      </c>
      <c r="L145" t="str">
        <f>IF('Master Sheet'!C146="Area 2 (Viswakala S)",'Master Sheet'!L146,"")</f>
        <v/>
      </c>
      <c r="M145" t="str">
        <f>IF('Master Sheet'!C146="Area 2 (Viswakala S)",'Master Sheet'!M146,"")</f>
        <v/>
      </c>
      <c r="N145" t="str">
        <f>IF('Master Sheet'!C146="Area 2 (Viswakala S)",'Master Sheet'!N146,"")</f>
        <v/>
      </c>
      <c r="O145" t="str">
        <f>IF('Master Sheet'!C146="Area 2 (Viswakala S)",'Master Sheet'!O146,"")</f>
        <v/>
      </c>
      <c r="P145" t="str">
        <f>IF('Master Sheet'!C146="Area 2 (Viswakala S)",'Master Sheet'!P146,"")</f>
        <v/>
      </c>
    </row>
    <row r="146" spans="1:16" hidden="1" x14ac:dyDescent="0.25">
      <c r="A146" t="str">
        <f>IF('Master Sheet'!C147="Area 2 (Viswakala S)",'Master Sheet'!A147,"")</f>
        <v/>
      </c>
      <c r="B146" t="str">
        <f>IF('Master Sheet'!C147="Area 2 (Viswakala S)",'Master Sheet'!B147,"")</f>
        <v/>
      </c>
      <c r="C146" t="s">
        <v>5</v>
      </c>
      <c r="D146" t="str">
        <f>IF('Master Sheet'!C147="Area 2 (Viswakala S)",'Master Sheet'!D147,"")</f>
        <v/>
      </c>
      <c r="E146" t="str">
        <f>IF('Master Sheet'!C147="Area 2 (Viswakala S)",'Master Sheet'!E147,"")</f>
        <v/>
      </c>
      <c r="F146" t="str">
        <f>IF('Master Sheet'!C147="Area 2 (Viswakala S)",'Master Sheet'!F147,"")</f>
        <v/>
      </c>
      <c r="G146" t="str">
        <f>IF('Master Sheet'!C147="Area 2 (Viswakala S)",'Master Sheet'!G147,"")</f>
        <v/>
      </c>
      <c r="H146" t="str">
        <f>IF('Master Sheet'!C147="Area 2 (Viswakala S)",'Master Sheet'!H147,"")</f>
        <v/>
      </c>
      <c r="I146" t="str">
        <f>IF('Master Sheet'!C147="Area 2 (Viswakala S)",'Master Sheet'!I147,"")</f>
        <v/>
      </c>
      <c r="J146" t="str">
        <f>IF('Master Sheet'!C147="Area 2 (Viswakala S)",'Master Sheet'!J147,"")</f>
        <v/>
      </c>
      <c r="K146" t="str">
        <f>IF('Master Sheet'!C147="Area 2 (Viswakala S)",'Master Sheet'!K147,"")</f>
        <v/>
      </c>
      <c r="L146" t="str">
        <f>IF('Master Sheet'!C147="Area 2 (Viswakala S)",'Master Sheet'!L147,"")</f>
        <v/>
      </c>
      <c r="M146" t="str">
        <f>IF('Master Sheet'!C147="Area 2 (Viswakala S)",'Master Sheet'!M147,"")</f>
        <v/>
      </c>
      <c r="N146" t="str">
        <f>IF('Master Sheet'!C147="Area 2 (Viswakala S)",'Master Sheet'!N147,"")</f>
        <v/>
      </c>
      <c r="O146" t="str">
        <f>IF('Master Sheet'!C147="Area 2 (Viswakala S)",'Master Sheet'!O147,"")</f>
        <v/>
      </c>
      <c r="P146" t="str">
        <f>IF('Master Sheet'!C147="Area 2 (Viswakala S)",'Master Sheet'!P147,"")</f>
        <v/>
      </c>
    </row>
    <row r="147" spans="1:16" hidden="1" x14ac:dyDescent="0.25">
      <c r="A147" t="str">
        <f>IF('Master Sheet'!C148="Area 2 (Viswakala S)",'Master Sheet'!A148,"")</f>
        <v/>
      </c>
      <c r="B147" t="str">
        <f>IF('Master Sheet'!C148="Area 2 (Viswakala S)",'Master Sheet'!B148,"")</f>
        <v/>
      </c>
      <c r="C147" t="s">
        <v>5</v>
      </c>
      <c r="D147" t="str">
        <f>IF('Master Sheet'!C148="Area 2 (Viswakala S)",'Master Sheet'!D148,"")</f>
        <v/>
      </c>
      <c r="E147" t="str">
        <f>IF('Master Sheet'!C148="Area 2 (Viswakala S)",'Master Sheet'!E148,"")</f>
        <v/>
      </c>
      <c r="F147" t="str">
        <f>IF('Master Sheet'!C148="Area 2 (Viswakala S)",'Master Sheet'!F148,"")</f>
        <v/>
      </c>
      <c r="G147" t="str">
        <f>IF('Master Sheet'!C148="Area 2 (Viswakala S)",'Master Sheet'!G148,"")</f>
        <v/>
      </c>
      <c r="H147" t="str">
        <f>IF('Master Sheet'!C148="Area 2 (Viswakala S)",'Master Sheet'!H148,"")</f>
        <v/>
      </c>
      <c r="I147" t="str">
        <f>IF('Master Sheet'!C148="Area 2 (Viswakala S)",'Master Sheet'!I148,"")</f>
        <v/>
      </c>
      <c r="J147" t="str">
        <f>IF('Master Sheet'!C148="Area 2 (Viswakala S)",'Master Sheet'!J148,"")</f>
        <v/>
      </c>
      <c r="K147" t="str">
        <f>IF('Master Sheet'!C148="Area 2 (Viswakala S)",'Master Sheet'!K148,"")</f>
        <v/>
      </c>
      <c r="L147" t="str">
        <f>IF('Master Sheet'!C148="Area 2 (Viswakala S)",'Master Sheet'!L148,"")</f>
        <v/>
      </c>
      <c r="M147" t="str">
        <f>IF('Master Sheet'!C148="Area 2 (Viswakala S)",'Master Sheet'!M148,"")</f>
        <v/>
      </c>
      <c r="N147" t="str">
        <f>IF('Master Sheet'!C148="Area 2 (Viswakala S)",'Master Sheet'!N148,"")</f>
        <v/>
      </c>
      <c r="O147" t="str">
        <f>IF('Master Sheet'!C148="Area 2 (Viswakala S)",'Master Sheet'!O148,"")</f>
        <v/>
      </c>
      <c r="P147" t="str">
        <f>IF('Master Sheet'!C148="Area 2 (Viswakala S)",'Master Sheet'!P148,"")</f>
        <v/>
      </c>
    </row>
    <row r="148" spans="1:16" hidden="1" x14ac:dyDescent="0.25">
      <c r="A148" t="str">
        <f>IF('Master Sheet'!C149="Area 2 (Viswakala S)",'Master Sheet'!A149,"")</f>
        <v/>
      </c>
      <c r="B148" t="str">
        <f>IF('Master Sheet'!C149="Area 2 (Viswakala S)",'Master Sheet'!B149,"")</f>
        <v/>
      </c>
      <c r="C148" t="s">
        <v>5</v>
      </c>
      <c r="D148" t="str">
        <f>IF('Master Sheet'!C149="Area 2 (Viswakala S)",'Master Sheet'!D149,"")</f>
        <v/>
      </c>
      <c r="E148" t="str">
        <f>IF('Master Sheet'!C149="Area 2 (Viswakala S)",'Master Sheet'!E149,"")</f>
        <v/>
      </c>
      <c r="F148" t="str">
        <f>IF('Master Sheet'!C149="Area 2 (Viswakala S)",'Master Sheet'!F149,"")</f>
        <v/>
      </c>
      <c r="G148" t="str">
        <f>IF('Master Sheet'!C149="Area 2 (Viswakala S)",'Master Sheet'!G149,"")</f>
        <v/>
      </c>
      <c r="H148" t="str">
        <f>IF('Master Sheet'!C149="Area 2 (Viswakala S)",'Master Sheet'!H149,"")</f>
        <v/>
      </c>
      <c r="I148" t="str">
        <f>IF('Master Sheet'!C149="Area 2 (Viswakala S)",'Master Sheet'!I149,"")</f>
        <v/>
      </c>
      <c r="J148" t="str">
        <f>IF('Master Sheet'!C149="Area 2 (Viswakala S)",'Master Sheet'!J149,"")</f>
        <v/>
      </c>
      <c r="K148" t="str">
        <f>IF('Master Sheet'!C149="Area 2 (Viswakala S)",'Master Sheet'!K149,"")</f>
        <v/>
      </c>
      <c r="L148" t="str">
        <f>IF('Master Sheet'!C149="Area 2 (Viswakala S)",'Master Sheet'!L149,"")</f>
        <v/>
      </c>
      <c r="M148" t="str">
        <f>IF('Master Sheet'!C149="Area 2 (Viswakala S)",'Master Sheet'!M149,"")</f>
        <v/>
      </c>
      <c r="N148" t="str">
        <f>IF('Master Sheet'!C149="Area 2 (Viswakala S)",'Master Sheet'!N149,"")</f>
        <v/>
      </c>
      <c r="O148" t="str">
        <f>IF('Master Sheet'!C149="Area 2 (Viswakala S)",'Master Sheet'!O149,"")</f>
        <v/>
      </c>
      <c r="P148" t="str">
        <f>IF('Master Sheet'!C149="Area 2 (Viswakala S)",'Master Sheet'!P149,"")</f>
        <v/>
      </c>
    </row>
    <row r="149" spans="1:16" hidden="1" x14ac:dyDescent="0.25">
      <c r="A149" t="str">
        <f>IF('Master Sheet'!C150="Area 2 (Viswakala S)",'Master Sheet'!A150,"")</f>
        <v/>
      </c>
      <c r="B149" t="str">
        <f>IF('Master Sheet'!C150="Area 2 (Viswakala S)",'Master Sheet'!B150,"")</f>
        <v/>
      </c>
      <c r="C149" t="s">
        <v>5</v>
      </c>
      <c r="D149" t="str">
        <f>IF('Master Sheet'!C150="Area 2 (Viswakala S)",'Master Sheet'!D150,"")</f>
        <v/>
      </c>
      <c r="E149" t="str">
        <f>IF('Master Sheet'!C150="Area 2 (Viswakala S)",'Master Sheet'!E150,"")</f>
        <v/>
      </c>
      <c r="F149" t="str">
        <f>IF('Master Sheet'!C150="Area 2 (Viswakala S)",'Master Sheet'!F150,"")</f>
        <v/>
      </c>
      <c r="G149" t="str">
        <f>IF('Master Sheet'!C150="Area 2 (Viswakala S)",'Master Sheet'!G150,"")</f>
        <v/>
      </c>
      <c r="H149" t="str">
        <f>IF('Master Sheet'!C150="Area 2 (Viswakala S)",'Master Sheet'!H150,"")</f>
        <v/>
      </c>
      <c r="I149" t="str">
        <f>IF('Master Sheet'!C150="Area 2 (Viswakala S)",'Master Sheet'!I150,"")</f>
        <v/>
      </c>
      <c r="J149" t="str">
        <f>IF('Master Sheet'!C150="Area 2 (Viswakala S)",'Master Sheet'!J150,"")</f>
        <v/>
      </c>
      <c r="K149" t="str">
        <f>IF('Master Sheet'!C150="Area 2 (Viswakala S)",'Master Sheet'!K150,"")</f>
        <v/>
      </c>
      <c r="L149" t="str">
        <f>IF('Master Sheet'!C150="Area 2 (Viswakala S)",'Master Sheet'!L150,"")</f>
        <v/>
      </c>
      <c r="M149" t="str">
        <f>IF('Master Sheet'!C150="Area 2 (Viswakala S)",'Master Sheet'!M150,"")</f>
        <v/>
      </c>
      <c r="N149" t="str">
        <f>IF('Master Sheet'!C150="Area 2 (Viswakala S)",'Master Sheet'!N150,"")</f>
        <v/>
      </c>
      <c r="O149" t="str">
        <f>IF('Master Sheet'!C150="Area 2 (Viswakala S)",'Master Sheet'!O150,"")</f>
        <v/>
      </c>
      <c r="P149" t="str">
        <f>IF('Master Sheet'!C150="Area 2 (Viswakala S)",'Master Sheet'!P150,"")</f>
        <v/>
      </c>
    </row>
    <row r="150" spans="1:16" hidden="1" x14ac:dyDescent="0.25">
      <c r="A150" t="str">
        <f>IF('Master Sheet'!C151="Area 2 (Viswakala S)",'Master Sheet'!A151,"")</f>
        <v/>
      </c>
      <c r="B150" t="str">
        <f>IF('Master Sheet'!C151="Area 2 (Viswakala S)",'Master Sheet'!B151,"")</f>
        <v/>
      </c>
      <c r="C150" t="s">
        <v>5</v>
      </c>
      <c r="D150" t="str">
        <f>IF('Master Sheet'!C151="Area 2 (Viswakala S)",'Master Sheet'!D151,"")</f>
        <v/>
      </c>
      <c r="E150" t="str">
        <f>IF('Master Sheet'!C151="Area 2 (Viswakala S)",'Master Sheet'!E151,"")</f>
        <v/>
      </c>
      <c r="F150" t="str">
        <f>IF('Master Sheet'!C151="Area 2 (Viswakala S)",'Master Sheet'!F151,"")</f>
        <v/>
      </c>
      <c r="G150" t="str">
        <f>IF('Master Sheet'!C151="Area 2 (Viswakala S)",'Master Sheet'!G151,"")</f>
        <v/>
      </c>
      <c r="H150" t="str">
        <f>IF('Master Sheet'!C151="Area 2 (Viswakala S)",'Master Sheet'!H151,"")</f>
        <v/>
      </c>
      <c r="I150" t="str">
        <f>IF('Master Sheet'!C151="Area 2 (Viswakala S)",'Master Sheet'!I151,"")</f>
        <v/>
      </c>
      <c r="J150" t="str">
        <f>IF('Master Sheet'!C151="Area 2 (Viswakala S)",'Master Sheet'!J151,"")</f>
        <v/>
      </c>
      <c r="K150" t="str">
        <f>IF('Master Sheet'!C151="Area 2 (Viswakala S)",'Master Sheet'!K151,"")</f>
        <v/>
      </c>
      <c r="L150" t="str">
        <f>IF('Master Sheet'!C151="Area 2 (Viswakala S)",'Master Sheet'!L151,"")</f>
        <v/>
      </c>
      <c r="M150" t="str">
        <f>IF('Master Sheet'!C151="Area 2 (Viswakala S)",'Master Sheet'!M151,"")</f>
        <v/>
      </c>
      <c r="N150" t="str">
        <f>IF('Master Sheet'!C151="Area 2 (Viswakala S)",'Master Sheet'!N151,"")</f>
        <v/>
      </c>
      <c r="O150" t="str">
        <f>IF('Master Sheet'!C151="Area 2 (Viswakala S)",'Master Sheet'!O151,"")</f>
        <v/>
      </c>
      <c r="P150" t="str">
        <f>IF('Master Sheet'!C151="Area 2 (Viswakala S)",'Master Sheet'!P151,"")</f>
        <v/>
      </c>
    </row>
    <row r="151" spans="1:16" hidden="1" x14ac:dyDescent="0.25">
      <c r="A151" t="str">
        <f>IF('Master Sheet'!C152="Area 2 (Viswakala S)",'Master Sheet'!A152,"")</f>
        <v/>
      </c>
      <c r="B151" t="str">
        <f>IF('Master Sheet'!C152="Area 2 (Viswakala S)",'Master Sheet'!B152,"")</f>
        <v/>
      </c>
      <c r="C151" t="s">
        <v>5</v>
      </c>
      <c r="D151" t="str">
        <f>IF('Master Sheet'!C152="Area 2 (Viswakala S)",'Master Sheet'!D152,"")</f>
        <v/>
      </c>
      <c r="E151" t="str">
        <f>IF('Master Sheet'!C152="Area 2 (Viswakala S)",'Master Sheet'!E152,"")</f>
        <v/>
      </c>
      <c r="F151" t="str">
        <f>IF('Master Sheet'!C152="Area 2 (Viswakala S)",'Master Sheet'!F152,"")</f>
        <v/>
      </c>
      <c r="G151" t="str">
        <f>IF('Master Sheet'!C152="Area 2 (Viswakala S)",'Master Sheet'!G152,"")</f>
        <v/>
      </c>
      <c r="H151" t="str">
        <f>IF('Master Sheet'!C152="Area 2 (Viswakala S)",'Master Sheet'!H152,"")</f>
        <v/>
      </c>
      <c r="I151" t="str">
        <f>IF('Master Sheet'!C152="Area 2 (Viswakala S)",'Master Sheet'!I152,"")</f>
        <v/>
      </c>
      <c r="J151" t="str">
        <f>IF('Master Sheet'!C152="Area 2 (Viswakala S)",'Master Sheet'!J152,"")</f>
        <v/>
      </c>
      <c r="K151" t="str">
        <f>IF('Master Sheet'!C152="Area 2 (Viswakala S)",'Master Sheet'!K152,"")</f>
        <v/>
      </c>
      <c r="L151" t="str">
        <f>IF('Master Sheet'!C152="Area 2 (Viswakala S)",'Master Sheet'!L152,"")</f>
        <v/>
      </c>
      <c r="M151" t="str">
        <f>IF('Master Sheet'!C152="Area 2 (Viswakala S)",'Master Sheet'!M152,"")</f>
        <v/>
      </c>
      <c r="N151" t="str">
        <f>IF('Master Sheet'!C152="Area 2 (Viswakala S)",'Master Sheet'!N152,"")</f>
        <v/>
      </c>
      <c r="O151" t="str">
        <f>IF('Master Sheet'!C152="Area 2 (Viswakala S)",'Master Sheet'!O152,"")</f>
        <v/>
      </c>
      <c r="P151" t="str">
        <f>IF('Master Sheet'!C152="Area 2 (Viswakala S)",'Master Sheet'!P152,"")</f>
        <v/>
      </c>
    </row>
    <row r="152" spans="1:16" ht="15.75" x14ac:dyDescent="0.25">
      <c r="A152" s="2"/>
      <c r="B152" s="32"/>
      <c r="D152" s="33">
        <f>SUBTOTAL(9,D33:D151)</f>
        <v>1200</v>
      </c>
      <c r="E152" s="33">
        <f t="shared" ref="E152:M152" si="0">SUBTOTAL(9,E33:E151)</f>
        <v>2300</v>
      </c>
      <c r="F152" s="33">
        <f t="shared" si="0"/>
        <v>2400</v>
      </c>
      <c r="G152" s="33">
        <f t="shared" si="0"/>
        <v>2700</v>
      </c>
      <c r="H152" s="33">
        <f t="shared" si="0"/>
        <v>0</v>
      </c>
      <c r="I152" s="33">
        <f t="shared" si="0"/>
        <v>0</v>
      </c>
      <c r="J152" s="33">
        <f t="shared" si="0"/>
        <v>0</v>
      </c>
      <c r="K152" s="33">
        <f t="shared" si="0"/>
        <v>0</v>
      </c>
      <c r="L152" s="33">
        <f t="shared" si="0"/>
        <v>0</v>
      </c>
      <c r="M152" s="33">
        <f t="shared" si="0"/>
        <v>0</v>
      </c>
      <c r="N152" s="30">
        <f>D152+E152+F152+G152+H152+I152+J152+K152+L152+M152</f>
        <v>8600</v>
      </c>
      <c r="O152" s="33"/>
      <c r="P152" s="2"/>
    </row>
  </sheetData>
  <autoFilter ref="A1:A151">
    <filterColumn colId="0">
      <customFilters>
        <customFilter operator="notEqual" val=" "/>
      </customFilters>
    </filterColumn>
  </autoFilter>
  <printOptions horizontalCentered="1"/>
  <pageMargins left="0.75" right="0.75" top="1" bottom="1" header="0.5" footer="0.5"/>
  <pageSetup paperSize="8" scale="11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52"/>
  <sheetViews>
    <sheetView zoomScale="85" zoomScaleNormal="85" workbookViewId="0">
      <pane ySplit="42" topLeftCell="A55" activePane="bottomLeft" state="frozen"/>
      <selection pane="bottomLeft" activeCell="M158" sqref="M158"/>
    </sheetView>
  </sheetViews>
  <sheetFormatPr defaultRowHeight="15" x14ac:dyDescent="0.25"/>
  <cols>
    <col min="1" max="1" width="12.42578125" customWidth="1"/>
    <col min="2" max="2" width="30.28515625" style="11" customWidth="1"/>
    <col min="3" max="3" width="4.42578125" hidden="1" customWidth="1"/>
    <col min="4" max="13" width="8.85546875" style="1"/>
    <col min="14" max="14" width="12.140625" style="1" customWidth="1"/>
    <col min="15" max="15" width="11.85546875" style="1" customWidth="1"/>
    <col min="16" max="16" width="11.140625" style="1" customWidth="1"/>
  </cols>
  <sheetData>
    <row r="1" spans="1:16" s="8" customFormat="1" ht="19.899999999999999" customHeight="1" x14ac:dyDescent="0.25">
      <c r="A1" s="18" t="s">
        <v>11</v>
      </c>
      <c r="B1" s="19" t="s">
        <v>12</v>
      </c>
      <c r="C1" s="20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21" t="s">
        <v>23</v>
      </c>
      <c r="N1" s="21" t="s">
        <v>24</v>
      </c>
      <c r="O1" s="21" t="s">
        <v>25</v>
      </c>
      <c r="P1" s="21" t="s">
        <v>26</v>
      </c>
    </row>
    <row r="2" spans="1:16" hidden="1" x14ac:dyDescent="0.25">
      <c r="A2" t="str">
        <f>IF('Master Sheet'!C3="Area 3 (Saranya R)",'Master Sheet'!A3,"")</f>
        <v/>
      </c>
      <c r="B2" t="str">
        <f>IF('Master Sheet'!C3="Area 3 (Saranya R)",'Master Sheet'!B3,"")</f>
        <v/>
      </c>
      <c r="C2" t="s">
        <v>6</v>
      </c>
      <c r="D2" t="str">
        <f>IF('Master Sheet'!C3="Area 3 (Saranya R)",'Master Sheet'!D3,"")</f>
        <v/>
      </c>
      <c r="E2" t="str">
        <f>IF('Master Sheet'!C3="Area 3 (Saranya R)",'Master Sheet'!E3,"")</f>
        <v/>
      </c>
      <c r="F2" t="str">
        <f>IF('Master Sheet'!C3="Area 3 (Saranya R)",'Master Sheet'!F3,"")</f>
        <v/>
      </c>
      <c r="G2" t="str">
        <f>IF('Master Sheet'!C3="Area 3 (Saranya R)",'Master Sheet'!G3,"")</f>
        <v/>
      </c>
      <c r="H2" t="str">
        <f>IF('Master Sheet'!C3="Area 3 (Saranya R)",'Master Sheet'!H3,"")</f>
        <v/>
      </c>
      <c r="I2" t="str">
        <f>IF('Master Sheet'!C3="Area 3 (Saranya R)",'Master Sheet'!I3,"")</f>
        <v/>
      </c>
      <c r="J2" t="str">
        <f>IF('Master Sheet'!C3="Area 3 (Saranya R)",'Master Sheet'!J3,"")</f>
        <v/>
      </c>
      <c r="K2" t="str">
        <f>IF('Master Sheet'!C3="Area 3 (Saranya R)",'Master Sheet'!K3,"")</f>
        <v/>
      </c>
      <c r="L2" t="str">
        <f>IF('Master Sheet'!C3="Area 3 (Saranya R)",'Master Sheet'!L3,"")</f>
        <v/>
      </c>
      <c r="M2" t="str">
        <f>IF('Master Sheet'!C3="Area 3 (Saranya R)",'Master Sheet'!M3,"")</f>
        <v/>
      </c>
      <c r="N2" t="str">
        <f>IF('Master Sheet'!C3="Area 3 (Saranya R)",'Master Sheet'!N3,"")</f>
        <v/>
      </c>
      <c r="O2" t="str">
        <f>IF('Master Sheet'!C3="Area 3 (Saranya R)",'Master Sheet'!O3,"")</f>
        <v/>
      </c>
      <c r="P2" t="str">
        <f>IF('Master Sheet'!C3="Area 3 (Saranya R)",'Master Sheet'!P3,"")</f>
        <v/>
      </c>
    </row>
    <row r="3" spans="1:16" hidden="1" x14ac:dyDescent="0.25">
      <c r="A3" t="str">
        <f>IF('Master Sheet'!C4="Area 3 (Saranya R)",'Master Sheet'!A4,"")</f>
        <v/>
      </c>
      <c r="B3" t="str">
        <f>IF('Master Sheet'!C4="Area 3 (Saranya R)",'Master Sheet'!B4,"")</f>
        <v/>
      </c>
      <c r="C3" t="s">
        <v>6</v>
      </c>
      <c r="D3" t="str">
        <f>IF('Master Sheet'!C4="Area 3 (Saranya R)",'Master Sheet'!D4,"")</f>
        <v/>
      </c>
      <c r="E3" t="str">
        <f>IF('Master Sheet'!C4="Area 3 (Saranya R)",'Master Sheet'!E4,"")</f>
        <v/>
      </c>
      <c r="F3" t="str">
        <f>IF('Master Sheet'!C4="Area 3 (Saranya R)",'Master Sheet'!F4,"")</f>
        <v/>
      </c>
      <c r="G3" t="str">
        <f>IF('Master Sheet'!C4="Area 3 (Saranya R)",'Master Sheet'!G4,"")</f>
        <v/>
      </c>
      <c r="H3" t="str">
        <f>IF('Master Sheet'!C4="Area 3 (Saranya R)",'Master Sheet'!H4,"")</f>
        <v/>
      </c>
      <c r="I3" t="str">
        <f>IF('Master Sheet'!C4="Area 3 (Saranya R)",'Master Sheet'!I4,"")</f>
        <v/>
      </c>
      <c r="J3" t="str">
        <f>IF('Master Sheet'!C4="Area 3 (Saranya R)",'Master Sheet'!J4,"")</f>
        <v/>
      </c>
      <c r="K3" t="str">
        <f>IF('Master Sheet'!C4="Area 3 (Saranya R)",'Master Sheet'!K4,"")</f>
        <v/>
      </c>
      <c r="L3" t="str">
        <f>IF('Master Sheet'!C4="Area 3 (Saranya R)",'Master Sheet'!L4,"")</f>
        <v/>
      </c>
      <c r="M3" t="str">
        <f>IF('Master Sheet'!C4="Area 3 (Saranya R)",'Master Sheet'!M4,"")</f>
        <v/>
      </c>
      <c r="N3" t="str">
        <f>IF('Master Sheet'!C4="Area 3 (Saranya R)",'Master Sheet'!N4,"")</f>
        <v/>
      </c>
      <c r="O3" t="str">
        <f>IF('Master Sheet'!C4="Area 3 (Saranya R)",'Master Sheet'!O4,"")</f>
        <v/>
      </c>
      <c r="P3" t="str">
        <f>IF('Master Sheet'!C4="Area 3 (Saranya R)",'Master Sheet'!P4,"")</f>
        <v/>
      </c>
    </row>
    <row r="4" spans="1:16" hidden="1" x14ac:dyDescent="0.25">
      <c r="A4" t="str">
        <f>IF('Master Sheet'!C5="Area 3 (Saranya R)",'Master Sheet'!A5,"")</f>
        <v/>
      </c>
      <c r="B4" t="str">
        <f>IF('Master Sheet'!C5="Area 3 (Saranya R)",'Master Sheet'!B5,"")</f>
        <v/>
      </c>
      <c r="C4" t="s">
        <v>6</v>
      </c>
      <c r="D4" t="str">
        <f>IF('Master Sheet'!C5="Area 3 (Saranya R)",'Master Sheet'!D5,"")</f>
        <v/>
      </c>
      <c r="E4" t="str">
        <f>IF('Master Sheet'!C5="Area 3 (Saranya R)",'Master Sheet'!E5,"")</f>
        <v/>
      </c>
      <c r="F4" t="str">
        <f>IF('Master Sheet'!C5="Area 3 (Saranya R)",'Master Sheet'!F5,"")</f>
        <v/>
      </c>
      <c r="G4" t="str">
        <f>IF('Master Sheet'!C5="Area 3 (Saranya R)",'Master Sheet'!G5,"")</f>
        <v/>
      </c>
      <c r="H4" t="str">
        <f>IF('Master Sheet'!C5="Area 3 (Saranya R)",'Master Sheet'!H5,"")</f>
        <v/>
      </c>
      <c r="I4" t="str">
        <f>IF('Master Sheet'!C5="Area 3 (Saranya R)",'Master Sheet'!I5,"")</f>
        <v/>
      </c>
      <c r="J4" t="str">
        <f>IF('Master Sheet'!C5="Area 3 (Saranya R)",'Master Sheet'!J5,"")</f>
        <v/>
      </c>
      <c r="K4" t="str">
        <f>IF('Master Sheet'!C5="Area 3 (Saranya R)",'Master Sheet'!K5,"")</f>
        <v/>
      </c>
      <c r="L4" t="str">
        <f>IF('Master Sheet'!C5="Area 3 (Saranya R)",'Master Sheet'!L5,"")</f>
        <v/>
      </c>
      <c r="M4" t="str">
        <f>IF('Master Sheet'!C5="Area 3 (Saranya R)",'Master Sheet'!M5,"")</f>
        <v/>
      </c>
      <c r="N4" t="str">
        <f>IF('Master Sheet'!C5="Area 3 (Saranya R)",'Master Sheet'!N5,"")</f>
        <v/>
      </c>
      <c r="O4" t="str">
        <f>IF('Master Sheet'!C5="Area 3 (Saranya R)",'Master Sheet'!O5,"")</f>
        <v/>
      </c>
      <c r="P4" t="str">
        <f>IF('Master Sheet'!C5="Area 3 (Saranya R)",'Master Sheet'!P5,"")</f>
        <v/>
      </c>
    </row>
    <row r="5" spans="1:16" hidden="1" x14ac:dyDescent="0.25">
      <c r="A5" t="str">
        <f>IF('Master Sheet'!C6="Area 3 (Saranya R)",'Master Sheet'!A6,"")</f>
        <v/>
      </c>
      <c r="B5" t="str">
        <f>IF('Master Sheet'!C6="Area 3 (Saranya R)",'Master Sheet'!B6,"")</f>
        <v/>
      </c>
      <c r="C5" t="s">
        <v>6</v>
      </c>
      <c r="D5" t="str">
        <f>IF('Master Sheet'!C6="Area 3 (Saranya R)",'Master Sheet'!D6,"")</f>
        <v/>
      </c>
      <c r="E5" t="str">
        <f>IF('Master Sheet'!C6="Area 3 (Saranya R)",'Master Sheet'!E6,"")</f>
        <v/>
      </c>
      <c r="F5" t="str">
        <f>IF('Master Sheet'!C6="Area 3 (Saranya R)",'Master Sheet'!F6,"")</f>
        <v/>
      </c>
      <c r="G5" t="str">
        <f>IF('Master Sheet'!C6="Area 3 (Saranya R)",'Master Sheet'!G6,"")</f>
        <v/>
      </c>
      <c r="H5" t="str">
        <f>IF('Master Sheet'!C6="Area 3 (Saranya R)",'Master Sheet'!H6,"")</f>
        <v/>
      </c>
      <c r="I5" t="str">
        <f>IF('Master Sheet'!C6="Area 3 (Saranya R)",'Master Sheet'!I6,"")</f>
        <v/>
      </c>
      <c r="J5" t="str">
        <f>IF('Master Sheet'!C6="Area 3 (Saranya R)",'Master Sheet'!J6,"")</f>
        <v/>
      </c>
      <c r="K5" t="str">
        <f>IF('Master Sheet'!C6="Area 3 (Saranya R)",'Master Sheet'!K6,"")</f>
        <v/>
      </c>
      <c r="L5" t="str">
        <f>IF('Master Sheet'!C6="Area 3 (Saranya R)",'Master Sheet'!L6,"")</f>
        <v/>
      </c>
      <c r="M5" t="str">
        <f>IF('Master Sheet'!C6="Area 3 (Saranya R)",'Master Sheet'!M6,"")</f>
        <v/>
      </c>
      <c r="N5" t="str">
        <f>IF('Master Sheet'!C6="Area 3 (Saranya R)",'Master Sheet'!N6,"")</f>
        <v/>
      </c>
      <c r="O5" t="str">
        <f>IF('Master Sheet'!C6="Area 3 (Saranya R)",'Master Sheet'!O6,"")</f>
        <v/>
      </c>
      <c r="P5" t="str">
        <f>IF('Master Sheet'!C6="Area 3 (Saranya R)",'Master Sheet'!P6,"")</f>
        <v/>
      </c>
    </row>
    <row r="6" spans="1:16" hidden="1" x14ac:dyDescent="0.25">
      <c r="A6" t="str">
        <f>IF('Master Sheet'!C7="Area 3 (Saranya R)",'Master Sheet'!A7,"")</f>
        <v/>
      </c>
      <c r="B6" t="str">
        <f>IF('Master Sheet'!C7="Area 3 (Saranya R)",'Master Sheet'!B7,"")</f>
        <v/>
      </c>
      <c r="C6" t="s">
        <v>6</v>
      </c>
      <c r="D6" t="str">
        <f>IF('Master Sheet'!C7="Area 3 (Saranya R)",'Master Sheet'!D7,"")</f>
        <v/>
      </c>
      <c r="E6" t="str">
        <f>IF('Master Sheet'!C7="Area 3 (Saranya R)",'Master Sheet'!E7,"")</f>
        <v/>
      </c>
      <c r="F6" t="str">
        <f>IF('Master Sheet'!C7="Area 3 (Saranya R)",'Master Sheet'!F7,"")</f>
        <v/>
      </c>
      <c r="G6" t="str">
        <f>IF('Master Sheet'!C7="Area 3 (Saranya R)",'Master Sheet'!G7,"")</f>
        <v/>
      </c>
      <c r="H6" t="str">
        <f>IF('Master Sheet'!C7="Area 3 (Saranya R)",'Master Sheet'!H7,"")</f>
        <v/>
      </c>
      <c r="I6" t="str">
        <f>IF('Master Sheet'!C7="Area 3 (Saranya R)",'Master Sheet'!I7,"")</f>
        <v/>
      </c>
      <c r="J6" t="str">
        <f>IF('Master Sheet'!C7="Area 3 (Saranya R)",'Master Sheet'!J7,"")</f>
        <v/>
      </c>
      <c r="K6" t="str">
        <f>IF('Master Sheet'!C7="Area 3 (Saranya R)",'Master Sheet'!K7,"")</f>
        <v/>
      </c>
      <c r="L6" t="str">
        <f>IF('Master Sheet'!C7="Area 3 (Saranya R)",'Master Sheet'!L7,"")</f>
        <v/>
      </c>
      <c r="M6" t="str">
        <f>IF('Master Sheet'!C7="Area 3 (Saranya R)",'Master Sheet'!M7,"")</f>
        <v/>
      </c>
      <c r="N6" t="str">
        <f>IF('Master Sheet'!C7="Area 3 (Saranya R)",'Master Sheet'!N7,"")</f>
        <v/>
      </c>
      <c r="O6" t="str">
        <f>IF('Master Sheet'!C7="Area 3 (Saranya R)",'Master Sheet'!O7,"")</f>
        <v/>
      </c>
      <c r="P6" t="str">
        <f>IF('Master Sheet'!C7="Area 3 (Saranya R)",'Master Sheet'!P7,"")</f>
        <v/>
      </c>
    </row>
    <row r="7" spans="1:16" hidden="1" x14ac:dyDescent="0.25">
      <c r="A7" t="str">
        <f>IF('Master Sheet'!C8="Area 3 (Saranya R)",'Master Sheet'!A8,"")</f>
        <v/>
      </c>
      <c r="B7" t="str">
        <f>IF('Master Sheet'!C8="Area 3 (Saranya R)",'Master Sheet'!B8,"")</f>
        <v/>
      </c>
      <c r="C7" t="s">
        <v>6</v>
      </c>
      <c r="D7" t="str">
        <f>IF('Master Sheet'!C8="Area 3 (Saranya R)",'Master Sheet'!D8,"")</f>
        <v/>
      </c>
      <c r="E7" t="str">
        <f>IF('Master Sheet'!C8="Area 3 (Saranya R)",'Master Sheet'!E8,"")</f>
        <v/>
      </c>
      <c r="F7" t="str">
        <f>IF('Master Sheet'!C8="Area 3 (Saranya R)",'Master Sheet'!F8,"")</f>
        <v/>
      </c>
      <c r="G7" t="str">
        <f>IF('Master Sheet'!C8="Area 3 (Saranya R)",'Master Sheet'!G8,"")</f>
        <v/>
      </c>
      <c r="H7" t="str">
        <f>IF('Master Sheet'!C8="Area 3 (Saranya R)",'Master Sheet'!H8,"")</f>
        <v/>
      </c>
      <c r="I7" t="str">
        <f>IF('Master Sheet'!C8="Area 3 (Saranya R)",'Master Sheet'!I8,"")</f>
        <v/>
      </c>
      <c r="J7" t="str">
        <f>IF('Master Sheet'!C8="Area 3 (Saranya R)",'Master Sheet'!J8,"")</f>
        <v/>
      </c>
      <c r="K7" t="str">
        <f>IF('Master Sheet'!C8="Area 3 (Saranya R)",'Master Sheet'!K8,"")</f>
        <v/>
      </c>
      <c r="L7" t="str">
        <f>IF('Master Sheet'!C8="Area 3 (Saranya R)",'Master Sheet'!L8,"")</f>
        <v/>
      </c>
      <c r="M7" t="str">
        <f>IF('Master Sheet'!C8="Area 3 (Saranya R)",'Master Sheet'!M8,"")</f>
        <v/>
      </c>
      <c r="N7" t="str">
        <f>IF('Master Sheet'!C8="Area 3 (Saranya R)",'Master Sheet'!N8,"")</f>
        <v/>
      </c>
      <c r="O7" t="str">
        <f>IF('Master Sheet'!C8="Area 3 (Saranya R)",'Master Sheet'!O8,"")</f>
        <v/>
      </c>
      <c r="P7" t="str">
        <f>IF('Master Sheet'!C8="Area 3 (Saranya R)",'Master Sheet'!P8,"")</f>
        <v/>
      </c>
    </row>
    <row r="8" spans="1:16" hidden="1" x14ac:dyDescent="0.25">
      <c r="A8" t="str">
        <f>IF('Master Sheet'!C9="Area 3 (Saranya R)",'Master Sheet'!A9,"")</f>
        <v/>
      </c>
      <c r="B8" t="str">
        <f>IF('Master Sheet'!C9="Area 3 (Saranya R)",'Master Sheet'!B9,"")</f>
        <v/>
      </c>
      <c r="C8" t="s">
        <v>6</v>
      </c>
      <c r="D8" t="str">
        <f>IF('Master Sheet'!C9="Area 3 (Saranya R)",'Master Sheet'!D9,"")</f>
        <v/>
      </c>
      <c r="E8" t="str">
        <f>IF('Master Sheet'!C9="Area 3 (Saranya R)",'Master Sheet'!E9,"")</f>
        <v/>
      </c>
      <c r="F8" t="str">
        <f>IF('Master Sheet'!C9="Area 3 (Saranya R)",'Master Sheet'!F9,"")</f>
        <v/>
      </c>
      <c r="G8" t="str">
        <f>IF('Master Sheet'!C9="Area 3 (Saranya R)",'Master Sheet'!G9,"")</f>
        <v/>
      </c>
      <c r="H8" t="str">
        <f>IF('Master Sheet'!C9="Area 3 (Saranya R)",'Master Sheet'!H9,"")</f>
        <v/>
      </c>
      <c r="I8" t="str">
        <f>IF('Master Sheet'!C9="Area 3 (Saranya R)",'Master Sheet'!I9,"")</f>
        <v/>
      </c>
      <c r="J8" t="str">
        <f>IF('Master Sheet'!C9="Area 3 (Saranya R)",'Master Sheet'!J9,"")</f>
        <v/>
      </c>
      <c r="K8" t="str">
        <f>IF('Master Sheet'!C9="Area 3 (Saranya R)",'Master Sheet'!K9,"")</f>
        <v/>
      </c>
      <c r="L8" t="str">
        <f>IF('Master Sheet'!C9="Area 3 (Saranya R)",'Master Sheet'!L9,"")</f>
        <v/>
      </c>
      <c r="M8" t="str">
        <f>IF('Master Sheet'!C9="Area 3 (Saranya R)",'Master Sheet'!M9,"")</f>
        <v/>
      </c>
      <c r="N8" t="str">
        <f>IF('Master Sheet'!C9="Area 3 (Saranya R)",'Master Sheet'!N9,"")</f>
        <v/>
      </c>
      <c r="O8" t="str">
        <f>IF('Master Sheet'!C9="Area 3 (Saranya R)",'Master Sheet'!O9,"")</f>
        <v/>
      </c>
      <c r="P8" t="str">
        <f>IF('Master Sheet'!C9="Area 3 (Saranya R)",'Master Sheet'!P9,"")</f>
        <v/>
      </c>
    </row>
    <row r="9" spans="1:16" hidden="1" x14ac:dyDescent="0.25">
      <c r="A9" t="str">
        <f>IF('Master Sheet'!C10="Area 3 (Saranya R)",'Master Sheet'!A10,"")</f>
        <v/>
      </c>
      <c r="B9" t="str">
        <f>IF('Master Sheet'!C10="Area 3 (Saranya R)",'Master Sheet'!B10,"")</f>
        <v/>
      </c>
      <c r="C9" t="s">
        <v>6</v>
      </c>
      <c r="D9" t="str">
        <f>IF('Master Sheet'!C10="Area 3 (Saranya R)",'Master Sheet'!D10,"")</f>
        <v/>
      </c>
      <c r="E9" t="str">
        <f>IF('Master Sheet'!C10="Area 3 (Saranya R)",'Master Sheet'!E10,"")</f>
        <v/>
      </c>
      <c r="F9" t="str">
        <f>IF('Master Sheet'!C10="Area 3 (Saranya R)",'Master Sheet'!F10,"")</f>
        <v/>
      </c>
      <c r="G9" t="str">
        <f>IF('Master Sheet'!C10="Area 3 (Saranya R)",'Master Sheet'!G10,"")</f>
        <v/>
      </c>
      <c r="H9" t="str">
        <f>IF('Master Sheet'!C10="Area 3 (Saranya R)",'Master Sheet'!H10,"")</f>
        <v/>
      </c>
      <c r="I9" t="str">
        <f>IF('Master Sheet'!C10="Area 3 (Saranya R)",'Master Sheet'!I10,"")</f>
        <v/>
      </c>
      <c r="J9" t="str">
        <f>IF('Master Sheet'!C10="Area 3 (Saranya R)",'Master Sheet'!J10,"")</f>
        <v/>
      </c>
      <c r="K9" t="str">
        <f>IF('Master Sheet'!C10="Area 3 (Saranya R)",'Master Sheet'!K10,"")</f>
        <v/>
      </c>
      <c r="L9" t="str">
        <f>IF('Master Sheet'!C10="Area 3 (Saranya R)",'Master Sheet'!L10,"")</f>
        <v/>
      </c>
      <c r="M9" t="str">
        <f>IF('Master Sheet'!C10="Area 3 (Saranya R)",'Master Sheet'!M10,"")</f>
        <v/>
      </c>
      <c r="N9" t="str">
        <f>IF('Master Sheet'!C10="Area 3 (Saranya R)",'Master Sheet'!N10,"")</f>
        <v/>
      </c>
      <c r="O9" t="str">
        <f>IF('Master Sheet'!C10="Area 3 (Saranya R)",'Master Sheet'!O10,"")</f>
        <v/>
      </c>
      <c r="P9" t="str">
        <f>IF('Master Sheet'!C10="Area 3 (Saranya R)",'Master Sheet'!P10,"")</f>
        <v/>
      </c>
    </row>
    <row r="10" spans="1:16" hidden="1" x14ac:dyDescent="0.25">
      <c r="A10" t="str">
        <f>IF('Master Sheet'!C11="Area 3 (Saranya R)",'Master Sheet'!A11,"")</f>
        <v/>
      </c>
      <c r="B10" t="str">
        <f>IF('Master Sheet'!C11="Area 3 (Saranya R)",'Master Sheet'!B11,"")</f>
        <v/>
      </c>
      <c r="C10" t="s">
        <v>6</v>
      </c>
      <c r="D10" t="str">
        <f>IF('Master Sheet'!C11="Area 3 (Saranya R)",'Master Sheet'!D11,"")</f>
        <v/>
      </c>
      <c r="E10" t="str">
        <f>IF('Master Sheet'!C11="Area 3 (Saranya R)",'Master Sheet'!E11,"")</f>
        <v/>
      </c>
      <c r="F10" t="str">
        <f>IF('Master Sheet'!C11="Area 3 (Saranya R)",'Master Sheet'!F11,"")</f>
        <v/>
      </c>
      <c r="G10" t="str">
        <f>IF('Master Sheet'!C11="Area 3 (Saranya R)",'Master Sheet'!G11,"")</f>
        <v/>
      </c>
      <c r="H10" t="str">
        <f>IF('Master Sheet'!C11="Area 3 (Saranya R)",'Master Sheet'!H11,"")</f>
        <v/>
      </c>
      <c r="I10" t="str">
        <f>IF('Master Sheet'!C11="Area 3 (Saranya R)",'Master Sheet'!I11,"")</f>
        <v/>
      </c>
      <c r="J10" t="str">
        <f>IF('Master Sheet'!C11="Area 3 (Saranya R)",'Master Sheet'!J11,"")</f>
        <v/>
      </c>
      <c r="K10" t="str">
        <f>IF('Master Sheet'!C11="Area 3 (Saranya R)",'Master Sheet'!K11,"")</f>
        <v/>
      </c>
      <c r="L10" t="str">
        <f>IF('Master Sheet'!C11="Area 3 (Saranya R)",'Master Sheet'!L11,"")</f>
        <v/>
      </c>
      <c r="M10" t="str">
        <f>IF('Master Sheet'!C11="Area 3 (Saranya R)",'Master Sheet'!M11,"")</f>
        <v/>
      </c>
      <c r="N10" t="str">
        <f>IF('Master Sheet'!C11="Area 3 (Saranya R)",'Master Sheet'!N11,"")</f>
        <v/>
      </c>
      <c r="O10" t="str">
        <f>IF('Master Sheet'!C11="Area 3 (Saranya R)",'Master Sheet'!O11,"")</f>
        <v/>
      </c>
      <c r="P10" t="str">
        <f>IF('Master Sheet'!C11="Area 3 (Saranya R)",'Master Sheet'!P11,"")</f>
        <v/>
      </c>
    </row>
    <row r="11" spans="1:16" hidden="1" x14ac:dyDescent="0.25">
      <c r="A11" t="str">
        <f>IF('Master Sheet'!C12="Area 3 (Saranya R)",'Master Sheet'!A12,"")</f>
        <v/>
      </c>
      <c r="B11" t="str">
        <f>IF('Master Sheet'!C12="Area 3 (Saranya R)",'Master Sheet'!B12,"")</f>
        <v/>
      </c>
      <c r="C11" t="s">
        <v>6</v>
      </c>
      <c r="D11" t="str">
        <f>IF('Master Sheet'!C12="Area 3 (Saranya R)",'Master Sheet'!D12,"")</f>
        <v/>
      </c>
      <c r="E11" t="str">
        <f>IF('Master Sheet'!C12="Area 3 (Saranya R)",'Master Sheet'!E12,"")</f>
        <v/>
      </c>
      <c r="F11" t="str">
        <f>IF('Master Sheet'!C12="Area 3 (Saranya R)",'Master Sheet'!F12,"")</f>
        <v/>
      </c>
      <c r="G11" t="str">
        <f>IF('Master Sheet'!C12="Area 3 (Saranya R)",'Master Sheet'!G12,"")</f>
        <v/>
      </c>
      <c r="H11" t="str">
        <f>IF('Master Sheet'!C12="Area 3 (Saranya R)",'Master Sheet'!H12,"")</f>
        <v/>
      </c>
      <c r="I11" t="str">
        <f>IF('Master Sheet'!C12="Area 3 (Saranya R)",'Master Sheet'!I12,"")</f>
        <v/>
      </c>
      <c r="J11" t="str">
        <f>IF('Master Sheet'!C12="Area 3 (Saranya R)",'Master Sheet'!J12,"")</f>
        <v/>
      </c>
      <c r="K11" t="str">
        <f>IF('Master Sheet'!C12="Area 3 (Saranya R)",'Master Sheet'!K12,"")</f>
        <v/>
      </c>
      <c r="L11" t="str">
        <f>IF('Master Sheet'!C12="Area 3 (Saranya R)",'Master Sheet'!L12,"")</f>
        <v/>
      </c>
      <c r="M11" t="str">
        <f>IF('Master Sheet'!C12="Area 3 (Saranya R)",'Master Sheet'!M12,"")</f>
        <v/>
      </c>
      <c r="N11" t="str">
        <f>IF('Master Sheet'!C12="Area 3 (Saranya R)",'Master Sheet'!N12,"")</f>
        <v/>
      </c>
      <c r="O11" t="str">
        <f>IF('Master Sheet'!C12="Area 3 (Saranya R)",'Master Sheet'!O12,"")</f>
        <v/>
      </c>
      <c r="P11" t="str">
        <f>IF('Master Sheet'!C12="Area 3 (Saranya R)",'Master Sheet'!P12,"")</f>
        <v/>
      </c>
    </row>
    <row r="12" spans="1:16" hidden="1" x14ac:dyDescent="0.25">
      <c r="A12" t="str">
        <f>IF('Master Sheet'!C13="Area 3 (Saranya R)",'Master Sheet'!A13,"")</f>
        <v/>
      </c>
      <c r="B12" t="str">
        <f>IF('Master Sheet'!C13="Area 3 (Saranya R)",'Master Sheet'!B13,"")</f>
        <v/>
      </c>
      <c r="C12" t="s">
        <v>6</v>
      </c>
      <c r="D12" t="str">
        <f>IF('Master Sheet'!C13="Area 3 (Saranya R)",'Master Sheet'!D13,"")</f>
        <v/>
      </c>
      <c r="E12" t="str">
        <f>IF('Master Sheet'!C13="Area 3 (Saranya R)",'Master Sheet'!E13,"")</f>
        <v/>
      </c>
      <c r="F12" t="str">
        <f>IF('Master Sheet'!C13="Area 3 (Saranya R)",'Master Sheet'!F13,"")</f>
        <v/>
      </c>
      <c r="G12" t="str">
        <f>IF('Master Sheet'!C13="Area 3 (Saranya R)",'Master Sheet'!G13,"")</f>
        <v/>
      </c>
      <c r="H12" t="str">
        <f>IF('Master Sheet'!C13="Area 3 (Saranya R)",'Master Sheet'!H13,"")</f>
        <v/>
      </c>
      <c r="I12" t="str">
        <f>IF('Master Sheet'!C13="Area 3 (Saranya R)",'Master Sheet'!I13,"")</f>
        <v/>
      </c>
      <c r="J12" t="str">
        <f>IF('Master Sheet'!C13="Area 3 (Saranya R)",'Master Sheet'!J13,"")</f>
        <v/>
      </c>
      <c r="K12" t="str">
        <f>IF('Master Sheet'!C13="Area 3 (Saranya R)",'Master Sheet'!K13,"")</f>
        <v/>
      </c>
      <c r="L12" t="str">
        <f>IF('Master Sheet'!C13="Area 3 (Saranya R)",'Master Sheet'!L13,"")</f>
        <v/>
      </c>
      <c r="M12" t="str">
        <f>IF('Master Sheet'!C13="Area 3 (Saranya R)",'Master Sheet'!M13,"")</f>
        <v/>
      </c>
      <c r="N12" t="str">
        <f>IF('Master Sheet'!C13="Area 3 (Saranya R)",'Master Sheet'!N13,"")</f>
        <v/>
      </c>
      <c r="O12" t="str">
        <f>IF('Master Sheet'!C13="Area 3 (Saranya R)",'Master Sheet'!O13,"")</f>
        <v/>
      </c>
      <c r="P12" t="str">
        <f>IF('Master Sheet'!C13="Area 3 (Saranya R)",'Master Sheet'!P13,"")</f>
        <v/>
      </c>
    </row>
    <row r="13" spans="1:16" hidden="1" x14ac:dyDescent="0.25">
      <c r="A13" t="str">
        <f>IF('Master Sheet'!C14="Area 3 (Saranya R)",'Master Sheet'!A14,"")</f>
        <v/>
      </c>
      <c r="B13" t="str">
        <f>IF('Master Sheet'!C14="Area 3 (Saranya R)",'Master Sheet'!B14,"")</f>
        <v/>
      </c>
      <c r="C13" t="s">
        <v>6</v>
      </c>
      <c r="D13" t="str">
        <f>IF('Master Sheet'!C14="Area 3 (Saranya R)",'Master Sheet'!D14,"")</f>
        <v/>
      </c>
      <c r="E13" t="str">
        <f>IF('Master Sheet'!C14="Area 3 (Saranya R)",'Master Sheet'!E14,"")</f>
        <v/>
      </c>
      <c r="F13" t="str">
        <f>IF('Master Sheet'!C14="Area 3 (Saranya R)",'Master Sheet'!F14,"")</f>
        <v/>
      </c>
      <c r="G13" t="str">
        <f>IF('Master Sheet'!C14="Area 3 (Saranya R)",'Master Sheet'!G14,"")</f>
        <v/>
      </c>
      <c r="H13" t="str">
        <f>IF('Master Sheet'!C14="Area 3 (Saranya R)",'Master Sheet'!H14,"")</f>
        <v/>
      </c>
      <c r="I13" t="str">
        <f>IF('Master Sheet'!C14="Area 3 (Saranya R)",'Master Sheet'!I14,"")</f>
        <v/>
      </c>
      <c r="J13" t="str">
        <f>IF('Master Sheet'!C14="Area 3 (Saranya R)",'Master Sheet'!J14,"")</f>
        <v/>
      </c>
      <c r="K13" t="str">
        <f>IF('Master Sheet'!C14="Area 3 (Saranya R)",'Master Sheet'!K14,"")</f>
        <v/>
      </c>
      <c r="L13" t="str">
        <f>IF('Master Sheet'!C14="Area 3 (Saranya R)",'Master Sheet'!L14,"")</f>
        <v/>
      </c>
      <c r="M13" t="str">
        <f>IF('Master Sheet'!C14="Area 3 (Saranya R)",'Master Sheet'!M14,"")</f>
        <v/>
      </c>
      <c r="N13" t="str">
        <f>IF('Master Sheet'!C14="Area 3 (Saranya R)",'Master Sheet'!N14,"")</f>
        <v/>
      </c>
      <c r="O13" t="str">
        <f>IF('Master Sheet'!C14="Area 3 (Saranya R)",'Master Sheet'!O14,"")</f>
        <v/>
      </c>
      <c r="P13" t="str">
        <f>IF('Master Sheet'!C14="Area 3 (Saranya R)",'Master Sheet'!P14,"")</f>
        <v/>
      </c>
    </row>
    <row r="14" spans="1:16" hidden="1" x14ac:dyDescent="0.25">
      <c r="A14" t="str">
        <f>IF('Master Sheet'!C15="Area 3 (Saranya R)",'Master Sheet'!A15,"")</f>
        <v/>
      </c>
      <c r="B14" t="str">
        <f>IF('Master Sheet'!C15="Area 3 (Saranya R)",'Master Sheet'!B15,"")</f>
        <v/>
      </c>
      <c r="C14" t="s">
        <v>6</v>
      </c>
      <c r="D14" t="str">
        <f>IF('Master Sheet'!C15="Area 3 (Saranya R)",'Master Sheet'!D15,"")</f>
        <v/>
      </c>
      <c r="E14" t="str">
        <f>IF('Master Sheet'!C15="Area 3 (Saranya R)",'Master Sheet'!E15,"")</f>
        <v/>
      </c>
      <c r="F14" t="str">
        <f>IF('Master Sheet'!C15="Area 3 (Saranya R)",'Master Sheet'!F15,"")</f>
        <v/>
      </c>
      <c r="G14" t="str">
        <f>IF('Master Sheet'!C15="Area 3 (Saranya R)",'Master Sheet'!G15,"")</f>
        <v/>
      </c>
      <c r="H14" t="str">
        <f>IF('Master Sheet'!C15="Area 3 (Saranya R)",'Master Sheet'!H15,"")</f>
        <v/>
      </c>
      <c r="I14" t="str">
        <f>IF('Master Sheet'!C15="Area 3 (Saranya R)",'Master Sheet'!I15,"")</f>
        <v/>
      </c>
      <c r="J14" t="str">
        <f>IF('Master Sheet'!C15="Area 3 (Saranya R)",'Master Sheet'!J15,"")</f>
        <v/>
      </c>
      <c r="K14" t="str">
        <f>IF('Master Sheet'!C15="Area 3 (Saranya R)",'Master Sheet'!K15,"")</f>
        <v/>
      </c>
      <c r="L14" t="str">
        <f>IF('Master Sheet'!C15="Area 3 (Saranya R)",'Master Sheet'!L15,"")</f>
        <v/>
      </c>
      <c r="M14" t="str">
        <f>IF('Master Sheet'!C15="Area 3 (Saranya R)",'Master Sheet'!M15,"")</f>
        <v/>
      </c>
      <c r="N14" t="str">
        <f>IF('Master Sheet'!C15="Area 3 (Saranya R)",'Master Sheet'!N15,"")</f>
        <v/>
      </c>
      <c r="O14" t="str">
        <f>IF('Master Sheet'!C15="Area 3 (Saranya R)",'Master Sheet'!O15,"")</f>
        <v/>
      </c>
      <c r="P14" t="str">
        <f>IF('Master Sheet'!C15="Area 3 (Saranya R)",'Master Sheet'!P15,"")</f>
        <v/>
      </c>
    </row>
    <row r="15" spans="1:16" hidden="1" x14ac:dyDescent="0.25">
      <c r="A15" t="str">
        <f>IF('Master Sheet'!C16="Area 3 (Saranya R)",'Master Sheet'!A16,"")</f>
        <v/>
      </c>
      <c r="B15" t="str">
        <f>IF('Master Sheet'!C16="Area 3 (Saranya R)",'Master Sheet'!B16,"")</f>
        <v/>
      </c>
      <c r="C15" t="s">
        <v>6</v>
      </c>
      <c r="D15" t="str">
        <f>IF('Master Sheet'!C16="Area 3 (Saranya R)",'Master Sheet'!D16,"")</f>
        <v/>
      </c>
      <c r="E15" t="str">
        <f>IF('Master Sheet'!C16="Area 3 (Saranya R)",'Master Sheet'!E16,"")</f>
        <v/>
      </c>
      <c r="F15" t="str">
        <f>IF('Master Sheet'!C16="Area 3 (Saranya R)",'Master Sheet'!F16,"")</f>
        <v/>
      </c>
      <c r="G15" t="str">
        <f>IF('Master Sheet'!C16="Area 3 (Saranya R)",'Master Sheet'!G16,"")</f>
        <v/>
      </c>
      <c r="H15" t="str">
        <f>IF('Master Sheet'!C16="Area 3 (Saranya R)",'Master Sheet'!H16,"")</f>
        <v/>
      </c>
      <c r="I15" t="str">
        <f>IF('Master Sheet'!C16="Area 3 (Saranya R)",'Master Sheet'!I16,"")</f>
        <v/>
      </c>
      <c r="J15" t="str">
        <f>IF('Master Sheet'!C16="Area 3 (Saranya R)",'Master Sheet'!J16,"")</f>
        <v/>
      </c>
      <c r="K15" t="str">
        <f>IF('Master Sheet'!C16="Area 3 (Saranya R)",'Master Sheet'!K16,"")</f>
        <v/>
      </c>
      <c r="L15" t="str">
        <f>IF('Master Sheet'!C16="Area 3 (Saranya R)",'Master Sheet'!L16,"")</f>
        <v/>
      </c>
      <c r="M15" t="str">
        <f>IF('Master Sheet'!C16="Area 3 (Saranya R)",'Master Sheet'!M16,"")</f>
        <v/>
      </c>
      <c r="N15" t="str">
        <f>IF('Master Sheet'!C16="Area 3 (Saranya R)",'Master Sheet'!N16,"")</f>
        <v/>
      </c>
      <c r="O15" t="str">
        <f>IF('Master Sheet'!C16="Area 3 (Saranya R)",'Master Sheet'!O16,"")</f>
        <v/>
      </c>
      <c r="P15" t="str">
        <f>IF('Master Sheet'!C16="Area 3 (Saranya R)",'Master Sheet'!P16,"")</f>
        <v/>
      </c>
    </row>
    <row r="16" spans="1:16" hidden="1" x14ac:dyDescent="0.25">
      <c r="A16" t="str">
        <f>IF('Master Sheet'!C17="Area 3 (Saranya R)",'Master Sheet'!A17,"")</f>
        <v/>
      </c>
      <c r="B16" t="str">
        <f>IF('Master Sheet'!C17="Area 3 (Saranya R)",'Master Sheet'!B17,"")</f>
        <v/>
      </c>
      <c r="C16" t="s">
        <v>6</v>
      </c>
      <c r="D16" t="str">
        <f>IF('Master Sheet'!C17="Area 3 (Saranya R)",'Master Sheet'!D17,"")</f>
        <v/>
      </c>
      <c r="E16" t="str">
        <f>IF('Master Sheet'!C17="Area 3 (Saranya R)",'Master Sheet'!E17,"")</f>
        <v/>
      </c>
      <c r="F16" t="str">
        <f>IF('Master Sheet'!C17="Area 3 (Saranya R)",'Master Sheet'!F17,"")</f>
        <v/>
      </c>
      <c r="G16" t="str">
        <f>IF('Master Sheet'!C17="Area 3 (Saranya R)",'Master Sheet'!G17,"")</f>
        <v/>
      </c>
      <c r="H16" t="str">
        <f>IF('Master Sheet'!C17="Area 3 (Saranya R)",'Master Sheet'!H17,"")</f>
        <v/>
      </c>
      <c r="I16" t="str">
        <f>IF('Master Sheet'!C17="Area 3 (Saranya R)",'Master Sheet'!I17,"")</f>
        <v/>
      </c>
      <c r="J16" t="str">
        <f>IF('Master Sheet'!C17="Area 3 (Saranya R)",'Master Sheet'!J17,"")</f>
        <v/>
      </c>
      <c r="K16" t="str">
        <f>IF('Master Sheet'!C17="Area 3 (Saranya R)",'Master Sheet'!K17,"")</f>
        <v/>
      </c>
      <c r="L16" t="str">
        <f>IF('Master Sheet'!C17="Area 3 (Saranya R)",'Master Sheet'!L17,"")</f>
        <v/>
      </c>
      <c r="M16" t="str">
        <f>IF('Master Sheet'!C17="Area 3 (Saranya R)",'Master Sheet'!M17,"")</f>
        <v/>
      </c>
      <c r="N16" t="str">
        <f>IF('Master Sheet'!C17="Area 3 (Saranya R)",'Master Sheet'!N17,"")</f>
        <v/>
      </c>
      <c r="O16" t="str">
        <f>IF('Master Sheet'!C17="Area 3 (Saranya R)",'Master Sheet'!O17,"")</f>
        <v/>
      </c>
      <c r="P16" t="str">
        <f>IF('Master Sheet'!C17="Area 3 (Saranya R)",'Master Sheet'!P17,"")</f>
        <v/>
      </c>
    </row>
    <row r="17" spans="1:16" hidden="1" x14ac:dyDescent="0.25">
      <c r="A17" t="str">
        <f>IF('Master Sheet'!C18="Area 3 (Saranya R)",'Master Sheet'!A18,"")</f>
        <v/>
      </c>
      <c r="B17" t="str">
        <f>IF('Master Sheet'!C18="Area 3 (Saranya R)",'Master Sheet'!B18,"")</f>
        <v/>
      </c>
      <c r="C17" t="s">
        <v>6</v>
      </c>
      <c r="D17" t="str">
        <f>IF('Master Sheet'!C18="Area 3 (Saranya R)",'Master Sheet'!D18,"")</f>
        <v/>
      </c>
      <c r="E17" t="str">
        <f>IF('Master Sheet'!C18="Area 3 (Saranya R)",'Master Sheet'!E18,"")</f>
        <v/>
      </c>
      <c r="F17" t="str">
        <f>IF('Master Sheet'!C18="Area 3 (Saranya R)",'Master Sheet'!F18,"")</f>
        <v/>
      </c>
      <c r="G17" t="str">
        <f>IF('Master Sheet'!C18="Area 3 (Saranya R)",'Master Sheet'!G18,"")</f>
        <v/>
      </c>
      <c r="H17" t="str">
        <f>IF('Master Sheet'!C18="Area 3 (Saranya R)",'Master Sheet'!H18,"")</f>
        <v/>
      </c>
      <c r="I17" t="str">
        <f>IF('Master Sheet'!C18="Area 3 (Saranya R)",'Master Sheet'!I18,"")</f>
        <v/>
      </c>
      <c r="J17" t="str">
        <f>IF('Master Sheet'!C18="Area 3 (Saranya R)",'Master Sheet'!J18,"")</f>
        <v/>
      </c>
      <c r="K17" t="str">
        <f>IF('Master Sheet'!C18="Area 3 (Saranya R)",'Master Sheet'!K18,"")</f>
        <v/>
      </c>
      <c r="L17" t="str">
        <f>IF('Master Sheet'!C18="Area 3 (Saranya R)",'Master Sheet'!L18,"")</f>
        <v/>
      </c>
      <c r="M17" t="str">
        <f>IF('Master Sheet'!C18="Area 3 (Saranya R)",'Master Sheet'!M18,"")</f>
        <v/>
      </c>
      <c r="N17" t="str">
        <f>IF('Master Sheet'!C18="Area 3 (Saranya R)",'Master Sheet'!N18,"")</f>
        <v/>
      </c>
      <c r="O17" t="str">
        <f>IF('Master Sheet'!C18="Area 3 (Saranya R)",'Master Sheet'!O18,"")</f>
        <v/>
      </c>
      <c r="P17" t="str">
        <f>IF('Master Sheet'!C18="Area 3 (Saranya R)",'Master Sheet'!P18,"")</f>
        <v/>
      </c>
    </row>
    <row r="18" spans="1:16" hidden="1" x14ac:dyDescent="0.25">
      <c r="A18" t="str">
        <f>IF('Master Sheet'!C19="Area 3 (Saranya R)",'Master Sheet'!A19,"")</f>
        <v/>
      </c>
      <c r="B18" t="str">
        <f>IF('Master Sheet'!C19="Area 3 (Saranya R)",'Master Sheet'!B19,"")</f>
        <v/>
      </c>
      <c r="C18" t="s">
        <v>6</v>
      </c>
      <c r="D18" t="str">
        <f>IF('Master Sheet'!C19="Area 3 (Saranya R)",'Master Sheet'!D19,"")</f>
        <v/>
      </c>
      <c r="E18" t="str">
        <f>IF('Master Sheet'!C19="Area 3 (Saranya R)",'Master Sheet'!E19,"")</f>
        <v/>
      </c>
      <c r="F18" t="str">
        <f>IF('Master Sheet'!C19="Area 3 (Saranya R)",'Master Sheet'!F19,"")</f>
        <v/>
      </c>
      <c r="G18" t="str">
        <f>IF('Master Sheet'!C19="Area 3 (Saranya R)",'Master Sheet'!G19,"")</f>
        <v/>
      </c>
      <c r="H18" t="str">
        <f>IF('Master Sheet'!C19="Area 3 (Saranya R)",'Master Sheet'!H19,"")</f>
        <v/>
      </c>
      <c r="I18" t="str">
        <f>IF('Master Sheet'!C19="Area 3 (Saranya R)",'Master Sheet'!I19,"")</f>
        <v/>
      </c>
      <c r="J18" t="str">
        <f>IF('Master Sheet'!C19="Area 3 (Saranya R)",'Master Sheet'!J19,"")</f>
        <v/>
      </c>
      <c r="K18" t="str">
        <f>IF('Master Sheet'!C19="Area 3 (Saranya R)",'Master Sheet'!K19,"")</f>
        <v/>
      </c>
      <c r="L18" t="str">
        <f>IF('Master Sheet'!C19="Area 3 (Saranya R)",'Master Sheet'!L19,"")</f>
        <v/>
      </c>
      <c r="M18" t="str">
        <f>IF('Master Sheet'!C19="Area 3 (Saranya R)",'Master Sheet'!M19,"")</f>
        <v/>
      </c>
      <c r="N18" t="str">
        <f>IF('Master Sheet'!C19="Area 3 (Saranya R)",'Master Sheet'!N19,"")</f>
        <v/>
      </c>
      <c r="O18" t="str">
        <f>IF('Master Sheet'!C19="Area 3 (Saranya R)",'Master Sheet'!O19,"")</f>
        <v/>
      </c>
      <c r="P18" t="str">
        <f>IF('Master Sheet'!C19="Area 3 (Saranya R)",'Master Sheet'!P19,"")</f>
        <v/>
      </c>
    </row>
    <row r="19" spans="1:16" hidden="1" x14ac:dyDescent="0.25">
      <c r="A19" t="str">
        <f>IF('Master Sheet'!C20="Area 3 (Saranya R)",'Master Sheet'!A20,"")</f>
        <v/>
      </c>
      <c r="B19" t="str">
        <f>IF('Master Sheet'!C20="Area 3 (Saranya R)",'Master Sheet'!B20,"")</f>
        <v/>
      </c>
      <c r="C19" t="s">
        <v>6</v>
      </c>
      <c r="D19" t="str">
        <f>IF('Master Sheet'!C20="Area 3 (Saranya R)",'Master Sheet'!D20,"")</f>
        <v/>
      </c>
      <c r="E19" t="str">
        <f>IF('Master Sheet'!C20="Area 3 (Saranya R)",'Master Sheet'!E20,"")</f>
        <v/>
      </c>
      <c r="F19" t="str">
        <f>IF('Master Sheet'!C20="Area 3 (Saranya R)",'Master Sheet'!F20,"")</f>
        <v/>
      </c>
      <c r="G19" t="str">
        <f>IF('Master Sheet'!C20="Area 3 (Saranya R)",'Master Sheet'!G20,"")</f>
        <v/>
      </c>
      <c r="H19" t="str">
        <f>IF('Master Sheet'!C20="Area 3 (Saranya R)",'Master Sheet'!H20,"")</f>
        <v/>
      </c>
      <c r="I19" t="str">
        <f>IF('Master Sheet'!C20="Area 3 (Saranya R)",'Master Sheet'!I20,"")</f>
        <v/>
      </c>
      <c r="J19" t="str">
        <f>IF('Master Sheet'!C20="Area 3 (Saranya R)",'Master Sheet'!J20,"")</f>
        <v/>
      </c>
      <c r="K19" t="str">
        <f>IF('Master Sheet'!C20="Area 3 (Saranya R)",'Master Sheet'!K20,"")</f>
        <v/>
      </c>
      <c r="L19" t="str">
        <f>IF('Master Sheet'!C20="Area 3 (Saranya R)",'Master Sheet'!L20,"")</f>
        <v/>
      </c>
      <c r="M19" t="str">
        <f>IF('Master Sheet'!C20="Area 3 (Saranya R)",'Master Sheet'!M20,"")</f>
        <v/>
      </c>
      <c r="N19" t="str">
        <f>IF('Master Sheet'!C20="Area 3 (Saranya R)",'Master Sheet'!N20,"")</f>
        <v/>
      </c>
      <c r="O19" t="str">
        <f>IF('Master Sheet'!C20="Area 3 (Saranya R)",'Master Sheet'!O20,"")</f>
        <v/>
      </c>
      <c r="P19" t="str">
        <f>IF('Master Sheet'!C20="Area 3 (Saranya R)",'Master Sheet'!P20,"")</f>
        <v/>
      </c>
    </row>
    <row r="20" spans="1:16" hidden="1" x14ac:dyDescent="0.25">
      <c r="A20" t="str">
        <f>IF('Master Sheet'!C21="Area 3 (Saranya R)",'Master Sheet'!A21,"")</f>
        <v/>
      </c>
      <c r="B20" t="str">
        <f>IF('Master Sheet'!C21="Area 3 (Saranya R)",'Master Sheet'!B21,"")</f>
        <v/>
      </c>
      <c r="C20" t="s">
        <v>6</v>
      </c>
      <c r="D20" t="str">
        <f>IF('Master Sheet'!C21="Area 3 (Saranya R)",'Master Sheet'!D21,"")</f>
        <v/>
      </c>
      <c r="E20" t="str">
        <f>IF('Master Sheet'!C21="Area 3 (Saranya R)",'Master Sheet'!E21,"")</f>
        <v/>
      </c>
      <c r="F20" t="str">
        <f>IF('Master Sheet'!C21="Area 3 (Saranya R)",'Master Sheet'!F21,"")</f>
        <v/>
      </c>
      <c r="G20" t="str">
        <f>IF('Master Sheet'!C21="Area 3 (Saranya R)",'Master Sheet'!G21,"")</f>
        <v/>
      </c>
      <c r="H20" t="str">
        <f>IF('Master Sheet'!C21="Area 3 (Saranya R)",'Master Sheet'!H21,"")</f>
        <v/>
      </c>
      <c r="I20" t="str">
        <f>IF('Master Sheet'!C21="Area 3 (Saranya R)",'Master Sheet'!I21,"")</f>
        <v/>
      </c>
      <c r="J20" t="str">
        <f>IF('Master Sheet'!C21="Area 3 (Saranya R)",'Master Sheet'!J21,"")</f>
        <v/>
      </c>
      <c r="K20" t="str">
        <f>IF('Master Sheet'!C21="Area 3 (Saranya R)",'Master Sheet'!K21,"")</f>
        <v/>
      </c>
      <c r="L20" t="str">
        <f>IF('Master Sheet'!C21="Area 3 (Saranya R)",'Master Sheet'!L21,"")</f>
        <v/>
      </c>
      <c r="M20" t="str">
        <f>IF('Master Sheet'!C21="Area 3 (Saranya R)",'Master Sheet'!M21,"")</f>
        <v/>
      </c>
      <c r="N20" t="str">
        <f>IF('Master Sheet'!C21="Area 3 (Saranya R)",'Master Sheet'!N21,"")</f>
        <v/>
      </c>
      <c r="O20" t="str">
        <f>IF('Master Sheet'!C21="Area 3 (Saranya R)",'Master Sheet'!O21,"")</f>
        <v/>
      </c>
      <c r="P20" t="str">
        <f>IF('Master Sheet'!C21="Area 3 (Saranya R)",'Master Sheet'!P21,"")</f>
        <v/>
      </c>
    </row>
    <row r="21" spans="1:16" hidden="1" x14ac:dyDescent="0.25">
      <c r="A21" t="str">
        <f>IF('Master Sheet'!C22="Area 3 (Saranya R)",'Master Sheet'!A22,"")</f>
        <v/>
      </c>
      <c r="B21" t="str">
        <f>IF('Master Sheet'!C22="Area 3 (Saranya R)",'Master Sheet'!B22,"")</f>
        <v/>
      </c>
      <c r="C21" t="s">
        <v>6</v>
      </c>
      <c r="D21" t="str">
        <f>IF('Master Sheet'!C22="Area 3 (Saranya R)",'Master Sheet'!D22,"")</f>
        <v/>
      </c>
      <c r="E21" t="str">
        <f>IF('Master Sheet'!C22="Area 3 (Saranya R)",'Master Sheet'!E22,"")</f>
        <v/>
      </c>
      <c r="F21" t="str">
        <f>IF('Master Sheet'!C22="Area 3 (Saranya R)",'Master Sheet'!F22,"")</f>
        <v/>
      </c>
      <c r="G21" t="str">
        <f>IF('Master Sheet'!C22="Area 3 (Saranya R)",'Master Sheet'!G22,"")</f>
        <v/>
      </c>
      <c r="H21" t="str">
        <f>IF('Master Sheet'!C22="Area 3 (Saranya R)",'Master Sheet'!H22,"")</f>
        <v/>
      </c>
      <c r="I21" t="str">
        <f>IF('Master Sheet'!C22="Area 3 (Saranya R)",'Master Sheet'!I22,"")</f>
        <v/>
      </c>
      <c r="J21" t="str">
        <f>IF('Master Sheet'!C22="Area 3 (Saranya R)",'Master Sheet'!J22,"")</f>
        <v/>
      </c>
      <c r="K21" t="str">
        <f>IF('Master Sheet'!C22="Area 3 (Saranya R)",'Master Sheet'!K22,"")</f>
        <v/>
      </c>
      <c r="L21" t="str">
        <f>IF('Master Sheet'!C22="Area 3 (Saranya R)",'Master Sheet'!L22,"")</f>
        <v/>
      </c>
      <c r="M21" t="str">
        <f>IF('Master Sheet'!C22="Area 3 (Saranya R)",'Master Sheet'!M22,"")</f>
        <v/>
      </c>
      <c r="N21" t="str">
        <f>IF('Master Sheet'!C22="Area 3 (Saranya R)",'Master Sheet'!N22,"")</f>
        <v/>
      </c>
      <c r="O21" t="str">
        <f>IF('Master Sheet'!C22="Area 3 (Saranya R)",'Master Sheet'!O22,"")</f>
        <v/>
      </c>
      <c r="P21" t="str">
        <f>IF('Master Sheet'!C22="Area 3 (Saranya R)",'Master Sheet'!P22,"")</f>
        <v/>
      </c>
    </row>
    <row r="22" spans="1:16" hidden="1" x14ac:dyDescent="0.25">
      <c r="A22" t="str">
        <f>IF('Master Sheet'!C23="Area 3 (Saranya R)",'Master Sheet'!A23,"")</f>
        <v/>
      </c>
      <c r="B22" t="str">
        <f>IF('Master Sheet'!C23="Area 3 (Saranya R)",'Master Sheet'!B23,"")</f>
        <v/>
      </c>
      <c r="C22" t="s">
        <v>6</v>
      </c>
      <c r="D22" t="str">
        <f>IF('Master Sheet'!C23="Area 3 (Saranya R)",'Master Sheet'!D23,"")</f>
        <v/>
      </c>
      <c r="E22" t="str">
        <f>IF('Master Sheet'!C23="Area 3 (Saranya R)",'Master Sheet'!E23,"")</f>
        <v/>
      </c>
      <c r="F22" t="str">
        <f>IF('Master Sheet'!C23="Area 3 (Saranya R)",'Master Sheet'!F23,"")</f>
        <v/>
      </c>
      <c r="G22" t="str">
        <f>IF('Master Sheet'!C23="Area 3 (Saranya R)",'Master Sheet'!G23,"")</f>
        <v/>
      </c>
      <c r="H22" t="str">
        <f>IF('Master Sheet'!C23="Area 3 (Saranya R)",'Master Sheet'!H23,"")</f>
        <v/>
      </c>
      <c r="I22" t="str">
        <f>IF('Master Sheet'!C23="Area 3 (Saranya R)",'Master Sheet'!I23,"")</f>
        <v/>
      </c>
      <c r="J22" t="str">
        <f>IF('Master Sheet'!C23="Area 3 (Saranya R)",'Master Sheet'!J23,"")</f>
        <v/>
      </c>
      <c r="K22" t="str">
        <f>IF('Master Sheet'!C23="Area 3 (Saranya R)",'Master Sheet'!K23,"")</f>
        <v/>
      </c>
      <c r="L22" t="str">
        <f>IF('Master Sheet'!C23="Area 3 (Saranya R)",'Master Sheet'!L23,"")</f>
        <v/>
      </c>
      <c r="M22" t="str">
        <f>IF('Master Sheet'!C23="Area 3 (Saranya R)",'Master Sheet'!M23,"")</f>
        <v/>
      </c>
      <c r="N22" t="str">
        <f>IF('Master Sheet'!C23="Area 3 (Saranya R)",'Master Sheet'!N23,"")</f>
        <v/>
      </c>
      <c r="O22" t="str">
        <f>IF('Master Sheet'!C23="Area 3 (Saranya R)",'Master Sheet'!O23,"")</f>
        <v/>
      </c>
      <c r="P22" t="str">
        <f>IF('Master Sheet'!C23="Area 3 (Saranya R)",'Master Sheet'!P23,"")</f>
        <v/>
      </c>
    </row>
    <row r="23" spans="1:16" hidden="1" x14ac:dyDescent="0.25">
      <c r="A23" t="str">
        <f>IF('Master Sheet'!C24="Area 3 (Saranya R)",'Master Sheet'!A24,"")</f>
        <v/>
      </c>
      <c r="B23" t="str">
        <f>IF('Master Sheet'!C24="Area 3 (Saranya R)",'Master Sheet'!B24,"")</f>
        <v/>
      </c>
      <c r="C23" t="s">
        <v>6</v>
      </c>
      <c r="D23" t="str">
        <f>IF('Master Sheet'!C24="Area 3 (Saranya R)",'Master Sheet'!D24,"")</f>
        <v/>
      </c>
      <c r="E23" t="str">
        <f>IF('Master Sheet'!C24="Area 3 (Saranya R)",'Master Sheet'!E24,"")</f>
        <v/>
      </c>
      <c r="F23" t="str">
        <f>IF('Master Sheet'!C24="Area 3 (Saranya R)",'Master Sheet'!F24,"")</f>
        <v/>
      </c>
      <c r="G23" t="str">
        <f>IF('Master Sheet'!C24="Area 3 (Saranya R)",'Master Sheet'!G24,"")</f>
        <v/>
      </c>
      <c r="H23" t="str">
        <f>IF('Master Sheet'!C24="Area 3 (Saranya R)",'Master Sheet'!H24,"")</f>
        <v/>
      </c>
      <c r="I23" t="str">
        <f>IF('Master Sheet'!C24="Area 3 (Saranya R)",'Master Sheet'!I24,"")</f>
        <v/>
      </c>
      <c r="J23" t="str">
        <f>IF('Master Sheet'!C24="Area 3 (Saranya R)",'Master Sheet'!J24,"")</f>
        <v/>
      </c>
      <c r="K23" t="str">
        <f>IF('Master Sheet'!C24="Area 3 (Saranya R)",'Master Sheet'!K24,"")</f>
        <v/>
      </c>
      <c r="L23" t="str">
        <f>IF('Master Sheet'!C24="Area 3 (Saranya R)",'Master Sheet'!L24,"")</f>
        <v/>
      </c>
      <c r="M23" t="str">
        <f>IF('Master Sheet'!C24="Area 3 (Saranya R)",'Master Sheet'!M24,"")</f>
        <v/>
      </c>
      <c r="N23" t="str">
        <f>IF('Master Sheet'!C24="Area 3 (Saranya R)",'Master Sheet'!N24,"")</f>
        <v/>
      </c>
      <c r="O23" t="str">
        <f>IF('Master Sheet'!C24="Area 3 (Saranya R)",'Master Sheet'!O24,"")</f>
        <v/>
      </c>
      <c r="P23" t="str">
        <f>IF('Master Sheet'!C24="Area 3 (Saranya R)",'Master Sheet'!P24,"")</f>
        <v/>
      </c>
    </row>
    <row r="24" spans="1:16" hidden="1" x14ac:dyDescent="0.25">
      <c r="A24" t="str">
        <f>IF('Master Sheet'!C25="Area 3 (Saranya R)",'Master Sheet'!A25,"")</f>
        <v/>
      </c>
      <c r="B24" t="str">
        <f>IF('Master Sheet'!C25="Area 3 (Saranya R)",'Master Sheet'!B25,"")</f>
        <v/>
      </c>
      <c r="C24" t="s">
        <v>6</v>
      </c>
      <c r="D24" t="str">
        <f>IF('Master Sheet'!C25="Area 3 (Saranya R)",'Master Sheet'!D25,"")</f>
        <v/>
      </c>
      <c r="E24" t="str">
        <f>IF('Master Sheet'!C25="Area 3 (Saranya R)",'Master Sheet'!E25,"")</f>
        <v/>
      </c>
      <c r="F24" t="str">
        <f>IF('Master Sheet'!C25="Area 3 (Saranya R)",'Master Sheet'!F25,"")</f>
        <v/>
      </c>
      <c r="G24" t="str">
        <f>IF('Master Sheet'!C25="Area 3 (Saranya R)",'Master Sheet'!G25,"")</f>
        <v/>
      </c>
      <c r="H24" t="str">
        <f>IF('Master Sheet'!C25="Area 3 (Saranya R)",'Master Sheet'!H25,"")</f>
        <v/>
      </c>
      <c r="I24" t="str">
        <f>IF('Master Sheet'!C25="Area 3 (Saranya R)",'Master Sheet'!I25,"")</f>
        <v/>
      </c>
      <c r="J24" t="str">
        <f>IF('Master Sheet'!C25="Area 3 (Saranya R)",'Master Sheet'!J25,"")</f>
        <v/>
      </c>
      <c r="K24" t="str">
        <f>IF('Master Sheet'!C25="Area 3 (Saranya R)",'Master Sheet'!K25,"")</f>
        <v/>
      </c>
      <c r="L24" t="str">
        <f>IF('Master Sheet'!C25="Area 3 (Saranya R)",'Master Sheet'!L25,"")</f>
        <v/>
      </c>
      <c r="M24" t="str">
        <f>IF('Master Sheet'!C25="Area 3 (Saranya R)",'Master Sheet'!M25,"")</f>
        <v/>
      </c>
      <c r="N24" t="str">
        <f>IF('Master Sheet'!C25="Area 3 (Saranya R)",'Master Sheet'!N25,"")</f>
        <v/>
      </c>
      <c r="O24" t="str">
        <f>IF('Master Sheet'!C25="Area 3 (Saranya R)",'Master Sheet'!O25,"")</f>
        <v/>
      </c>
      <c r="P24" t="str">
        <f>IF('Master Sheet'!C25="Area 3 (Saranya R)",'Master Sheet'!P25,"")</f>
        <v/>
      </c>
    </row>
    <row r="25" spans="1:16" hidden="1" x14ac:dyDescent="0.25">
      <c r="A25" t="str">
        <f>IF('Master Sheet'!C26="Area 3 (Saranya R)",'Master Sheet'!A26,"")</f>
        <v/>
      </c>
      <c r="B25" t="str">
        <f>IF('Master Sheet'!C26="Area 3 (Saranya R)",'Master Sheet'!B26,"")</f>
        <v/>
      </c>
      <c r="C25" t="s">
        <v>6</v>
      </c>
      <c r="D25" t="str">
        <f>IF('Master Sheet'!C26="Area 3 (Saranya R)",'Master Sheet'!D26,"")</f>
        <v/>
      </c>
      <c r="E25" t="str">
        <f>IF('Master Sheet'!C26="Area 3 (Saranya R)",'Master Sheet'!E26,"")</f>
        <v/>
      </c>
      <c r="F25" t="str">
        <f>IF('Master Sheet'!C26="Area 3 (Saranya R)",'Master Sheet'!F26,"")</f>
        <v/>
      </c>
      <c r="G25" t="str">
        <f>IF('Master Sheet'!C26="Area 3 (Saranya R)",'Master Sheet'!G26,"")</f>
        <v/>
      </c>
      <c r="H25" t="str">
        <f>IF('Master Sheet'!C26="Area 3 (Saranya R)",'Master Sheet'!H26,"")</f>
        <v/>
      </c>
      <c r="I25" t="str">
        <f>IF('Master Sheet'!C26="Area 3 (Saranya R)",'Master Sheet'!I26,"")</f>
        <v/>
      </c>
      <c r="J25" t="str">
        <f>IF('Master Sheet'!C26="Area 3 (Saranya R)",'Master Sheet'!J26,"")</f>
        <v/>
      </c>
      <c r="K25" t="str">
        <f>IF('Master Sheet'!C26="Area 3 (Saranya R)",'Master Sheet'!K26,"")</f>
        <v/>
      </c>
      <c r="L25" t="str">
        <f>IF('Master Sheet'!C26="Area 3 (Saranya R)",'Master Sheet'!L26,"")</f>
        <v/>
      </c>
      <c r="M25" t="str">
        <f>IF('Master Sheet'!C26="Area 3 (Saranya R)",'Master Sheet'!M26,"")</f>
        <v/>
      </c>
      <c r="N25" t="str">
        <f>IF('Master Sheet'!C26="Area 3 (Saranya R)",'Master Sheet'!N26,"")</f>
        <v/>
      </c>
      <c r="O25" t="str">
        <f>IF('Master Sheet'!C26="Area 3 (Saranya R)",'Master Sheet'!O26,"")</f>
        <v/>
      </c>
      <c r="P25" t="str">
        <f>IF('Master Sheet'!C26="Area 3 (Saranya R)",'Master Sheet'!P26,"")</f>
        <v/>
      </c>
    </row>
    <row r="26" spans="1:16" hidden="1" x14ac:dyDescent="0.25">
      <c r="A26" t="str">
        <f>IF('Master Sheet'!C27="Area 3 (Saranya R)",'Master Sheet'!A27,"")</f>
        <v/>
      </c>
      <c r="B26" t="str">
        <f>IF('Master Sheet'!C27="Area 3 (Saranya R)",'Master Sheet'!B27,"")</f>
        <v/>
      </c>
      <c r="C26" t="s">
        <v>6</v>
      </c>
      <c r="D26" t="str">
        <f>IF('Master Sheet'!C27="Area 3 (Saranya R)",'Master Sheet'!D27,"")</f>
        <v/>
      </c>
      <c r="E26" t="str">
        <f>IF('Master Sheet'!C27="Area 3 (Saranya R)",'Master Sheet'!E27,"")</f>
        <v/>
      </c>
      <c r="F26" t="str">
        <f>IF('Master Sheet'!C27="Area 3 (Saranya R)",'Master Sheet'!F27,"")</f>
        <v/>
      </c>
      <c r="G26" t="str">
        <f>IF('Master Sheet'!C27="Area 3 (Saranya R)",'Master Sheet'!G27,"")</f>
        <v/>
      </c>
      <c r="H26" t="str">
        <f>IF('Master Sheet'!C27="Area 3 (Saranya R)",'Master Sheet'!H27,"")</f>
        <v/>
      </c>
      <c r="I26" t="str">
        <f>IF('Master Sheet'!C27="Area 3 (Saranya R)",'Master Sheet'!I27,"")</f>
        <v/>
      </c>
      <c r="J26" t="str">
        <f>IF('Master Sheet'!C27="Area 3 (Saranya R)",'Master Sheet'!J27,"")</f>
        <v/>
      </c>
      <c r="K26" t="str">
        <f>IF('Master Sheet'!C27="Area 3 (Saranya R)",'Master Sheet'!K27,"")</f>
        <v/>
      </c>
      <c r="L26" t="str">
        <f>IF('Master Sheet'!C27="Area 3 (Saranya R)",'Master Sheet'!L27,"")</f>
        <v/>
      </c>
      <c r="M26" t="str">
        <f>IF('Master Sheet'!C27="Area 3 (Saranya R)",'Master Sheet'!M27,"")</f>
        <v/>
      </c>
      <c r="N26" t="str">
        <f>IF('Master Sheet'!C27="Area 3 (Saranya R)",'Master Sheet'!N27,"")</f>
        <v/>
      </c>
      <c r="O26" t="str">
        <f>IF('Master Sheet'!C27="Area 3 (Saranya R)",'Master Sheet'!O27,"")</f>
        <v/>
      </c>
      <c r="P26" t="str">
        <f>IF('Master Sheet'!C27="Area 3 (Saranya R)",'Master Sheet'!P27,"")</f>
        <v/>
      </c>
    </row>
    <row r="27" spans="1:16" hidden="1" x14ac:dyDescent="0.25">
      <c r="A27" t="str">
        <f>IF('Master Sheet'!C28="Area 3 (Saranya R)",'Master Sheet'!A28,"")</f>
        <v/>
      </c>
      <c r="B27" t="str">
        <f>IF('Master Sheet'!C28="Area 3 (Saranya R)",'Master Sheet'!B28,"")</f>
        <v/>
      </c>
      <c r="C27" t="s">
        <v>6</v>
      </c>
      <c r="D27" t="str">
        <f>IF('Master Sheet'!C28="Area 3 (Saranya R)",'Master Sheet'!D28,"")</f>
        <v/>
      </c>
      <c r="E27" t="str">
        <f>IF('Master Sheet'!C28="Area 3 (Saranya R)",'Master Sheet'!E28,"")</f>
        <v/>
      </c>
      <c r="F27" t="str">
        <f>IF('Master Sheet'!C28="Area 3 (Saranya R)",'Master Sheet'!F28,"")</f>
        <v/>
      </c>
      <c r="G27" t="str">
        <f>IF('Master Sheet'!C28="Area 3 (Saranya R)",'Master Sheet'!G28,"")</f>
        <v/>
      </c>
      <c r="H27" t="str">
        <f>IF('Master Sheet'!C28="Area 3 (Saranya R)",'Master Sheet'!H28,"")</f>
        <v/>
      </c>
      <c r="I27" t="str">
        <f>IF('Master Sheet'!C28="Area 3 (Saranya R)",'Master Sheet'!I28,"")</f>
        <v/>
      </c>
      <c r="J27" t="str">
        <f>IF('Master Sheet'!C28="Area 3 (Saranya R)",'Master Sheet'!J28,"")</f>
        <v/>
      </c>
      <c r="K27" t="str">
        <f>IF('Master Sheet'!C28="Area 3 (Saranya R)",'Master Sheet'!K28,"")</f>
        <v/>
      </c>
      <c r="L27" t="str">
        <f>IF('Master Sheet'!C28="Area 3 (Saranya R)",'Master Sheet'!L28,"")</f>
        <v/>
      </c>
      <c r="M27" t="str">
        <f>IF('Master Sheet'!C28="Area 3 (Saranya R)",'Master Sheet'!M28,"")</f>
        <v/>
      </c>
      <c r="N27" t="str">
        <f>IF('Master Sheet'!C28="Area 3 (Saranya R)",'Master Sheet'!N28,"")</f>
        <v/>
      </c>
      <c r="O27" t="str">
        <f>IF('Master Sheet'!C28="Area 3 (Saranya R)",'Master Sheet'!O28,"")</f>
        <v/>
      </c>
      <c r="P27" t="str">
        <f>IF('Master Sheet'!C28="Area 3 (Saranya R)",'Master Sheet'!P28,"")</f>
        <v/>
      </c>
    </row>
    <row r="28" spans="1:16" hidden="1" x14ac:dyDescent="0.25">
      <c r="A28" t="str">
        <f>IF('Master Sheet'!C29="Area 3 (Saranya R)",'Master Sheet'!A29,"")</f>
        <v/>
      </c>
      <c r="B28" t="str">
        <f>IF('Master Sheet'!C29="Area 3 (Saranya R)",'Master Sheet'!B29,"")</f>
        <v/>
      </c>
      <c r="C28" t="s">
        <v>6</v>
      </c>
      <c r="D28" t="str">
        <f>IF('Master Sheet'!C29="Area 3 (Saranya R)",'Master Sheet'!D29,"")</f>
        <v/>
      </c>
      <c r="E28" t="str">
        <f>IF('Master Sheet'!C29="Area 3 (Saranya R)",'Master Sheet'!E29,"")</f>
        <v/>
      </c>
      <c r="F28" t="str">
        <f>IF('Master Sheet'!C29="Area 3 (Saranya R)",'Master Sheet'!F29,"")</f>
        <v/>
      </c>
      <c r="G28" t="str">
        <f>IF('Master Sheet'!C29="Area 3 (Saranya R)",'Master Sheet'!G29,"")</f>
        <v/>
      </c>
      <c r="H28" t="str">
        <f>IF('Master Sheet'!C29="Area 3 (Saranya R)",'Master Sheet'!H29,"")</f>
        <v/>
      </c>
      <c r="I28" t="str">
        <f>IF('Master Sheet'!C29="Area 3 (Saranya R)",'Master Sheet'!I29,"")</f>
        <v/>
      </c>
      <c r="J28" t="str">
        <f>IF('Master Sheet'!C29="Area 3 (Saranya R)",'Master Sheet'!J29,"")</f>
        <v/>
      </c>
      <c r="K28" t="str">
        <f>IF('Master Sheet'!C29="Area 3 (Saranya R)",'Master Sheet'!K29,"")</f>
        <v/>
      </c>
      <c r="L28" t="str">
        <f>IF('Master Sheet'!C29="Area 3 (Saranya R)",'Master Sheet'!L29,"")</f>
        <v/>
      </c>
      <c r="M28" t="str">
        <f>IF('Master Sheet'!C29="Area 3 (Saranya R)",'Master Sheet'!M29,"")</f>
        <v/>
      </c>
      <c r="N28" t="str">
        <f>IF('Master Sheet'!C29="Area 3 (Saranya R)",'Master Sheet'!N29,"")</f>
        <v/>
      </c>
      <c r="O28" t="str">
        <f>IF('Master Sheet'!C29="Area 3 (Saranya R)",'Master Sheet'!O29,"")</f>
        <v/>
      </c>
      <c r="P28" t="str">
        <f>IF('Master Sheet'!C29="Area 3 (Saranya R)",'Master Sheet'!P29,"")</f>
        <v/>
      </c>
    </row>
    <row r="29" spans="1:16" hidden="1" x14ac:dyDescent="0.25">
      <c r="A29" t="str">
        <f>IF('Master Sheet'!C30="Area 3 (Saranya R)",'Master Sheet'!A30,"")</f>
        <v/>
      </c>
      <c r="B29" t="str">
        <f>IF('Master Sheet'!C30="Area 3 (Saranya R)",'Master Sheet'!B30,"")</f>
        <v/>
      </c>
      <c r="C29" t="s">
        <v>6</v>
      </c>
      <c r="D29" t="str">
        <f>IF('Master Sheet'!C30="Area 3 (Saranya R)",'Master Sheet'!D30,"")</f>
        <v/>
      </c>
      <c r="E29" t="str">
        <f>IF('Master Sheet'!C30="Area 3 (Saranya R)",'Master Sheet'!E30,"")</f>
        <v/>
      </c>
      <c r="F29" t="str">
        <f>IF('Master Sheet'!C30="Area 3 (Saranya R)",'Master Sheet'!F30,"")</f>
        <v/>
      </c>
      <c r="G29" t="str">
        <f>IF('Master Sheet'!C30="Area 3 (Saranya R)",'Master Sheet'!G30,"")</f>
        <v/>
      </c>
      <c r="H29" t="str">
        <f>IF('Master Sheet'!C30="Area 3 (Saranya R)",'Master Sheet'!H30,"")</f>
        <v/>
      </c>
      <c r="I29" t="str">
        <f>IF('Master Sheet'!C30="Area 3 (Saranya R)",'Master Sheet'!I30,"")</f>
        <v/>
      </c>
      <c r="J29" t="str">
        <f>IF('Master Sheet'!C30="Area 3 (Saranya R)",'Master Sheet'!J30,"")</f>
        <v/>
      </c>
      <c r="K29" t="str">
        <f>IF('Master Sheet'!C30="Area 3 (Saranya R)",'Master Sheet'!K30,"")</f>
        <v/>
      </c>
      <c r="L29" t="str">
        <f>IF('Master Sheet'!C30="Area 3 (Saranya R)",'Master Sheet'!L30,"")</f>
        <v/>
      </c>
      <c r="M29" t="str">
        <f>IF('Master Sheet'!C30="Area 3 (Saranya R)",'Master Sheet'!M30,"")</f>
        <v/>
      </c>
      <c r="N29" t="str">
        <f>IF('Master Sheet'!C30="Area 3 (Saranya R)",'Master Sheet'!N30,"")</f>
        <v/>
      </c>
      <c r="O29" t="str">
        <f>IF('Master Sheet'!C30="Area 3 (Saranya R)",'Master Sheet'!O30,"")</f>
        <v/>
      </c>
      <c r="P29" t="str">
        <f>IF('Master Sheet'!C30="Area 3 (Saranya R)",'Master Sheet'!P30,"")</f>
        <v/>
      </c>
    </row>
    <row r="30" spans="1:16" hidden="1" x14ac:dyDescent="0.25">
      <c r="A30" t="str">
        <f>IF('Master Sheet'!C31="Area 3 (Saranya R)",'Master Sheet'!A31,"")</f>
        <v/>
      </c>
      <c r="B30" t="str">
        <f>IF('Master Sheet'!C31="Area 3 (Saranya R)",'Master Sheet'!B31,"")</f>
        <v/>
      </c>
      <c r="C30" t="s">
        <v>6</v>
      </c>
      <c r="D30" t="str">
        <f>IF('Master Sheet'!C31="Area 3 (Saranya R)",'Master Sheet'!D31,"")</f>
        <v/>
      </c>
      <c r="E30" t="str">
        <f>IF('Master Sheet'!C31="Area 3 (Saranya R)",'Master Sheet'!E31,"")</f>
        <v/>
      </c>
      <c r="F30" t="str">
        <f>IF('Master Sheet'!C31="Area 3 (Saranya R)",'Master Sheet'!F31,"")</f>
        <v/>
      </c>
      <c r="G30" t="str">
        <f>IF('Master Sheet'!C31="Area 3 (Saranya R)",'Master Sheet'!G31,"")</f>
        <v/>
      </c>
      <c r="H30" t="str">
        <f>IF('Master Sheet'!C31="Area 3 (Saranya R)",'Master Sheet'!H31,"")</f>
        <v/>
      </c>
      <c r="I30" t="str">
        <f>IF('Master Sheet'!C31="Area 3 (Saranya R)",'Master Sheet'!I31,"")</f>
        <v/>
      </c>
      <c r="J30" t="str">
        <f>IF('Master Sheet'!C31="Area 3 (Saranya R)",'Master Sheet'!J31,"")</f>
        <v/>
      </c>
      <c r="K30" t="str">
        <f>IF('Master Sheet'!C31="Area 3 (Saranya R)",'Master Sheet'!K31,"")</f>
        <v/>
      </c>
      <c r="L30" t="str">
        <f>IF('Master Sheet'!C31="Area 3 (Saranya R)",'Master Sheet'!L31,"")</f>
        <v/>
      </c>
      <c r="M30" t="str">
        <f>IF('Master Sheet'!C31="Area 3 (Saranya R)",'Master Sheet'!M31,"")</f>
        <v/>
      </c>
      <c r="N30" t="str">
        <f>IF('Master Sheet'!C31="Area 3 (Saranya R)",'Master Sheet'!N31,"")</f>
        <v/>
      </c>
      <c r="O30" t="str">
        <f>IF('Master Sheet'!C31="Area 3 (Saranya R)",'Master Sheet'!O31,"")</f>
        <v/>
      </c>
      <c r="P30" t="str">
        <f>IF('Master Sheet'!C31="Area 3 (Saranya R)",'Master Sheet'!P31,"")</f>
        <v/>
      </c>
    </row>
    <row r="31" spans="1:16" hidden="1" x14ac:dyDescent="0.25">
      <c r="A31" t="str">
        <f>IF('Master Sheet'!C32="Area 3 (Saranya R)",'Master Sheet'!A32,"")</f>
        <v/>
      </c>
      <c r="B31" t="str">
        <f>IF('Master Sheet'!C32="Area 3 (Saranya R)",'Master Sheet'!B32,"")</f>
        <v/>
      </c>
      <c r="C31" t="s">
        <v>6</v>
      </c>
      <c r="D31" t="str">
        <f>IF('Master Sheet'!C32="Area 3 (Saranya R)",'Master Sheet'!D32,"")</f>
        <v/>
      </c>
      <c r="E31" t="str">
        <f>IF('Master Sheet'!C32="Area 3 (Saranya R)",'Master Sheet'!E32,"")</f>
        <v/>
      </c>
      <c r="F31" t="str">
        <f>IF('Master Sheet'!C32="Area 3 (Saranya R)",'Master Sheet'!F32,"")</f>
        <v/>
      </c>
      <c r="G31" t="str">
        <f>IF('Master Sheet'!C32="Area 3 (Saranya R)",'Master Sheet'!G32,"")</f>
        <v/>
      </c>
      <c r="H31" t="str">
        <f>IF('Master Sheet'!C32="Area 3 (Saranya R)",'Master Sheet'!H32,"")</f>
        <v/>
      </c>
      <c r="I31" t="str">
        <f>IF('Master Sheet'!C32="Area 3 (Saranya R)",'Master Sheet'!I32,"")</f>
        <v/>
      </c>
      <c r="J31" t="str">
        <f>IF('Master Sheet'!C32="Area 3 (Saranya R)",'Master Sheet'!J32,"")</f>
        <v/>
      </c>
      <c r="K31" t="str">
        <f>IF('Master Sheet'!C32="Area 3 (Saranya R)",'Master Sheet'!K32,"")</f>
        <v/>
      </c>
      <c r="L31" t="str">
        <f>IF('Master Sheet'!C32="Area 3 (Saranya R)",'Master Sheet'!L32,"")</f>
        <v/>
      </c>
      <c r="M31" t="str">
        <f>IF('Master Sheet'!C32="Area 3 (Saranya R)",'Master Sheet'!M32,"")</f>
        <v/>
      </c>
      <c r="N31" t="str">
        <f>IF('Master Sheet'!C32="Area 3 (Saranya R)",'Master Sheet'!N32,"")</f>
        <v/>
      </c>
      <c r="O31" t="str">
        <f>IF('Master Sheet'!C32="Area 3 (Saranya R)",'Master Sheet'!O32,"")</f>
        <v/>
      </c>
      <c r="P31" t="str">
        <f>IF('Master Sheet'!C32="Area 3 (Saranya R)",'Master Sheet'!P32,"")</f>
        <v/>
      </c>
    </row>
    <row r="32" spans="1:16" hidden="1" x14ac:dyDescent="0.25">
      <c r="A32" t="str">
        <f>IF('Master Sheet'!C33="Area 3 (Saranya R)",'Master Sheet'!A33,"")</f>
        <v/>
      </c>
      <c r="B32" t="str">
        <f>IF('Master Sheet'!C33="Area 3 (Saranya R)",'Master Sheet'!B33,"")</f>
        <v/>
      </c>
      <c r="C32" t="s">
        <v>6</v>
      </c>
      <c r="D32" t="str">
        <f>IF('Master Sheet'!C33="Area 3 (Saranya R)",'Master Sheet'!D33,"")</f>
        <v/>
      </c>
      <c r="E32" t="str">
        <f>IF('Master Sheet'!C33="Area 3 (Saranya R)",'Master Sheet'!E33,"")</f>
        <v/>
      </c>
      <c r="F32" t="str">
        <f>IF('Master Sheet'!C33="Area 3 (Saranya R)",'Master Sheet'!F33,"")</f>
        <v/>
      </c>
      <c r="G32" t="str">
        <f>IF('Master Sheet'!C33="Area 3 (Saranya R)",'Master Sheet'!G33,"")</f>
        <v/>
      </c>
      <c r="H32" t="str">
        <f>IF('Master Sheet'!C33="Area 3 (Saranya R)",'Master Sheet'!H33,"")</f>
        <v/>
      </c>
      <c r="I32" t="str">
        <f>IF('Master Sheet'!C33="Area 3 (Saranya R)",'Master Sheet'!I33,"")</f>
        <v/>
      </c>
      <c r="J32" t="str">
        <f>IF('Master Sheet'!C33="Area 3 (Saranya R)",'Master Sheet'!J33,"")</f>
        <v/>
      </c>
      <c r="K32" t="str">
        <f>IF('Master Sheet'!C33="Area 3 (Saranya R)",'Master Sheet'!K33,"")</f>
        <v/>
      </c>
      <c r="L32" t="str">
        <f>IF('Master Sheet'!C33="Area 3 (Saranya R)",'Master Sheet'!L33,"")</f>
        <v/>
      </c>
      <c r="M32" t="str">
        <f>IF('Master Sheet'!C33="Area 3 (Saranya R)",'Master Sheet'!M33,"")</f>
        <v/>
      </c>
      <c r="N32" t="str">
        <f>IF('Master Sheet'!C33="Area 3 (Saranya R)",'Master Sheet'!N33,"")</f>
        <v/>
      </c>
      <c r="O32" t="str">
        <f>IF('Master Sheet'!C33="Area 3 (Saranya R)",'Master Sheet'!O33,"")</f>
        <v/>
      </c>
      <c r="P32" t="str">
        <f>IF('Master Sheet'!C33="Area 3 (Saranya R)",'Master Sheet'!P33,"")</f>
        <v/>
      </c>
    </row>
    <row r="33" spans="1:16" hidden="1" x14ac:dyDescent="0.25">
      <c r="A33" t="str">
        <f>IF('Master Sheet'!C34="Area 3 (Saranya R)",'Master Sheet'!A34,"")</f>
        <v/>
      </c>
      <c r="B33" t="str">
        <f>IF('Master Sheet'!C34="Area 3 (Saranya R)",'Master Sheet'!B34,"")</f>
        <v/>
      </c>
      <c r="C33" t="s">
        <v>6</v>
      </c>
      <c r="D33" t="str">
        <f>IF('Master Sheet'!C34="Area 3 (Saranya R)",'Master Sheet'!D34,"")</f>
        <v/>
      </c>
      <c r="E33" t="str">
        <f>IF('Master Sheet'!C34="Area 3 (Saranya R)",'Master Sheet'!E34,"")</f>
        <v/>
      </c>
      <c r="F33" t="str">
        <f>IF('Master Sheet'!C34="Area 3 (Saranya R)",'Master Sheet'!F34,"")</f>
        <v/>
      </c>
      <c r="G33" t="str">
        <f>IF('Master Sheet'!C34="Area 3 (Saranya R)",'Master Sheet'!G34,"")</f>
        <v/>
      </c>
      <c r="H33" t="str">
        <f>IF('Master Sheet'!C34="Area 3 (Saranya R)",'Master Sheet'!H34,"")</f>
        <v/>
      </c>
      <c r="I33" t="str">
        <f>IF('Master Sheet'!C34="Area 3 (Saranya R)",'Master Sheet'!I34,"")</f>
        <v/>
      </c>
      <c r="J33" t="str">
        <f>IF('Master Sheet'!C34="Area 3 (Saranya R)",'Master Sheet'!J34,"")</f>
        <v/>
      </c>
      <c r="K33" t="str">
        <f>IF('Master Sheet'!C34="Area 3 (Saranya R)",'Master Sheet'!K34,"")</f>
        <v/>
      </c>
      <c r="L33" t="str">
        <f>IF('Master Sheet'!C34="Area 3 (Saranya R)",'Master Sheet'!L34,"")</f>
        <v/>
      </c>
      <c r="M33" t="str">
        <f>IF('Master Sheet'!C34="Area 3 (Saranya R)",'Master Sheet'!M34,"")</f>
        <v/>
      </c>
      <c r="N33" t="str">
        <f>IF('Master Sheet'!C34="Area 3 (Saranya R)",'Master Sheet'!N34,"")</f>
        <v/>
      </c>
      <c r="O33" t="str">
        <f>IF('Master Sheet'!C34="Area 3 (Saranya R)",'Master Sheet'!O34,"")</f>
        <v/>
      </c>
      <c r="P33" t="str">
        <f>IF('Master Sheet'!C34="Area 3 (Saranya R)",'Master Sheet'!P34,"")</f>
        <v/>
      </c>
    </row>
    <row r="34" spans="1:16" hidden="1" x14ac:dyDescent="0.25">
      <c r="A34" t="str">
        <f>IF('Master Sheet'!C35="Area 3 (Saranya R)",'Master Sheet'!A35,"")</f>
        <v/>
      </c>
      <c r="B34" t="str">
        <f>IF('Master Sheet'!C35="Area 3 (Saranya R)",'Master Sheet'!B35,"")</f>
        <v/>
      </c>
      <c r="C34" t="s">
        <v>6</v>
      </c>
      <c r="D34" t="str">
        <f>IF('Master Sheet'!C35="Area 3 (Saranya R)",'Master Sheet'!D35,"")</f>
        <v/>
      </c>
      <c r="E34" t="str">
        <f>IF('Master Sheet'!C35="Area 3 (Saranya R)",'Master Sheet'!E35,"")</f>
        <v/>
      </c>
      <c r="F34" t="str">
        <f>IF('Master Sheet'!C35="Area 3 (Saranya R)",'Master Sheet'!F35,"")</f>
        <v/>
      </c>
      <c r="G34" t="str">
        <f>IF('Master Sheet'!C35="Area 3 (Saranya R)",'Master Sheet'!G35,"")</f>
        <v/>
      </c>
      <c r="H34" t="str">
        <f>IF('Master Sheet'!C35="Area 3 (Saranya R)",'Master Sheet'!H35,"")</f>
        <v/>
      </c>
      <c r="I34" t="str">
        <f>IF('Master Sheet'!C35="Area 3 (Saranya R)",'Master Sheet'!I35,"")</f>
        <v/>
      </c>
      <c r="J34" t="str">
        <f>IF('Master Sheet'!C35="Area 3 (Saranya R)",'Master Sheet'!J35,"")</f>
        <v/>
      </c>
      <c r="K34" t="str">
        <f>IF('Master Sheet'!C35="Area 3 (Saranya R)",'Master Sheet'!K35,"")</f>
        <v/>
      </c>
      <c r="L34" t="str">
        <f>IF('Master Sheet'!C35="Area 3 (Saranya R)",'Master Sheet'!L35,"")</f>
        <v/>
      </c>
      <c r="M34" t="str">
        <f>IF('Master Sheet'!C35="Area 3 (Saranya R)",'Master Sheet'!M35,"")</f>
        <v/>
      </c>
      <c r="N34" t="str">
        <f>IF('Master Sheet'!C35="Area 3 (Saranya R)",'Master Sheet'!N35,"")</f>
        <v/>
      </c>
      <c r="O34" t="str">
        <f>IF('Master Sheet'!C35="Area 3 (Saranya R)",'Master Sheet'!O35,"")</f>
        <v/>
      </c>
      <c r="P34" t="str">
        <f>IF('Master Sheet'!C35="Area 3 (Saranya R)",'Master Sheet'!P35,"")</f>
        <v/>
      </c>
    </row>
    <row r="35" spans="1:16" hidden="1" x14ac:dyDescent="0.25">
      <c r="A35" t="str">
        <f>IF('Master Sheet'!C36="Area 3 (Saranya R)",'Master Sheet'!A36,"")</f>
        <v/>
      </c>
      <c r="B35" t="str">
        <f>IF('Master Sheet'!C36="Area 3 (Saranya R)",'Master Sheet'!B36,"")</f>
        <v/>
      </c>
      <c r="C35" t="s">
        <v>6</v>
      </c>
      <c r="D35" t="str">
        <f>IF('Master Sheet'!C36="Area 3 (Saranya R)",'Master Sheet'!D36,"")</f>
        <v/>
      </c>
      <c r="E35" t="str">
        <f>IF('Master Sheet'!C36="Area 3 (Saranya R)",'Master Sheet'!E36,"")</f>
        <v/>
      </c>
      <c r="F35" t="str">
        <f>IF('Master Sheet'!C36="Area 3 (Saranya R)",'Master Sheet'!F36,"")</f>
        <v/>
      </c>
      <c r="G35" t="str">
        <f>IF('Master Sheet'!C36="Area 3 (Saranya R)",'Master Sheet'!G36,"")</f>
        <v/>
      </c>
      <c r="H35" t="str">
        <f>IF('Master Sheet'!C36="Area 3 (Saranya R)",'Master Sheet'!H36,"")</f>
        <v/>
      </c>
      <c r="I35" t="str">
        <f>IF('Master Sheet'!C36="Area 3 (Saranya R)",'Master Sheet'!I36,"")</f>
        <v/>
      </c>
      <c r="J35" t="str">
        <f>IF('Master Sheet'!C36="Area 3 (Saranya R)",'Master Sheet'!J36,"")</f>
        <v/>
      </c>
      <c r="K35" t="str">
        <f>IF('Master Sheet'!C36="Area 3 (Saranya R)",'Master Sheet'!K36,"")</f>
        <v/>
      </c>
      <c r="L35" t="str">
        <f>IF('Master Sheet'!C36="Area 3 (Saranya R)",'Master Sheet'!L36,"")</f>
        <v/>
      </c>
      <c r="M35" t="str">
        <f>IF('Master Sheet'!C36="Area 3 (Saranya R)",'Master Sheet'!M36,"")</f>
        <v/>
      </c>
      <c r="N35" t="str">
        <f>IF('Master Sheet'!C36="Area 3 (Saranya R)",'Master Sheet'!N36,"")</f>
        <v/>
      </c>
      <c r="O35" t="str">
        <f>IF('Master Sheet'!C36="Area 3 (Saranya R)",'Master Sheet'!O36,"")</f>
        <v/>
      </c>
      <c r="P35" t="str">
        <f>IF('Master Sheet'!C36="Area 3 (Saranya R)",'Master Sheet'!P36,"")</f>
        <v/>
      </c>
    </row>
    <row r="36" spans="1:16" hidden="1" x14ac:dyDescent="0.25">
      <c r="A36" t="str">
        <f>IF('Master Sheet'!C37="Area 3 (Saranya R)",'Master Sheet'!A37,"")</f>
        <v/>
      </c>
      <c r="B36" t="str">
        <f>IF('Master Sheet'!C37="Area 3 (Saranya R)",'Master Sheet'!B37,"")</f>
        <v/>
      </c>
      <c r="C36" t="s">
        <v>6</v>
      </c>
      <c r="D36" t="str">
        <f>IF('Master Sheet'!C37="Area 3 (Saranya R)",'Master Sheet'!D37,"")</f>
        <v/>
      </c>
      <c r="E36" t="str">
        <f>IF('Master Sheet'!C37="Area 3 (Saranya R)",'Master Sheet'!E37,"")</f>
        <v/>
      </c>
      <c r="F36" t="str">
        <f>IF('Master Sheet'!C37="Area 3 (Saranya R)",'Master Sheet'!F37,"")</f>
        <v/>
      </c>
      <c r="G36" t="str">
        <f>IF('Master Sheet'!C37="Area 3 (Saranya R)",'Master Sheet'!G37,"")</f>
        <v/>
      </c>
      <c r="H36" t="str">
        <f>IF('Master Sheet'!C37="Area 3 (Saranya R)",'Master Sheet'!H37,"")</f>
        <v/>
      </c>
      <c r="I36" t="str">
        <f>IF('Master Sheet'!C37="Area 3 (Saranya R)",'Master Sheet'!I37,"")</f>
        <v/>
      </c>
      <c r="J36" t="str">
        <f>IF('Master Sheet'!C37="Area 3 (Saranya R)",'Master Sheet'!J37,"")</f>
        <v/>
      </c>
      <c r="K36" t="str">
        <f>IF('Master Sheet'!C37="Area 3 (Saranya R)",'Master Sheet'!K37,"")</f>
        <v/>
      </c>
      <c r="L36" t="str">
        <f>IF('Master Sheet'!C37="Area 3 (Saranya R)",'Master Sheet'!L37,"")</f>
        <v/>
      </c>
      <c r="M36" t="str">
        <f>IF('Master Sheet'!C37="Area 3 (Saranya R)",'Master Sheet'!M37,"")</f>
        <v/>
      </c>
      <c r="N36" t="str">
        <f>IF('Master Sheet'!C37="Area 3 (Saranya R)",'Master Sheet'!N37,"")</f>
        <v/>
      </c>
      <c r="O36" t="str">
        <f>IF('Master Sheet'!C37="Area 3 (Saranya R)",'Master Sheet'!O37,"")</f>
        <v/>
      </c>
      <c r="P36" t="str">
        <f>IF('Master Sheet'!C37="Area 3 (Saranya R)",'Master Sheet'!P37,"")</f>
        <v/>
      </c>
    </row>
    <row r="37" spans="1:16" hidden="1" x14ac:dyDescent="0.25">
      <c r="A37" t="str">
        <f>IF('Master Sheet'!C38="Area 3 (Saranya R)",'Master Sheet'!A38,"")</f>
        <v/>
      </c>
      <c r="B37" t="str">
        <f>IF('Master Sheet'!C38="Area 3 (Saranya R)",'Master Sheet'!B38,"")</f>
        <v/>
      </c>
      <c r="C37" t="s">
        <v>6</v>
      </c>
      <c r="D37" t="str">
        <f>IF('Master Sheet'!C38="Area 3 (Saranya R)",'Master Sheet'!D38,"")</f>
        <v/>
      </c>
      <c r="E37" t="str">
        <f>IF('Master Sheet'!C38="Area 3 (Saranya R)",'Master Sheet'!E38,"")</f>
        <v/>
      </c>
      <c r="F37" t="str">
        <f>IF('Master Sheet'!C38="Area 3 (Saranya R)",'Master Sheet'!F38,"")</f>
        <v/>
      </c>
      <c r="G37" t="str">
        <f>IF('Master Sheet'!C38="Area 3 (Saranya R)",'Master Sheet'!G38,"")</f>
        <v/>
      </c>
      <c r="H37" t="str">
        <f>IF('Master Sheet'!C38="Area 3 (Saranya R)",'Master Sheet'!H38,"")</f>
        <v/>
      </c>
      <c r="I37" t="str">
        <f>IF('Master Sheet'!C38="Area 3 (Saranya R)",'Master Sheet'!I38,"")</f>
        <v/>
      </c>
      <c r="J37" t="str">
        <f>IF('Master Sheet'!C38="Area 3 (Saranya R)",'Master Sheet'!J38,"")</f>
        <v/>
      </c>
      <c r="K37" t="str">
        <f>IF('Master Sheet'!C38="Area 3 (Saranya R)",'Master Sheet'!K38,"")</f>
        <v/>
      </c>
      <c r="L37" t="str">
        <f>IF('Master Sheet'!C38="Area 3 (Saranya R)",'Master Sheet'!L38,"")</f>
        <v/>
      </c>
      <c r="M37" t="str">
        <f>IF('Master Sheet'!C38="Area 3 (Saranya R)",'Master Sheet'!M38,"")</f>
        <v/>
      </c>
      <c r="N37" t="str">
        <f>IF('Master Sheet'!C38="Area 3 (Saranya R)",'Master Sheet'!N38,"")</f>
        <v/>
      </c>
      <c r="O37" t="str">
        <f>IF('Master Sheet'!C38="Area 3 (Saranya R)",'Master Sheet'!O38,"")</f>
        <v/>
      </c>
      <c r="P37" t="str">
        <f>IF('Master Sheet'!C38="Area 3 (Saranya R)",'Master Sheet'!P38,"")</f>
        <v/>
      </c>
    </row>
    <row r="38" spans="1:16" hidden="1" x14ac:dyDescent="0.25">
      <c r="A38" t="str">
        <f>IF('Master Sheet'!C39="Area 3 (Saranya R)",'Master Sheet'!A39,"")</f>
        <v/>
      </c>
      <c r="B38" t="str">
        <f>IF('Master Sheet'!C39="Area 3 (Saranya R)",'Master Sheet'!B39,"")</f>
        <v/>
      </c>
      <c r="C38" t="s">
        <v>6</v>
      </c>
      <c r="D38" t="str">
        <f>IF('Master Sheet'!C39="Area 3 (Saranya R)",'Master Sheet'!D39,"")</f>
        <v/>
      </c>
      <c r="E38" t="str">
        <f>IF('Master Sheet'!C39="Area 3 (Saranya R)",'Master Sheet'!E39,"")</f>
        <v/>
      </c>
      <c r="F38" t="str">
        <f>IF('Master Sheet'!C39="Area 3 (Saranya R)",'Master Sheet'!F39,"")</f>
        <v/>
      </c>
      <c r="G38" t="str">
        <f>IF('Master Sheet'!C39="Area 3 (Saranya R)",'Master Sheet'!G39,"")</f>
        <v/>
      </c>
      <c r="H38" t="str">
        <f>IF('Master Sheet'!C39="Area 3 (Saranya R)",'Master Sheet'!H39,"")</f>
        <v/>
      </c>
      <c r="I38" t="str">
        <f>IF('Master Sheet'!C39="Area 3 (Saranya R)",'Master Sheet'!I39,"")</f>
        <v/>
      </c>
      <c r="J38" t="str">
        <f>IF('Master Sheet'!C39="Area 3 (Saranya R)",'Master Sheet'!J39,"")</f>
        <v/>
      </c>
      <c r="K38" t="str">
        <f>IF('Master Sheet'!C39="Area 3 (Saranya R)",'Master Sheet'!K39,"")</f>
        <v/>
      </c>
      <c r="L38" t="str">
        <f>IF('Master Sheet'!C39="Area 3 (Saranya R)",'Master Sheet'!L39,"")</f>
        <v/>
      </c>
      <c r="M38" t="str">
        <f>IF('Master Sheet'!C39="Area 3 (Saranya R)",'Master Sheet'!M39,"")</f>
        <v/>
      </c>
      <c r="N38" t="str">
        <f>IF('Master Sheet'!C39="Area 3 (Saranya R)",'Master Sheet'!N39,"")</f>
        <v/>
      </c>
      <c r="O38" t="str">
        <f>IF('Master Sheet'!C39="Area 3 (Saranya R)",'Master Sheet'!O39,"")</f>
        <v/>
      </c>
      <c r="P38" t="str">
        <f>IF('Master Sheet'!C39="Area 3 (Saranya R)",'Master Sheet'!P39,"")</f>
        <v/>
      </c>
    </row>
    <row r="39" spans="1:16" hidden="1" x14ac:dyDescent="0.25">
      <c r="A39" t="str">
        <f>IF('Master Sheet'!C40="Area 3 (Saranya R)",'Master Sheet'!A40,"")</f>
        <v/>
      </c>
      <c r="B39" t="str">
        <f>IF('Master Sheet'!C40="Area 3 (Saranya R)",'Master Sheet'!B40,"")</f>
        <v/>
      </c>
      <c r="C39" t="s">
        <v>6</v>
      </c>
      <c r="D39" t="str">
        <f>IF('Master Sheet'!C40="Area 3 (Saranya R)",'Master Sheet'!D40,"")</f>
        <v/>
      </c>
      <c r="E39" t="str">
        <f>IF('Master Sheet'!C40="Area 3 (Saranya R)",'Master Sheet'!E40,"")</f>
        <v/>
      </c>
      <c r="F39" t="str">
        <f>IF('Master Sheet'!C40="Area 3 (Saranya R)",'Master Sheet'!F40,"")</f>
        <v/>
      </c>
      <c r="G39" t="str">
        <f>IF('Master Sheet'!C40="Area 3 (Saranya R)",'Master Sheet'!G40,"")</f>
        <v/>
      </c>
      <c r="H39" t="str">
        <f>IF('Master Sheet'!C40="Area 3 (Saranya R)",'Master Sheet'!H40,"")</f>
        <v/>
      </c>
      <c r="I39" t="str">
        <f>IF('Master Sheet'!C40="Area 3 (Saranya R)",'Master Sheet'!I40,"")</f>
        <v/>
      </c>
      <c r="J39" t="str">
        <f>IF('Master Sheet'!C40="Area 3 (Saranya R)",'Master Sheet'!J40,"")</f>
        <v/>
      </c>
      <c r="K39" t="str">
        <f>IF('Master Sheet'!C40="Area 3 (Saranya R)",'Master Sheet'!K40,"")</f>
        <v/>
      </c>
      <c r="L39" t="str">
        <f>IF('Master Sheet'!C40="Area 3 (Saranya R)",'Master Sheet'!L40,"")</f>
        <v/>
      </c>
      <c r="M39" t="str">
        <f>IF('Master Sheet'!C40="Area 3 (Saranya R)",'Master Sheet'!M40,"")</f>
        <v/>
      </c>
      <c r="N39" t="str">
        <f>IF('Master Sheet'!C40="Area 3 (Saranya R)",'Master Sheet'!N40,"")</f>
        <v/>
      </c>
      <c r="O39" t="str">
        <f>IF('Master Sheet'!C40="Area 3 (Saranya R)",'Master Sheet'!O40,"")</f>
        <v/>
      </c>
      <c r="P39" t="str">
        <f>IF('Master Sheet'!C40="Area 3 (Saranya R)",'Master Sheet'!P40,"")</f>
        <v/>
      </c>
    </row>
    <row r="40" spans="1:16" hidden="1" x14ac:dyDescent="0.25">
      <c r="A40" t="str">
        <f>IF('Master Sheet'!C41="Area 3 (Saranya R)",'Master Sheet'!A41,"")</f>
        <v/>
      </c>
      <c r="B40" t="str">
        <f>IF('Master Sheet'!C41="Area 3 (Saranya R)",'Master Sheet'!B41,"")</f>
        <v/>
      </c>
      <c r="C40" t="s">
        <v>6</v>
      </c>
      <c r="D40" t="str">
        <f>IF('Master Sheet'!C41="Area 3 (Saranya R)",'Master Sheet'!D41,"")</f>
        <v/>
      </c>
      <c r="E40" t="str">
        <f>IF('Master Sheet'!C41="Area 3 (Saranya R)",'Master Sheet'!E41,"")</f>
        <v/>
      </c>
      <c r="F40" t="str">
        <f>IF('Master Sheet'!C41="Area 3 (Saranya R)",'Master Sheet'!F41,"")</f>
        <v/>
      </c>
      <c r="G40" t="str">
        <f>IF('Master Sheet'!C41="Area 3 (Saranya R)",'Master Sheet'!G41,"")</f>
        <v/>
      </c>
      <c r="H40" t="str">
        <f>IF('Master Sheet'!C41="Area 3 (Saranya R)",'Master Sheet'!H41,"")</f>
        <v/>
      </c>
      <c r="I40" t="str">
        <f>IF('Master Sheet'!C41="Area 3 (Saranya R)",'Master Sheet'!I41,"")</f>
        <v/>
      </c>
      <c r="J40" t="str">
        <f>IF('Master Sheet'!C41="Area 3 (Saranya R)",'Master Sheet'!J41,"")</f>
        <v/>
      </c>
      <c r="K40" t="str">
        <f>IF('Master Sheet'!C41="Area 3 (Saranya R)",'Master Sheet'!K41,"")</f>
        <v/>
      </c>
      <c r="L40" t="str">
        <f>IF('Master Sheet'!C41="Area 3 (Saranya R)",'Master Sheet'!L41,"")</f>
        <v/>
      </c>
      <c r="M40" t="str">
        <f>IF('Master Sheet'!C41="Area 3 (Saranya R)",'Master Sheet'!M41,"")</f>
        <v/>
      </c>
      <c r="N40" t="str">
        <f>IF('Master Sheet'!C41="Area 3 (Saranya R)",'Master Sheet'!N41,"")</f>
        <v/>
      </c>
      <c r="O40" t="str">
        <f>IF('Master Sheet'!C41="Area 3 (Saranya R)",'Master Sheet'!O41,"")</f>
        <v/>
      </c>
      <c r="P40" t="str">
        <f>IF('Master Sheet'!C41="Area 3 (Saranya R)",'Master Sheet'!P41,"")</f>
        <v/>
      </c>
    </row>
    <row r="41" spans="1:16" hidden="1" x14ac:dyDescent="0.25">
      <c r="A41" t="str">
        <f>IF('Master Sheet'!C42="Area 3 (Saranya R)",'Master Sheet'!A42,"")</f>
        <v/>
      </c>
      <c r="B41" t="str">
        <f>IF('Master Sheet'!C42="Area 3 (Saranya R)",'Master Sheet'!B42,"")</f>
        <v/>
      </c>
      <c r="C41" t="s">
        <v>6</v>
      </c>
      <c r="D41" t="str">
        <f>IF('Master Sheet'!C42="Area 3 (Saranya R)",'Master Sheet'!D42,"")</f>
        <v/>
      </c>
      <c r="E41" t="str">
        <f>IF('Master Sheet'!C42="Area 3 (Saranya R)",'Master Sheet'!E42,"")</f>
        <v/>
      </c>
      <c r="F41" t="str">
        <f>IF('Master Sheet'!C42="Area 3 (Saranya R)",'Master Sheet'!F42,"")</f>
        <v/>
      </c>
      <c r="G41" t="str">
        <f>IF('Master Sheet'!C42="Area 3 (Saranya R)",'Master Sheet'!G42,"")</f>
        <v/>
      </c>
      <c r="H41" t="str">
        <f>IF('Master Sheet'!C42="Area 3 (Saranya R)",'Master Sheet'!H42,"")</f>
        <v/>
      </c>
      <c r="I41" t="str">
        <f>IF('Master Sheet'!C42="Area 3 (Saranya R)",'Master Sheet'!I42,"")</f>
        <v/>
      </c>
      <c r="J41" t="str">
        <f>IF('Master Sheet'!C42="Area 3 (Saranya R)",'Master Sheet'!J42,"")</f>
        <v/>
      </c>
      <c r="K41" t="str">
        <f>IF('Master Sheet'!C42="Area 3 (Saranya R)",'Master Sheet'!K42,"")</f>
        <v/>
      </c>
      <c r="L41" t="str">
        <f>IF('Master Sheet'!C42="Area 3 (Saranya R)",'Master Sheet'!L42,"")</f>
        <v/>
      </c>
      <c r="M41" t="str">
        <f>IF('Master Sheet'!C42="Area 3 (Saranya R)",'Master Sheet'!M42,"")</f>
        <v/>
      </c>
      <c r="N41" t="str">
        <f>IF('Master Sheet'!C42="Area 3 (Saranya R)",'Master Sheet'!N42,"")</f>
        <v/>
      </c>
      <c r="O41" t="str">
        <f>IF('Master Sheet'!C42="Area 3 (Saranya R)",'Master Sheet'!O42,"")</f>
        <v/>
      </c>
      <c r="P41" t="str">
        <f>IF('Master Sheet'!C42="Area 3 (Saranya R)",'Master Sheet'!P42,"")</f>
        <v/>
      </c>
    </row>
    <row r="42" spans="1:16" hidden="1" x14ac:dyDescent="0.25">
      <c r="A42" t="str">
        <f>IF('Master Sheet'!C43="Area 3 (Saranya R)",'Master Sheet'!A43,"")</f>
        <v/>
      </c>
      <c r="B42" t="str">
        <f>IF('Master Sheet'!C43="Area 3 (Saranya R)",'Master Sheet'!B43,"")</f>
        <v/>
      </c>
      <c r="C42" t="s">
        <v>6</v>
      </c>
      <c r="D42" t="str">
        <f>IF('Master Sheet'!C43="Area 3 (Saranya R)",'Master Sheet'!D43,"")</f>
        <v/>
      </c>
      <c r="E42" t="str">
        <f>IF('Master Sheet'!C43="Area 3 (Saranya R)",'Master Sheet'!E43,"")</f>
        <v/>
      </c>
      <c r="F42" t="str">
        <f>IF('Master Sheet'!C43="Area 3 (Saranya R)",'Master Sheet'!F43,"")</f>
        <v/>
      </c>
      <c r="G42" t="str">
        <f>IF('Master Sheet'!C43="Area 3 (Saranya R)",'Master Sheet'!G43,"")</f>
        <v/>
      </c>
      <c r="H42" t="str">
        <f>IF('Master Sheet'!C43="Area 3 (Saranya R)",'Master Sheet'!H43,"")</f>
        <v/>
      </c>
      <c r="I42" t="str">
        <f>IF('Master Sheet'!C43="Area 3 (Saranya R)",'Master Sheet'!I43,"")</f>
        <v/>
      </c>
      <c r="J42" t="str">
        <f>IF('Master Sheet'!C43="Area 3 (Saranya R)",'Master Sheet'!J43,"")</f>
        <v/>
      </c>
      <c r="K42" t="str">
        <f>IF('Master Sheet'!C43="Area 3 (Saranya R)",'Master Sheet'!K43,"")</f>
        <v/>
      </c>
      <c r="L42" t="str">
        <f>IF('Master Sheet'!C43="Area 3 (Saranya R)",'Master Sheet'!L43,"")</f>
        <v/>
      </c>
      <c r="M42" t="str">
        <f>IF('Master Sheet'!C43="Area 3 (Saranya R)",'Master Sheet'!M43,"")</f>
        <v/>
      </c>
      <c r="N42" t="str">
        <f>IF('Master Sheet'!C43="Area 3 (Saranya R)",'Master Sheet'!N43,"")</f>
        <v/>
      </c>
      <c r="O42" t="str">
        <f>IF('Master Sheet'!C43="Area 3 (Saranya R)",'Master Sheet'!O43,"")</f>
        <v/>
      </c>
      <c r="P42" t="str">
        <f>IF('Master Sheet'!C43="Area 3 (Saranya R)",'Master Sheet'!P43,"")</f>
        <v/>
      </c>
    </row>
    <row r="43" spans="1:16" s="8" customFormat="1" ht="19.899999999999999" customHeight="1" x14ac:dyDescent="0.25">
      <c r="A43" s="7" t="str">
        <f>IF('Master Sheet'!C44="Area 3 (Saranya R)",'Master Sheet'!A44,"")</f>
        <v>P042</v>
      </c>
      <c r="B43" s="10" t="str">
        <f>IF('Master Sheet'!C44="Area 3 (Saranya R)",'Master Sheet'!B44,"")</f>
        <v>Tinu</v>
      </c>
      <c r="C43" t="s">
        <v>6</v>
      </c>
      <c r="D43" s="9">
        <f>IF('Master Sheet'!C44="Area 3 (Saranya R)",'Master Sheet'!D44,"")</f>
        <v>0</v>
      </c>
      <c r="E43" s="9">
        <f>IF('Master Sheet'!C44="Area 3 (Saranya R)",'Master Sheet'!E44,"")</f>
        <v>0</v>
      </c>
      <c r="F43" s="9">
        <f>IF('Master Sheet'!C44="Area 3 (Saranya R)",'Master Sheet'!F44,"")</f>
        <v>0</v>
      </c>
      <c r="G43" s="9">
        <f>IF('Master Sheet'!C44="Area 3 (Saranya R)",'Master Sheet'!G44,"")</f>
        <v>0</v>
      </c>
      <c r="H43" s="9">
        <f>IF('Master Sheet'!C44="Area 3 (Saranya R)",'Master Sheet'!H44,"")</f>
        <v>0</v>
      </c>
      <c r="I43" s="9">
        <f>IF('Master Sheet'!C44="Area 3 (Saranya R)",'Master Sheet'!I44,"")</f>
        <v>0</v>
      </c>
      <c r="J43" s="9">
        <f>IF('Master Sheet'!C44="Area 3 (Saranya R)",'Master Sheet'!J44,"")</f>
        <v>0</v>
      </c>
      <c r="K43" s="9">
        <f>IF('Master Sheet'!C44="Area 3 (Saranya R)",'Master Sheet'!K44,"")</f>
        <v>0</v>
      </c>
      <c r="L43" s="9">
        <f>IF('Master Sheet'!C44="Area 3 (Saranya R)",'Master Sheet'!L44,"")</f>
        <v>0</v>
      </c>
      <c r="M43" s="9">
        <f>IF('Master Sheet'!C44="Area 3 (Saranya R)",'Master Sheet'!M44,"")</f>
        <v>0</v>
      </c>
      <c r="N43" s="9">
        <f>IF('Master Sheet'!C44="Area 3 (Saranya R)",'Master Sheet'!N44,"")</f>
        <v>0</v>
      </c>
      <c r="O43" s="23">
        <f>IF('Master Sheet'!C44="Area 3 (Saranya R)",'Master Sheet'!O44,"")</f>
        <v>3500</v>
      </c>
      <c r="P43" s="9" t="str">
        <f>IF('Master Sheet'!C44="Area 3 (Saranya R)",'Master Sheet'!P44,"")</f>
        <v>Pending</v>
      </c>
    </row>
    <row r="44" spans="1:16" s="8" customFormat="1" ht="19.899999999999999" customHeight="1" x14ac:dyDescent="0.25">
      <c r="A44" s="7" t="str">
        <f>IF('Master Sheet'!C45="Area 3 (Saranya R)",'Master Sheet'!A45,"")</f>
        <v>P043</v>
      </c>
      <c r="B44" s="10" t="str">
        <f>IF('Master Sheet'!C45="Area 3 (Saranya R)",'Master Sheet'!B45,"")</f>
        <v>Abhiya</v>
      </c>
      <c r="C44" t="s">
        <v>6</v>
      </c>
      <c r="D44" s="9">
        <f>IF('Master Sheet'!C45="Area 3 (Saranya R)",'Master Sheet'!D45,"")</f>
        <v>0</v>
      </c>
      <c r="E44" s="9">
        <f>IF('Master Sheet'!C45="Area 3 (Saranya R)",'Master Sheet'!E45,"")</f>
        <v>500</v>
      </c>
      <c r="F44" s="9">
        <f>IF('Master Sheet'!C45="Area 3 (Saranya R)",'Master Sheet'!F45,"")</f>
        <v>500</v>
      </c>
      <c r="G44" s="9">
        <f>IF('Master Sheet'!C45="Area 3 (Saranya R)",'Master Sheet'!G45,"")</f>
        <v>0</v>
      </c>
      <c r="H44" s="9">
        <f>IF('Master Sheet'!C45="Area 3 (Saranya R)",'Master Sheet'!H45,"")</f>
        <v>0</v>
      </c>
      <c r="I44" s="9">
        <f>IF('Master Sheet'!C45="Area 3 (Saranya R)",'Master Sheet'!I45,"")</f>
        <v>0</v>
      </c>
      <c r="J44" s="9">
        <f>IF('Master Sheet'!C45="Area 3 (Saranya R)",'Master Sheet'!J45,"")</f>
        <v>0</v>
      </c>
      <c r="K44" s="9">
        <f>IF('Master Sheet'!C45="Area 3 (Saranya R)",'Master Sheet'!K45,"")</f>
        <v>0</v>
      </c>
      <c r="L44" s="9">
        <f>IF('Master Sheet'!C45="Area 3 (Saranya R)",'Master Sheet'!L45,"")</f>
        <v>0</v>
      </c>
      <c r="M44" s="9">
        <f>IF('Master Sheet'!C45="Area 3 (Saranya R)",'Master Sheet'!M45,"")</f>
        <v>0</v>
      </c>
      <c r="N44" s="9">
        <f>IF('Master Sheet'!C45="Area 3 (Saranya R)",'Master Sheet'!N45,"")</f>
        <v>1000</v>
      </c>
      <c r="O44" s="23">
        <f>IF('Master Sheet'!C45="Area 3 (Saranya R)",'Master Sheet'!O45,"")</f>
        <v>2500</v>
      </c>
      <c r="P44" s="9" t="str">
        <f>IF('Master Sheet'!C45="Area 3 (Saranya R)",'Master Sheet'!P45,"")</f>
        <v>Pending</v>
      </c>
    </row>
    <row r="45" spans="1:16" s="8" customFormat="1" ht="19.899999999999999" customHeight="1" x14ac:dyDescent="0.25">
      <c r="A45" s="7" t="str">
        <f>IF('Master Sheet'!C46="Area 3 (Saranya R)",'Master Sheet'!A46,"")</f>
        <v>P044</v>
      </c>
      <c r="B45" s="10" t="str">
        <f>IF('Master Sheet'!C46="Area 3 (Saranya R)",'Master Sheet'!B46,"")</f>
        <v>Syam</v>
      </c>
      <c r="C45" t="s">
        <v>6</v>
      </c>
      <c r="D45" s="9">
        <f>IF('Master Sheet'!C46="Area 3 (Saranya R)",'Master Sheet'!D46,"")</f>
        <v>500</v>
      </c>
      <c r="E45" s="9">
        <f>IF('Master Sheet'!C46="Area 3 (Saranya R)",'Master Sheet'!E46,"")</f>
        <v>600</v>
      </c>
      <c r="F45" s="9">
        <f>IF('Master Sheet'!C46="Area 3 (Saranya R)",'Master Sheet'!F46,"")</f>
        <v>150</v>
      </c>
      <c r="G45" s="9">
        <f>IF('Master Sheet'!C46="Area 3 (Saranya R)",'Master Sheet'!G46,"")</f>
        <v>500</v>
      </c>
      <c r="H45" s="9">
        <f>IF('Master Sheet'!C46="Area 3 (Saranya R)",'Master Sheet'!H46,"")</f>
        <v>0</v>
      </c>
      <c r="I45" s="9">
        <f>IF('Master Sheet'!C46="Area 3 (Saranya R)",'Master Sheet'!I46,"")</f>
        <v>0</v>
      </c>
      <c r="J45" s="9">
        <f>IF('Master Sheet'!C46="Area 3 (Saranya R)",'Master Sheet'!J46,"")</f>
        <v>0</v>
      </c>
      <c r="K45" s="9">
        <f>IF('Master Sheet'!C46="Area 3 (Saranya R)",'Master Sheet'!K46,"")</f>
        <v>0</v>
      </c>
      <c r="L45" s="9">
        <f>IF('Master Sheet'!C46="Area 3 (Saranya R)",'Master Sheet'!L46,"")</f>
        <v>0</v>
      </c>
      <c r="M45" s="9">
        <f>IF('Master Sheet'!C46="Area 3 (Saranya R)",'Master Sheet'!M46,"")</f>
        <v>0</v>
      </c>
      <c r="N45" s="9">
        <f>IF('Master Sheet'!C46="Area 3 (Saranya R)",'Master Sheet'!N46,"")</f>
        <v>1750</v>
      </c>
      <c r="O45" s="23">
        <f>IF('Master Sheet'!C46="Area 3 (Saranya R)",'Master Sheet'!O46,"")</f>
        <v>1750</v>
      </c>
      <c r="P45" s="9" t="str">
        <f>IF('Master Sheet'!C46="Area 3 (Saranya R)",'Master Sheet'!P46,"")</f>
        <v>Pending</v>
      </c>
    </row>
    <row r="46" spans="1:16" s="8" customFormat="1" ht="19.899999999999999" customHeight="1" x14ac:dyDescent="0.25">
      <c r="A46" s="7" t="str">
        <f>IF('Master Sheet'!C47="Area 3 (Saranya R)",'Master Sheet'!A47,"")</f>
        <v>P045</v>
      </c>
      <c r="B46" s="10" t="str">
        <f>IF('Master Sheet'!C47="Area 3 (Saranya R)",'Master Sheet'!B47,"")</f>
        <v>Chithra</v>
      </c>
      <c r="C46" t="s">
        <v>6</v>
      </c>
      <c r="D46" s="9">
        <f>IF('Master Sheet'!C47="Area 3 (Saranya R)",'Master Sheet'!D47,"")</f>
        <v>0</v>
      </c>
      <c r="E46" s="9">
        <f>IF('Master Sheet'!C47="Area 3 (Saranya R)",'Master Sheet'!E47,"")</f>
        <v>500</v>
      </c>
      <c r="F46" s="9">
        <f>IF('Master Sheet'!C47="Area 3 (Saranya R)",'Master Sheet'!F47,"")</f>
        <v>0</v>
      </c>
      <c r="G46" s="9">
        <f>IF('Master Sheet'!C47="Area 3 (Saranya R)",'Master Sheet'!G47,"")</f>
        <v>0</v>
      </c>
      <c r="H46" s="9">
        <f>IF('Master Sheet'!C47="Area 3 (Saranya R)",'Master Sheet'!H47,"")</f>
        <v>0</v>
      </c>
      <c r="I46" s="9">
        <f>IF('Master Sheet'!C47="Area 3 (Saranya R)",'Master Sheet'!I47,"")</f>
        <v>0</v>
      </c>
      <c r="J46" s="9">
        <f>IF('Master Sheet'!C47="Area 3 (Saranya R)",'Master Sheet'!J47,"")</f>
        <v>0</v>
      </c>
      <c r="K46" s="9">
        <f>IF('Master Sheet'!C47="Area 3 (Saranya R)",'Master Sheet'!K47,"")</f>
        <v>0</v>
      </c>
      <c r="L46" s="9">
        <f>IF('Master Sheet'!C47="Area 3 (Saranya R)",'Master Sheet'!L47,"")</f>
        <v>0</v>
      </c>
      <c r="M46" s="9">
        <f>IF('Master Sheet'!C47="Area 3 (Saranya R)",'Master Sheet'!M47,"")</f>
        <v>0</v>
      </c>
      <c r="N46" s="9">
        <f>IF('Master Sheet'!C47="Area 3 (Saranya R)",'Master Sheet'!N47,"")</f>
        <v>500</v>
      </c>
      <c r="O46" s="23">
        <f>IF('Master Sheet'!C47="Area 3 (Saranya R)",'Master Sheet'!O47,"")</f>
        <v>3000</v>
      </c>
      <c r="P46" s="9" t="str">
        <f>IF('Master Sheet'!C47="Area 3 (Saranya R)",'Master Sheet'!P47,"")</f>
        <v>Pending</v>
      </c>
    </row>
    <row r="47" spans="1:16" s="8" customFormat="1" ht="19.899999999999999" customHeight="1" x14ac:dyDescent="0.25">
      <c r="A47" s="7" t="str">
        <f>IF('Master Sheet'!C48="Area 3 (Saranya R)",'Master Sheet'!A48,"")</f>
        <v>P046</v>
      </c>
      <c r="B47" s="10" t="str">
        <f>IF('Master Sheet'!C48="Area 3 (Saranya R)",'Master Sheet'!B48,"")</f>
        <v xml:space="preserve">Bindhu </v>
      </c>
      <c r="C47" t="s">
        <v>6</v>
      </c>
      <c r="D47" s="9">
        <f>IF('Master Sheet'!C48="Area 3 (Saranya R)",'Master Sheet'!D48,"")</f>
        <v>0</v>
      </c>
      <c r="E47" s="9">
        <f>IF('Master Sheet'!C48="Area 3 (Saranya R)",'Master Sheet'!E48,"")</f>
        <v>0</v>
      </c>
      <c r="F47" s="9">
        <f>IF('Master Sheet'!C48="Area 3 (Saranya R)",'Master Sheet'!F48,"")</f>
        <v>500</v>
      </c>
      <c r="G47" s="9">
        <f>IF('Master Sheet'!C48="Area 3 (Saranya R)",'Master Sheet'!G48,"")</f>
        <v>0</v>
      </c>
      <c r="H47" s="9">
        <f>IF('Master Sheet'!C48="Area 3 (Saranya R)",'Master Sheet'!H48,"")</f>
        <v>0</v>
      </c>
      <c r="I47" s="9">
        <f>IF('Master Sheet'!C48="Area 3 (Saranya R)",'Master Sheet'!I48,"")</f>
        <v>0</v>
      </c>
      <c r="J47" s="9">
        <f>IF('Master Sheet'!C48="Area 3 (Saranya R)",'Master Sheet'!J48,"")</f>
        <v>0</v>
      </c>
      <c r="K47" s="9">
        <f>IF('Master Sheet'!C48="Area 3 (Saranya R)",'Master Sheet'!K48,"")</f>
        <v>0</v>
      </c>
      <c r="L47" s="9">
        <f>IF('Master Sheet'!C48="Area 3 (Saranya R)",'Master Sheet'!L48,"")</f>
        <v>0</v>
      </c>
      <c r="M47" s="9">
        <f>IF('Master Sheet'!C48="Area 3 (Saranya R)",'Master Sheet'!M48,"")</f>
        <v>0</v>
      </c>
      <c r="N47" s="9">
        <f>IF('Master Sheet'!C48="Area 3 (Saranya R)",'Master Sheet'!N48,"")</f>
        <v>500</v>
      </c>
      <c r="O47" s="23">
        <f>IF('Master Sheet'!C48="Area 3 (Saranya R)",'Master Sheet'!O48,"")</f>
        <v>3000</v>
      </c>
      <c r="P47" s="9" t="str">
        <f>IF('Master Sheet'!C48="Area 3 (Saranya R)",'Master Sheet'!P48,"")</f>
        <v>Pending</v>
      </c>
    </row>
    <row r="48" spans="1:16" s="8" customFormat="1" ht="19.899999999999999" customHeight="1" x14ac:dyDescent="0.25">
      <c r="A48" s="7" t="str">
        <f>IF('Master Sheet'!C49="Area 3 (Saranya R)",'Master Sheet'!A49,"")</f>
        <v>P047</v>
      </c>
      <c r="B48" s="10" t="str">
        <f>IF('Master Sheet'!C49="Area 3 (Saranya R)",'Master Sheet'!B49,"")</f>
        <v>Mincy</v>
      </c>
      <c r="C48" t="s">
        <v>6</v>
      </c>
      <c r="D48" s="9">
        <f>IF('Master Sheet'!C49="Area 3 (Saranya R)",'Master Sheet'!D49,"")</f>
        <v>0</v>
      </c>
      <c r="E48" s="9">
        <f>IF('Master Sheet'!C49="Area 3 (Saranya R)",'Master Sheet'!E49,"")</f>
        <v>0</v>
      </c>
      <c r="F48" s="9">
        <f>IF('Master Sheet'!C49="Area 3 (Saranya R)",'Master Sheet'!F49,"")</f>
        <v>0</v>
      </c>
      <c r="G48" s="9">
        <f>IF('Master Sheet'!C49="Area 3 (Saranya R)",'Master Sheet'!G49,"")</f>
        <v>0</v>
      </c>
      <c r="H48" s="9">
        <f>IF('Master Sheet'!C49="Area 3 (Saranya R)",'Master Sheet'!H49,"")</f>
        <v>0</v>
      </c>
      <c r="I48" s="9">
        <f>IF('Master Sheet'!C49="Area 3 (Saranya R)",'Master Sheet'!I49,"")</f>
        <v>0</v>
      </c>
      <c r="J48" s="9">
        <f>IF('Master Sheet'!C49="Area 3 (Saranya R)",'Master Sheet'!J49,"")</f>
        <v>0</v>
      </c>
      <c r="K48" s="9">
        <f>IF('Master Sheet'!C49="Area 3 (Saranya R)",'Master Sheet'!K49,"")</f>
        <v>0</v>
      </c>
      <c r="L48" s="9">
        <f>IF('Master Sheet'!C49="Area 3 (Saranya R)",'Master Sheet'!L49,"")</f>
        <v>0</v>
      </c>
      <c r="M48" s="9">
        <f>IF('Master Sheet'!C49="Area 3 (Saranya R)",'Master Sheet'!M49,"")</f>
        <v>0</v>
      </c>
      <c r="N48" s="9">
        <f>IF('Master Sheet'!C49="Area 3 (Saranya R)",'Master Sheet'!N49,"")</f>
        <v>0</v>
      </c>
      <c r="O48" s="23">
        <f>IF('Master Sheet'!C49="Area 3 (Saranya R)",'Master Sheet'!O49,"")</f>
        <v>3500</v>
      </c>
      <c r="P48" s="9" t="str">
        <f>IF('Master Sheet'!C49="Area 3 (Saranya R)",'Master Sheet'!P49,"")</f>
        <v>Pending</v>
      </c>
    </row>
    <row r="49" spans="1:16" s="8" customFormat="1" ht="19.899999999999999" customHeight="1" x14ac:dyDescent="0.25">
      <c r="A49" s="7" t="str">
        <f>IF('Master Sheet'!C50="Area 3 (Saranya R)",'Master Sheet'!A50,"")</f>
        <v>P048</v>
      </c>
      <c r="B49" s="10" t="str">
        <f>IF('Master Sheet'!C50="Area 3 (Saranya R)",'Master Sheet'!B50,"")</f>
        <v>Ammini</v>
      </c>
      <c r="C49" t="s">
        <v>6</v>
      </c>
      <c r="D49" s="9">
        <f>IF('Master Sheet'!C50="Area 3 (Saranya R)",'Master Sheet'!D50,"")</f>
        <v>0</v>
      </c>
      <c r="E49" s="9">
        <f>IF('Master Sheet'!C50="Area 3 (Saranya R)",'Master Sheet'!E50,"")</f>
        <v>0</v>
      </c>
      <c r="F49" s="9">
        <f>IF('Master Sheet'!C50="Area 3 (Saranya R)",'Master Sheet'!F50,"")</f>
        <v>1000</v>
      </c>
      <c r="G49" s="9">
        <f>IF('Master Sheet'!C50="Area 3 (Saranya R)",'Master Sheet'!G50,"")</f>
        <v>0</v>
      </c>
      <c r="H49" s="9">
        <f>IF('Master Sheet'!C50="Area 3 (Saranya R)",'Master Sheet'!H50,"")</f>
        <v>0</v>
      </c>
      <c r="I49" s="9">
        <f>IF('Master Sheet'!C50="Area 3 (Saranya R)",'Master Sheet'!I50,"")</f>
        <v>0</v>
      </c>
      <c r="J49" s="9">
        <f>IF('Master Sheet'!C50="Area 3 (Saranya R)",'Master Sheet'!J50,"")</f>
        <v>0</v>
      </c>
      <c r="K49" s="9">
        <f>IF('Master Sheet'!C50="Area 3 (Saranya R)",'Master Sheet'!K50,"")</f>
        <v>0</v>
      </c>
      <c r="L49" s="9">
        <f>IF('Master Sheet'!C50="Area 3 (Saranya R)",'Master Sheet'!L50,"")</f>
        <v>0</v>
      </c>
      <c r="M49" s="9">
        <f>IF('Master Sheet'!C50="Area 3 (Saranya R)",'Master Sheet'!M50,"")</f>
        <v>0</v>
      </c>
      <c r="N49" s="9">
        <f>IF('Master Sheet'!C50="Area 3 (Saranya R)",'Master Sheet'!N50,"")</f>
        <v>1000</v>
      </c>
      <c r="O49" s="23">
        <f>IF('Master Sheet'!C50="Area 3 (Saranya R)",'Master Sheet'!O50,"")</f>
        <v>2500</v>
      </c>
      <c r="P49" s="9" t="str">
        <f>IF('Master Sheet'!C50="Area 3 (Saranya R)",'Master Sheet'!P50,"")</f>
        <v>Pending</v>
      </c>
    </row>
    <row r="50" spans="1:16" s="8" customFormat="1" ht="19.899999999999999" customHeight="1" x14ac:dyDescent="0.25">
      <c r="A50" s="7" t="str">
        <f>IF('Master Sheet'!C51="Area 3 (Saranya R)",'Master Sheet'!A51,"")</f>
        <v>P049</v>
      </c>
      <c r="B50" s="10" t="str">
        <f>IF('Master Sheet'!C51="Area 3 (Saranya R)",'Master Sheet'!B51,"")</f>
        <v>Babu</v>
      </c>
      <c r="C50" t="s">
        <v>6</v>
      </c>
      <c r="D50" s="9">
        <f>IF('Master Sheet'!C51="Area 3 (Saranya R)",'Master Sheet'!D51,"")</f>
        <v>0</v>
      </c>
      <c r="E50" s="9">
        <f>IF('Master Sheet'!C51="Area 3 (Saranya R)",'Master Sheet'!E51,"")</f>
        <v>0</v>
      </c>
      <c r="F50" s="9">
        <f>IF('Master Sheet'!C51="Area 3 (Saranya R)",'Master Sheet'!F51,"")</f>
        <v>0</v>
      </c>
      <c r="G50" s="9">
        <f>IF('Master Sheet'!C51="Area 3 (Saranya R)",'Master Sheet'!G51,"")</f>
        <v>500</v>
      </c>
      <c r="H50" s="9">
        <f>IF('Master Sheet'!C51="Area 3 (Saranya R)",'Master Sheet'!H51,"")</f>
        <v>0</v>
      </c>
      <c r="I50" s="9">
        <f>IF('Master Sheet'!C51="Area 3 (Saranya R)",'Master Sheet'!I51,"")</f>
        <v>0</v>
      </c>
      <c r="J50" s="9">
        <f>IF('Master Sheet'!C51="Area 3 (Saranya R)",'Master Sheet'!J51,"")</f>
        <v>0</v>
      </c>
      <c r="K50" s="9">
        <f>IF('Master Sheet'!C51="Area 3 (Saranya R)",'Master Sheet'!K51,"")</f>
        <v>0</v>
      </c>
      <c r="L50" s="9">
        <f>IF('Master Sheet'!C51="Area 3 (Saranya R)",'Master Sheet'!L51,"")</f>
        <v>0</v>
      </c>
      <c r="M50" s="9">
        <f>IF('Master Sheet'!C51="Area 3 (Saranya R)",'Master Sheet'!M51,"")</f>
        <v>0</v>
      </c>
      <c r="N50" s="9">
        <f>IF('Master Sheet'!C51="Area 3 (Saranya R)",'Master Sheet'!N51,"")</f>
        <v>500</v>
      </c>
      <c r="O50" s="23">
        <f>IF('Master Sheet'!C51="Area 3 (Saranya R)",'Master Sheet'!O51,"")</f>
        <v>3000</v>
      </c>
      <c r="P50" s="9" t="str">
        <f>IF('Master Sheet'!C51="Area 3 (Saranya R)",'Master Sheet'!P51,"")</f>
        <v>Pending</v>
      </c>
    </row>
    <row r="51" spans="1:16" s="8" customFormat="1" ht="19.899999999999999" customHeight="1" x14ac:dyDescent="0.25">
      <c r="A51" s="7" t="str">
        <f>IF('Master Sheet'!C52="Area 3 (Saranya R)",'Master Sheet'!A52,"")</f>
        <v>P050</v>
      </c>
      <c r="B51" s="10" t="str">
        <f>IF('Master Sheet'!C52="Area 3 (Saranya R)",'Master Sheet'!B52,"")</f>
        <v>Geethu Renjith</v>
      </c>
      <c r="C51" t="s">
        <v>6</v>
      </c>
      <c r="D51" s="9">
        <f>IF('Master Sheet'!C52="Area 3 (Saranya R)",'Master Sheet'!D52,"")</f>
        <v>0</v>
      </c>
      <c r="E51" s="9">
        <f>IF('Master Sheet'!C52="Area 3 (Saranya R)",'Master Sheet'!E52,"")</f>
        <v>0</v>
      </c>
      <c r="F51" s="9">
        <f>IF('Master Sheet'!C52="Area 3 (Saranya R)",'Master Sheet'!F52,"")</f>
        <v>0</v>
      </c>
      <c r="G51" s="9">
        <f>IF('Master Sheet'!C52="Area 3 (Saranya R)",'Master Sheet'!G52,"")</f>
        <v>500</v>
      </c>
      <c r="H51" s="9">
        <f>IF('Master Sheet'!C52="Area 3 (Saranya R)",'Master Sheet'!H52,"")</f>
        <v>0</v>
      </c>
      <c r="I51" s="9">
        <f>IF('Master Sheet'!C52="Area 3 (Saranya R)",'Master Sheet'!I52,"")</f>
        <v>0</v>
      </c>
      <c r="J51" s="9">
        <f>IF('Master Sheet'!C52="Area 3 (Saranya R)",'Master Sheet'!J52,"")</f>
        <v>0</v>
      </c>
      <c r="K51" s="9">
        <f>IF('Master Sheet'!C52="Area 3 (Saranya R)",'Master Sheet'!K52,"")</f>
        <v>0</v>
      </c>
      <c r="L51" s="9">
        <f>IF('Master Sheet'!C52="Area 3 (Saranya R)",'Master Sheet'!L52,"")</f>
        <v>0</v>
      </c>
      <c r="M51" s="9">
        <f>IF('Master Sheet'!C52="Area 3 (Saranya R)",'Master Sheet'!M52,"")</f>
        <v>0</v>
      </c>
      <c r="N51" s="9">
        <f>IF('Master Sheet'!C52="Area 3 (Saranya R)",'Master Sheet'!N52,"")</f>
        <v>500</v>
      </c>
      <c r="O51" s="23">
        <f>IF('Master Sheet'!C52="Area 3 (Saranya R)",'Master Sheet'!O52,"")</f>
        <v>3000</v>
      </c>
      <c r="P51" s="9" t="str">
        <f>IF('Master Sheet'!C52="Area 3 (Saranya R)",'Master Sheet'!P52,"")</f>
        <v>Pending</v>
      </c>
    </row>
    <row r="52" spans="1:16" s="8" customFormat="1" ht="19.899999999999999" customHeight="1" x14ac:dyDescent="0.25">
      <c r="A52" s="7" t="str">
        <f>IF('Master Sheet'!C53="Area 3 (Saranya R)",'Master Sheet'!A53,"")</f>
        <v>P051</v>
      </c>
      <c r="B52" s="10" t="str">
        <f>IF('Master Sheet'!C53="Area 3 (Saranya R)",'Master Sheet'!B53,"")</f>
        <v>Manu</v>
      </c>
      <c r="C52" t="s">
        <v>6</v>
      </c>
      <c r="D52" s="9">
        <f>IF('Master Sheet'!C53="Area 3 (Saranya R)",'Master Sheet'!D53,"")</f>
        <v>0</v>
      </c>
      <c r="E52" s="9">
        <f>IF('Master Sheet'!C53="Area 3 (Saranya R)",'Master Sheet'!E53,"")</f>
        <v>0</v>
      </c>
      <c r="F52" s="9">
        <f>IF('Master Sheet'!C53="Area 3 (Saranya R)",'Master Sheet'!F53,"")</f>
        <v>0</v>
      </c>
      <c r="G52" s="9">
        <f>IF('Master Sheet'!C53="Area 3 (Saranya R)",'Master Sheet'!G53,"")</f>
        <v>0</v>
      </c>
      <c r="H52" s="9">
        <f>IF('Master Sheet'!C53="Area 3 (Saranya R)",'Master Sheet'!H53,"")</f>
        <v>0</v>
      </c>
      <c r="I52" s="9">
        <f>IF('Master Sheet'!C53="Area 3 (Saranya R)",'Master Sheet'!I53,"")</f>
        <v>0</v>
      </c>
      <c r="J52" s="9">
        <f>IF('Master Sheet'!C53="Area 3 (Saranya R)",'Master Sheet'!J53,"")</f>
        <v>0</v>
      </c>
      <c r="K52" s="9">
        <f>IF('Master Sheet'!C53="Area 3 (Saranya R)",'Master Sheet'!K53,"")</f>
        <v>0</v>
      </c>
      <c r="L52" s="9">
        <f>IF('Master Sheet'!C53="Area 3 (Saranya R)",'Master Sheet'!L53,"")</f>
        <v>0</v>
      </c>
      <c r="M52" s="9">
        <f>IF('Master Sheet'!C53="Area 3 (Saranya R)",'Master Sheet'!M53,"")</f>
        <v>0</v>
      </c>
      <c r="N52" s="9">
        <f>IF('Master Sheet'!C53="Area 3 (Saranya R)",'Master Sheet'!N53,"")</f>
        <v>0</v>
      </c>
      <c r="O52" s="23">
        <f>IF('Master Sheet'!C53="Area 3 (Saranya R)",'Master Sheet'!O53,"")</f>
        <v>3500</v>
      </c>
      <c r="P52" s="9" t="str">
        <f>IF('Master Sheet'!C53="Area 3 (Saranya R)",'Master Sheet'!P53,"")</f>
        <v>Pending</v>
      </c>
    </row>
    <row r="53" spans="1:16" s="8" customFormat="1" ht="19.899999999999999" customHeight="1" x14ac:dyDescent="0.25">
      <c r="A53" s="7" t="str">
        <f>IF('Master Sheet'!C54="Area 3 (Saranya R)",'Master Sheet'!A54,"")</f>
        <v>P052</v>
      </c>
      <c r="B53" s="10" t="str">
        <f>IF('Master Sheet'!C54="Area 3 (Saranya R)",'Master Sheet'!B54,"")</f>
        <v>Shobha</v>
      </c>
      <c r="C53" t="s">
        <v>6</v>
      </c>
      <c r="D53" s="9">
        <f>IF('Master Sheet'!C54="Area 3 (Saranya R)",'Master Sheet'!D54,"")</f>
        <v>0</v>
      </c>
      <c r="E53" s="9">
        <f>IF('Master Sheet'!C54="Area 3 (Saranya R)",'Master Sheet'!E54,"")</f>
        <v>500</v>
      </c>
      <c r="F53" s="9">
        <f>IF('Master Sheet'!C54="Area 3 (Saranya R)",'Master Sheet'!F54,"")</f>
        <v>0</v>
      </c>
      <c r="G53" s="9">
        <f>IF('Master Sheet'!C54="Area 3 (Saranya R)",'Master Sheet'!G54,"")</f>
        <v>500</v>
      </c>
      <c r="H53" s="9">
        <f>IF('Master Sheet'!C54="Area 3 (Saranya R)",'Master Sheet'!H54,"")</f>
        <v>0</v>
      </c>
      <c r="I53" s="9">
        <f>IF('Master Sheet'!C54="Area 3 (Saranya R)",'Master Sheet'!I54,"")</f>
        <v>0</v>
      </c>
      <c r="J53" s="9">
        <f>IF('Master Sheet'!C54="Area 3 (Saranya R)",'Master Sheet'!J54,"")</f>
        <v>0</v>
      </c>
      <c r="K53" s="9">
        <f>IF('Master Sheet'!C54="Area 3 (Saranya R)",'Master Sheet'!K54,"")</f>
        <v>0</v>
      </c>
      <c r="L53" s="9">
        <f>IF('Master Sheet'!C54="Area 3 (Saranya R)",'Master Sheet'!L54,"")</f>
        <v>0</v>
      </c>
      <c r="M53" s="9">
        <f>IF('Master Sheet'!C54="Area 3 (Saranya R)",'Master Sheet'!M54,"")</f>
        <v>0</v>
      </c>
      <c r="N53" s="9">
        <f>IF('Master Sheet'!C54="Area 3 (Saranya R)",'Master Sheet'!N54,"")</f>
        <v>1000</v>
      </c>
      <c r="O53" s="23">
        <f>IF('Master Sheet'!C54="Area 3 (Saranya R)",'Master Sheet'!O54,"")</f>
        <v>2500</v>
      </c>
      <c r="P53" s="9" t="str">
        <f>IF('Master Sheet'!C54="Area 3 (Saranya R)",'Master Sheet'!P54,"")</f>
        <v>Pending</v>
      </c>
    </row>
    <row r="54" spans="1:16" s="8" customFormat="1" ht="19.899999999999999" customHeight="1" x14ac:dyDescent="0.25">
      <c r="A54" s="7" t="str">
        <f>IF('Master Sheet'!C55="Area 3 (Saranya R)",'Master Sheet'!A55,"")</f>
        <v>P053</v>
      </c>
      <c r="B54" s="10" t="str">
        <f>IF('Master Sheet'!C55="Area 3 (Saranya R)",'Master Sheet'!B55,"")</f>
        <v>Jayan</v>
      </c>
      <c r="C54" t="s">
        <v>6</v>
      </c>
      <c r="D54" s="9">
        <f>IF('Master Sheet'!C55="Area 3 (Saranya R)",'Master Sheet'!D55,"")</f>
        <v>0</v>
      </c>
      <c r="E54" s="9">
        <f>IF('Master Sheet'!C55="Area 3 (Saranya R)",'Master Sheet'!E55,"")</f>
        <v>1000</v>
      </c>
      <c r="F54" s="9">
        <f>IF('Master Sheet'!C55="Area 3 (Saranya R)",'Master Sheet'!F55,"")</f>
        <v>0</v>
      </c>
      <c r="G54" s="9">
        <f>IF('Master Sheet'!C55="Area 3 (Saranya R)",'Master Sheet'!G55,"")</f>
        <v>0</v>
      </c>
      <c r="H54" s="9">
        <f>IF('Master Sheet'!C55="Area 3 (Saranya R)",'Master Sheet'!H55,"")</f>
        <v>0</v>
      </c>
      <c r="I54" s="9">
        <f>IF('Master Sheet'!C55="Area 3 (Saranya R)",'Master Sheet'!I55,"")</f>
        <v>0</v>
      </c>
      <c r="J54" s="9">
        <f>IF('Master Sheet'!C55="Area 3 (Saranya R)",'Master Sheet'!J55,"")</f>
        <v>0</v>
      </c>
      <c r="K54" s="9">
        <f>IF('Master Sheet'!C55="Area 3 (Saranya R)",'Master Sheet'!K55,"")</f>
        <v>0</v>
      </c>
      <c r="L54" s="9">
        <f>IF('Master Sheet'!C55="Area 3 (Saranya R)",'Master Sheet'!L55,"")</f>
        <v>0</v>
      </c>
      <c r="M54" s="9">
        <f>IF('Master Sheet'!C55="Area 3 (Saranya R)",'Master Sheet'!M55,"")</f>
        <v>0</v>
      </c>
      <c r="N54" s="9">
        <f>IF('Master Sheet'!C55="Area 3 (Saranya R)",'Master Sheet'!N55,"")</f>
        <v>1000</v>
      </c>
      <c r="O54" s="23">
        <f>IF('Master Sheet'!C55="Area 3 (Saranya R)",'Master Sheet'!O55,"")</f>
        <v>2500</v>
      </c>
      <c r="P54" s="9" t="str">
        <f>IF('Master Sheet'!C55="Area 3 (Saranya R)",'Master Sheet'!P55,"")</f>
        <v>Pending</v>
      </c>
    </row>
    <row r="55" spans="1:16" s="8" customFormat="1" ht="19.899999999999999" customHeight="1" x14ac:dyDescent="0.25">
      <c r="A55" s="7" t="str">
        <f>IF('Master Sheet'!C56="Area 3 (Saranya R)",'Master Sheet'!A56,"")</f>
        <v>P054</v>
      </c>
      <c r="B55" s="10" t="str">
        <f>IF('Master Sheet'!C56="Area 3 (Saranya R)",'Master Sheet'!B56,"")</f>
        <v>Anu</v>
      </c>
      <c r="C55" t="s">
        <v>6</v>
      </c>
      <c r="D55" s="9">
        <f>IF('Master Sheet'!C56="Area 3 (Saranya R)",'Master Sheet'!D56,"")</f>
        <v>0</v>
      </c>
      <c r="E55" s="9">
        <f>IF('Master Sheet'!C56="Area 3 (Saranya R)",'Master Sheet'!E56,"")</f>
        <v>350</v>
      </c>
      <c r="F55" s="9">
        <f>IF('Master Sheet'!C56="Area 3 (Saranya R)",'Master Sheet'!F56,"")</f>
        <v>350</v>
      </c>
      <c r="G55" s="9">
        <f>IF('Master Sheet'!C56="Area 3 (Saranya R)",'Master Sheet'!G56,"")</f>
        <v>0</v>
      </c>
      <c r="H55" s="9">
        <f>IF('Master Sheet'!C56="Area 3 (Saranya R)",'Master Sheet'!H56,"")</f>
        <v>0</v>
      </c>
      <c r="I55" s="9">
        <f>IF('Master Sheet'!C56="Area 3 (Saranya R)",'Master Sheet'!I56,"")</f>
        <v>0</v>
      </c>
      <c r="J55" s="9">
        <f>IF('Master Sheet'!C56="Area 3 (Saranya R)",'Master Sheet'!J56,"")</f>
        <v>0</v>
      </c>
      <c r="K55" s="9">
        <f>IF('Master Sheet'!C56="Area 3 (Saranya R)",'Master Sheet'!K56,"")</f>
        <v>0</v>
      </c>
      <c r="L55" s="9">
        <f>IF('Master Sheet'!C56="Area 3 (Saranya R)",'Master Sheet'!L56,"")</f>
        <v>0</v>
      </c>
      <c r="M55" s="9">
        <f>IF('Master Sheet'!C56="Area 3 (Saranya R)",'Master Sheet'!M56,"")</f>
        <v>0</v>
      </c>
      <c r="N55" s="9">
        <f>IF('Master Sheet'!C56="Area 3 (Saranya R)",'Master Sheet'!N56,"")</f>
        <v>700</v>
      </c>
      <c r="O55" s="23">
        <f>IF('Master Sheet'!C56="Area 3 (Saranya R)",'Master Sheet'!O56,"")</f>
        <v>2800</v>
      </c>
      <c r="P55" s="9" t="str">
        <f>IF('Master Sheet'!C56="Area 3 (Saranya R)",'Master Sheet'!P56,"")</f>
        <v>Pending</v>
      </c>
    </row>
    <row r="56" spans="1:16" s="8" customFormat="1" ht="19.899999999999999" customHeight="1" x14ac:dyDescent="0.25">
      <c r="A56" s="7" t="str">
        <f>IF('Master Sheet'!C57="Area 3 (Saranya R)",'Master Sheet'!A57,"")</f>
        <v>P055</v>
      </c>
      <c r="B56" s="10" t="str">
        <f>IF('Master Sheet'!C57="Area 3 (Saranya R)",'Master Sheet'!B57,"")</f>
        <v>Lillikutty</v>
      </c>
      <c r="C56" t="s">
        <v>6</v>
      </c>
      <c r="D56" s="9">
        <f>IF('Master Sheet'!C57="Area 3 (Saranya R)",'Master Sheet'!D57,"")</f>
        <v>0</v>
      </c>
      <c r="E56" s="9">
        <f>IF('Master Sheet'!C57="Area 3 (Saranya R)",'Master Sheet'!E57,"")</f>
        <v>350</v>
      </c>
      <c r="F56" s="9">
        <f>IF('Master Sheet'!C57="Area 3 (Saranya R)",'Master Sheet'!F57,"")</f>
        <v>0</v>
      </c>
      <c r="G56" s="9">
        <f>IF('Master Sheet'!C57="Area 3 (Saranya R)",'Master Sheet'!G57,"")</f>
        <v>0</v>
      </c>
      <c r="H56" s="9">
        <f>IF('Master Sheet'!C57="Area 3 (Saranya R)",'Master Sheet'!H57,"")</f>
        <v>0</v>
      </c>
      <c r="I56" s="9">
        <f>IF('Master Sheet'!C57="Area 3 (Saranya R)",'Master Sheet'!I57,"")</f>
        <v>0</v>
      </c>
      <c r="J56" s="9">
        <f>IF('Master Sheet'!C57="Area 3 (Saranya R)",'Master Sheet'!J57,"")</f>
        <v>0</v>
      </c>
      <c r="K56" s="9">
        <f>IF('Master Sheet'!C57="Area 3 (Saranya R)",'Master Sheet'!K57,"")</f>
        <v>0</v>
      </c>
      <c r="L56" s="9">
        <f>IF('Master Sheet'!C57="Area 3 (Saranya R)",'Master Sheet'!L57,"")</f>
        <v>0</v>
      </c>
      <c r="M56" s="9">
        <f>IF('Master Sheet'!C57="Area 3 (Saranya R)",'Master Sheet'!M57,"")</f>
        <v>0</v>
      </c>
      <c r="N56" s="9">
        <f>IF('Master Sheet'!C57="Area 3 (Saranya R)",'Master Sheet'!N57,"")</f>
        <v>350</v>
      </c>
      <c r="O56" s="23">
        <f>IF('Master Sheet'!C57="Area 3 (Saranya R)",'Master Sheet'!O57,"")</f>
        <v>3150</v>
      </c>
      <c r="P56" s="9" t="str">
        <f>IF('Master Sheet'!C57="Area 3 (Saranya R)",'Master Sheet'!P57,"")</f>
        <v>Pending</v>
      </c>
    </row>
    <row r="57" spans="1:16" s="8" customFormat="1" ht="19.899999999999999" customHeight="1" x14ac:dyDescent="0.25">
      <c r="A57" s="7" t="str">
        <f>IF('Master Sheet'!C58="Area 3 (Saranya R)",'Master Sheet'!A58,"")</f>
        <v>P056</v>
      </c>
      <c r="B57" s="10" t="str">
        <f>IF('Master Sheet'!C58="Area 3 (Saranya R)",'Master Sheet'!B58,"")</f>
        <v>Jeena</v>
      </c>
      <c r="C57" t="s">
        <v>6</v>
      </c>
      <c r="D57" s="9">
        <f>IF('Master Sheet'!C58="Area 3 (Saranya R)",'Master Sheet'!D58,"")</f>
        <v>0</v>
      </c>
      <c r="E57" s="9">
        <f>IF('Master Sheet'!C58="Area 3 (Saranya R)",'Master Sheet'!E58,"")</f>
        <v>0</v>
      </c>
      <c r="F57" s="9">
        <f>IF('Master Sheet'!C58="Area 3 (Saranya R)",'Master Sheet'!F58,"")</f>
        <v>0</v>
      </c>
      <c r="G57" s="9">
        <f>IF('Master Sheet'!C58="Area 3 (Saranya R)",'Master Sheet'!G58,"")</f>
        <v>300</v>
      </c>
      <c r="H57" s="9">
        <f>IF('Master Sheet'!C58="Area 3 (Saranya R)",'Master Sheet'!H58,"")</f>
        <v>0</v>
      </c>
      <c r="I57" s="9">
        <f>IF('Master Sheet'!C58="Area 3 (Saranya R)",'Master Sheet'!I58,"")</f>
        <v>0</v>
      </c>
      <c r="J57" s="9">
        <f>IF('Master Sheet'!C58="Area 3 (Saranya R)",'Master Sheet'!J58,"")</f>
        <v>0</v>
      </c>
      <c r="K57" s="9">
        <f>IF('Master Sheet'!C58="Area 3 (Saranya R)",'Master Sheet'!K58,"")</f>
        <v>0</v>
      </c>
      <c r="L57" s="9">
        <f>IF('Master Sheet'!C58="Area 3 (Saranya R)",'Master Sheet'!L58,"")</f>
        <v>0</v>
      </c>
      <c r="M57" s="9">
        <f>IF('Master Sheet'!C58="Area 3 (Saranya R)",'Master Sheet'!M58,"")</f>
        <v>0</v>
      </c>
      <c r="N57" s="9">
        <f>IF('Master Sheet'!C58="Area 3 (Saranya R)",'Master Sheet'!N58,"")</f>
        <v>300</v>
      </c>
      <c r="O57" s="23">
        <f>IF('Master Sheet'!C58="Area 3 (Saranya R)",'Master Sheet'!O58,"")</f>
        <v>3200</v>
      </c>
      <c r="P57" s="9" t="str">
        <f>IF('Master Sheet'!C58="Area 3 (Saranya R)",'Master Sheet'!P58,"")</f>
        <v>Pending</v>
      </c>
    </row>
    <row r="58" spans="1:16" s="8" customFormat="1" ht="19.899999999999999" customHeight="1" x14ac:dyDescent="0.25">
      <c r="A58" s="7" t="str">
        <f>IF('Master Sheet'!C59="Area 3 (Saranya R)",'Master Sheet'!A59,"")</f>
        <v>P057</v>
      </c>
      <c r="B58" s="10" t="str">
        <f>IF('Master Sheet'!C59="Area 3 (Saranya R)",'Master Sheet'!B59,"")</f>
        <v>Reshma</v>
      </c>
      <c r="C58" t="s">
        <v>6</v>
      </c>
      <c r="D58" s="9">
        <f>IF('Master Sheet'!C59="Area 3 (Saranya R)",'Master Sheet'!D59,"")</f>
        <v>400</v>
      </c>
      <c r="E58" s="9">
        <f>IF('Master Sheet'!C59="Area 3 (Saranya R)",'Master Sheet'!E59,"")</f>
        <v>0</v>
      </c>
      <c r="F58" s="9">
        <f>IF('Master Sheet'!C59="Area 3 (Saranya R)",'Master Sheet'!F59,"")</f>
        <v>0</v>
      </c>
      <c r="G58" s="9">
        <f>IF('Master Sheet'!C59="Area 3 (Saranya R)",'Master Sheet'!G59,"")</f>
        <v>0</v>
      </c>
      <c r="H58" s="9">
        <f>IF('Master Sheet'!C59="Area 3 (Saranya R)",'Master Sheet'!H59,"")</f>
        <v>0</v>
      </c>
      <c r="I58" s="9">
        <f>IF('Master Sheet'!C59="Area 3 (Saranya R)",'Master Sheet'!I59,"")</f>
        <v>0</v>
      </c>
      <c r="J58" s="9">
        <f>IF('Master Sheet'!C59="Area 3 (Saranya R)",'Master Sheet'!J59,"")</f>
        <v>0</v>
      </c>
      <c r="K58" s="9">
        <f>IF('Master Sheet'!C59="Area 3 (Saranya R)",'Master Sheet'!K59,"")</f>
        <v>0</v>
      </c>
      <c r="L58" s="9">
        <f>IF('Master Sheet'!C59="Area 3 (Saranya R)",'Master Sheet'!L59,"")</f>
        <v>0</v>
      </c>
      <c r="M58" s="9">
        <f>IF('Master Sheet'!C59="Area 3 (Saranya R)",'Master Sheet'!M59,"")</f>
        <v>0</v>
      </c>
      <c r="N58" s="9">
        <f>IF('Master Sheet'!C59="Area 3 (Saranya R)",'Master Sheet'!N59,"")</f>
        <v>400</v>
      </c>
      <c r="O58" s="23">
        <f>IF('Master Sheet'!C59="Area 3 (Saranya R)",'Master Sheet'!O59,"")</f>
        <v>3100</v>
      </c>
      <c r="P58" s="9" t="str">
        <f>IF('Master Sheet'!C59="Area 3 (Saranya R)",'Master Sheet'!P59,"")</f>
        <v>Pending</v>
      </c>
    </row>
    <row r="59" spans="1:16" s="8" customFormat="1" ht="19.899999999999999" customHeight="1" x14ac:dyDescent="0.25">
      <c r="A59" s="7" t="str">
        <f>IF('Master Sheet'!C60="Area 3 (Saranya R)",'Master Sheet'!A60,"")</f>
        <v>P058</v>
      </c>
      <c r="B59" s="10" t="str">
        <f>IF('Master Sheet'!C60="Area 3 (Saranya R)",'Master Sheet'!B60,"")</f>
        <v>Rani</v>
      </c>
      <c r="C59" t="s">
        <v>6</v>
      </c>
      <c r="D59" s="9">
        <f>IF('Master Sheet'!C60="Area 3 (Saranya R)",'Master Sheet'!D60,"")</f>
        <v>0</v>
      </c>
      <c r="E59" s="9">
        <f>IF('Master Sheet'!C60="Area 3 (Saranya R)",'Master Sheet'!E60,"")</f>
        <v>500</v>
      </c>
      <c r="F59" s="9">
        <f>IF('Master Sheet'!C60="Area 3 (Saranya R)",'Master Sheet'!F60,"")</f>
        <v>0</v>
      </c>
      <c r="G59" s="9">
        <f>IF('Master Sheet'!C60="Area 3 (Saranya R)",'Master Sheet'!G60,"")</f>
        <v>500</v>
      </c>
      <c r="H59" s="9">
        <f>IF('Master Sheet'!C60="Area 3 (Saranya R)",'Master Sheet'!H60,"")</f>
        <v>0</v>
      </c>
      <c r="I59" s="9">
        <f>IF('Master Sheet'!C60="Area 3 (Saranya R)",'Master Sheet'!I60,"")</f>
        <v>0</v>
      </c>
      <c r="J59" s="9">
        <f>IF('Master Sheet'!C60="Area 3 (Saranya R)",'Master Sheet'!J60,"")</f>
        <v>0</v>
      </c>
      <c r="K59" s="9">
        <f>IF('Master Sheet'!C60="Area 3 (Saranya R)",'Master Sheet'!K60,"")</f>
        <v>0</v>
      </c>
      <c r="L59" s="9">
        <f>IF('Master Sheet'!C60="Area 3 (Saranya R)",'Master Sheet'!L60,"")</f>
        <v>0</v>
      </c>
      <c r="M59" s="9">
        <f>IF('Master Sheet'!C60="Area 3 (Saranya R)",'Master Sheet'!M60,"")</f>
        <v>0</v>
      </c>
      <c r="N59" s="9">
        <f>IF('Master Sheet'!C60="Area 3 (Saranya R)",'Master Sheet'!N60,"")</f>
        <v>1000</v>
      </c>
      <c r="O59" s="23">
        <f>IF('Master Sheet'!C60="Area 3 (Saranya R)",'Master Sheet'!O60,"")</f>
        <v>2500</v>
      </c>
      <c r="P59" s="9" t="str">
        <f>IF('Master Sheet'!C60="Area 3 (Saranya R)",'Master Sheet'!P60,"")</f>
        <v>Pending</v>
      </c>
    </row>
    <row r="60" spans="1:16" s="8" customFormat="1" ht="19.899999999999999" customHeight="1" x14ac:dyDescent="0.25">
      <c r="A60" s="7" t="str">
        <f>IF('Master Sheet'!C61="Area 3 (Saranya R)",'Master Sheet'!A61,"")</f>
        <v>P059</v>
      </c>
      <c r="B60" s="10" t="str">
        <f>IF('Master Sheet'!C61="Area 3 (Saranya R)",'Master Sheet'!B61,"")</f>
        <v>Saranya</v>
      </c>
      <c r="C60" t="s">
        <v>6</v>
      </c>
      <c r="D60" s="9">
        <f>IF('Master Sheet'!C61="Area 3 (Saranya R)",'Master Sheet'!D61,"")</f>
        <v>0</v>
      </c>
      <c r="E60" s="9">
        <f>IF('Master Sheet'!C61="Area 3 (Saranya R)",'Master Sheet'!E61,"")</f>
        <v>0</v>
      </c>
      <c r="F60" s="9">
        <f>IF('Master Sheet'!C61="Area 3 (Saranya R)",'Master Sheet'!F61,"")</f>
        <v>0</v>
      </c>
      <c r="G60" s="9">
        <f>IF('Master Sheet'!C61="Area 3 (Saranya R)",'Master Sheet'!G61,"")</f>
        <v>500</v>
      </c>
      <c r="H60" s="9">
        <f>IF('Master Sheet'!C61="Area 3 (Saranya R)",'Master Sheet'!H61,"")</f>
        <v>0</v>
      </c>
      <c r="I60" s="9">
        <f>IF('Master Sheet'!C61="Area 3 (Saranya R)",'Master Sheet'!I61,"")</f>
        <v>0</v>
      </c>
      <c r="J60" s="9">
        <f>IF('Master Sheet'!C61="Area 3 (Saranya R)",'Master Sheet'!J61,"")</f>
        <v>0</v>
      </c>
      <c r="K60" s="9">
        <f>IF('Master Sheet'!C61="Area 3 (Saranya R)",'Master Sheet'!K61,"")</f>
        <v>0</v>
      </c>
      <c r="L60" s="9">
        <f>IF('Master Sheet'!C61="Area 3 (Saranya R)",'Master Sheet'!L61,"")</f>
        <v>0</v>
      </c>
      <c r="M60" s="9">
        <f>IF('Master Sheet'!C61="Area 3 (Saranya R)",'Master Sheet'!M61,"")</f>
        <v>0</v>
      </c>
      <c r="N60" s="9">
        <f>IF('Master Sheet'!C61="Area 3 (Saranya R)",'Master Sheet'!N61,"")</f>
        <v>500</v>
      </c>
      <c r="O60" s="23">
        <f>IF('Master Sheet'!C61="Area 3 (Saranya R)",'Master Sheet'!O61,"")</f>
        <v>3000</v>
      </c>
      <c r="P60" s="9" t="str">
        <f>IF('Master Sheet'!C61="Area 3 (Saranya R)",'Master Sheet'!P61,"")</f>
        <v>Pending</v>
      </c>
    </row>
    <row r="61" spans="1:16" s="8" customFormat="1" ht="19.899999999999999" customHeight="1" x14ac:dyDescent="0.25">
      <c r="A61" s="7" t="str">
        <f>IF('Master Sheet'!C62="Area 3 (Saranya R)",'Master Sheet'!A62,"")</f>
        <v>P060</v>
      </c>
      <c r="B61" s="10" t="str">
        <f>IF('Master Sheet'!C62="Area 3 (Saranya R)",'Master Sheet'!B62,"")</f>
        <v>Geethu Renjith</v>
      </c>
      <c r="C61" t="s">
        <v>6</v>
      </c>
      <c r="D61" s="9">
        <f>IF('Master Sheet'!C62="Area 3 (Saranya R)",'Master Sheet'!D62,"")</f>
        <v>0</v>
      </c>
      <c r="E61" s="9">
        <f>IF('Master Sheet'!C62="Area 3 (Saranya R)",'Master Sheet'!E62,"")</f>
        <v>0</v>
      </c>
      <c r="F61" s="9">
        <f>IF('Master Sheet'!C62="Area 3 (Saranya R)",'Master Sheet'!F62,"")</f>
        <v>0</v>
      </c>
      <c r="G61" s="9">
        <f>IF('Master Sheet'!C62="Area 3 (Saranya R)",'Master Sheet'!G62,"")</f>
        <v>500</v>
      </c>
      <c r="H61" s="9">
        <f>IF('Master Sheet'!C62="Area 3 (Saranya R)",'Master Sheet'!H62,"")</f>
        <v>0</v>
      </c>
      <c r="I61" s="9">
        <f>IF('Master Sheet'!C62="Area 3 (Saranya R)",'Master Sheet'!I62,"")</f>
        <v>0</v>
      </c>
      <c r="J61" s="9">
        <f>IF('Master Sheet'!C62="Area 3 (Saranya R)",'Master Sheet'!J62,"")</f>
        <v>0</v>
      </c>
      <c r="K61" s="9">
        <f>IF('Master Sheet'!C62="Area 3 (Saranya R)",'Master Sheet'!K62,"")</f>
        <v>0</v>
      </c>
      <c r="L61" s="9">
        <f>IF('Master Sheet'!C62="Area 3 (Saranya R)",'Master Sheet'!L62,"")</f>
        <v>0</v>
      </c>
      <c r="M61" s="9">
        <f>IF('Master Sheet'!C62="Area 3 (Saranya R)",'Master Sheet'!M62,"")</f>
        <v>0</v>
      </c>
      <c r="N61" s="9">
        <f>IF('Master Sheet'!C62="Area 3 (Saranya R)",'Master Sheet'!N62,"")</f>
        <v>500</v>
      </c>
      <c r="O61" s="23">
        <f>IF('Master Sheet'!C62="Area 3 (Saranya R)",'Master Sheet'!O62,"")</f>
        <v>3000</v>
      </c>
      <c r="P61" s="9" t="str">
        <f>IF('Master Sheet'!C62="Area 3 (Saranya R)",'Master Sheet'!P62,"")</f>
        <v>Pending</v>
      </c>
    </row>
    <row r="62" spans="1:16" s="8" customFormat="1" ht="19.899999999999999" customHeight="1" x14ac:dyDescent="0.25">
      <c r="A62" s="7" t="str">
        <f>IF('Master Sheet'!C63="Area 3 (Saranya R)",'Master Sheet'!A63,"")</f>
        <v>P061</v>
      </c>
      <c r="B62" s="10" t="str">
        <f>IF('Master Sheet'!C63="Area 3 (Saranya R)",'Master Sheet'!B63,"")</f>
        <v>Lici</v>
      </c>
      <c r="C62" t="s">
        <v>6</v>
      </c>
      <c r="D62" s="9">
        <f>IF('Master Sheet'!C63="Area 3 (Saranya R)",'Master Sheet'!D63,"")</f>
        <v>0</v>
      </c>
      <c r="E62" s="9">
        <f>IF('Master Sheet'!C63="Area 3 (Saranya R)",'Master Sheet'!E63,"")</f>
        <v>350</v>
      </c>
      <c r="F62" s="9">
        <f>IF('Master Sheet'!C63="Area 3 (Saranya R)",'Master Sheet'!F63,"")</f>
        <v>0</v>
      </c>
      <c r="G62" s="9">
        <f>IF('Master Sheet'!C63="Area 3 (Saranya R)",'Master Sheet'!G63,"")</f>
        <v>500</v>
      </c>
      <c r="H62" s="9">
        <f>IF('Master Sheet'!C63="Area 3 (Saranya R)",'Master Sheet'!H63,"")</f>
        <v>0</v>
      </c>
      <c r="I62" s="9">
        <f>IF('Master Sheet'!C63="Area 3 (Saranya R)",'Master Sheet'!I63,"")</f>
        <v>0</v>
      </c>
      <c r="J62" s="9">
        <f>IF('Master Sheet'!C63="Area 3 (Saranya R)",'Master Sheet'!J63,"")</f>
        <v>0</v>
      </c>
      <c r="K62" s="9">
        <f>IF('Master Sheet'!C63="Area 3 (Saranya R)",'Master Sheet'!K63,"")</f>
        <v>0</v>
      </c>
      <c r="L62" s="9">
        <f>IF('Master Sheet'!C63="Area 3 (Saranya R)",'Master Sheet'!L63,"")</f>
        <v>0</v>
      </c>
      <c r="M62" s="9">
        <f>IF('Master Sheet'!C63="Area 3 (Saranya R)",'Master Sheet'!M63,"")</f>
        <v>0</v>
      </c>
      <c r="N62" s="9">
        <f>IF('Master Sheet'!C63="Area 3 (Saranya R)",'Master Sheet'!N63,"")</f>
        <v>850</v>
      </c>
      <c r="O62" s="23">
        <f>IF('Master Sheet'!C63="Area 3 (Saranya R)",'Master Sheet'!O63,"")</f>
        <v>2650</v>
      </c>
      <c r="P62" s="9" t="str">
        <f>IF('Master Sheet'!C63="Area 3 (Saranya R)",'Master Sheet'!P63,"")</f>
        <v>Pending</v>
      </c>
    </row>
    <row r="63" spans="1:16" s="8" customFormat="1" ht="19.899999999999999" customHeight="1" x14ac:dyDescent="0.25">
      <c r="A63" s="7" t="str">
        <f>IF('Master Sheet'!C64="Area 3 (Saranya R)",'Master Sheet'!A64,"")</f>
        <v>P062</v>
      </c>
      <c r="B63" s="10" t="str">
        <f>IF('Master Sheet'!C64="Area 3 (Saranya R)",'Master Sheet'!B64,"")</f>
        <v>Sheeba</v>
      </c>
      <c r="C63" t="s">
        <v>6</v>
      </c>
      <c r="D63" s="9">
        <f>IF('Master Sheet'!C64="Area 3 (Saranya R)",'Master Sheet'!D64,"")</f>
        <v>0</v>
      </c>
      <c r="E63" s="9">
        <f>IF('Master Sheet'!C64="Area 3 (Saranya R)",'Master Sheet'!E64,"")</f>
        <v>0</v>
      </c>
      <c r="F63" s="9">
        <f>IF('Master Sheet'!C64="Area 3 (Saranya R)",'Master Sheet'!F64,"")</f>
        <v>0</v>
      </c>
      <c r="G63" s="9">
        <f>IF('Master Sheet'!C64="Area 3 (Saranya R)",'Master Sheet'!G64,"")</f>
        <v>0</v>
      </c>
      <c r="H63" s="9">
        <f>IF('Master Sheet'!C64="Area 3 (Saranya R)",'Master Sheet'!H64,"")</f>
        <v>0</v>
      </c>
      <c r="I63" s="9">
        <f>IF('Master Sheet'!C64="Area 3 (Saranya R)",'Master Sheet'!I64,"")</f>
        <v>0</v>
      </c>
      <c r="J63" s="9">
        <f>IF('Master Sheet'!C64="Area 3 (Saranya R)",'Master Sheet'!J64,"")</f>
        <v>0</v>
      </c>
      <c r="K63" s="9">
        <f>IF('Master Sheet'!C64="Area 3 (Saranya R)",'Master Sheet'!K64,"")</f>
        <v>0</v>
      </c>
      <c r="L63" s="9">
        <f>IF('Master Sheet'!C64="Area 3 (Saranya R)",'Master Sheet'!L64,"")</f>
        <v>0</v>
      </c>
      <c r="M63" s="9">
        <f>IF('Master Sheet'!C64="Area 3 (Saranya R)",'Master Sheet'!M64,"")</f>
        <v>0</v>
      </c>
      <c r="N63" s="9">
        <f>IF('Master Sheet'!C64="Area 3 (Saranya R)",'Master Sheet'!N64,"")</f>
        <v>0</v>
      </c>
      <c r="O63" s="23">
        <f>IF('Master Sheet'!C64="Area 3 (Saranya R)",'Master Sheet'!O64,"")</f>
        <v>3500</v>
      </c>
      <c r="P63" s="9" t="str">
        <f>IF('Master Sheet'!C64="Area 3 (Saranya R)",'Master Sheet'!P64,"")</f>
        <v>Pending</v>
      </c>
    </row>
    <row r="64" spans="1:16" s="8" customFormat="1" ht="19.899999999999999" customHeight="1" x14ac:dyDescent="0.25">
      <c r="A64" s="7" t="str">
        <f>IF('Master Sheet'!C65="Area 3 (Saranya R)",'Master Sheet'!A65,"")</f>
        <v>P063</v>
      </c>
      <c r="B64" s="10" t="str">
        <f>IF('Master Sheet'!C65="Area 3 (Saranya R)",'Master Sheet'!B65,"")</f>
        <v>Pramela Rajan</v>
      </c>
      <c r="C64" t="s">
        <v>6</v>
      </c>
      <c r="D64" s="9">
        <f>IF('Master Sheet'!C65="Area 3 (Saranya R)",'Master Sheet'!D65,"")</f>
        <v>0</v>
      </c>
      <c r="E64" s="9">
        <f>IF('Master Sheet'!C65="Area 3 (Saranya R)",'Master Sheet'!E65,"")</f>
        <v>350</v>
      </c>
      <c r="F64" s="9">
        <f>IF('Master Sheet'!C65="Area 3 (Saranya R)",'Master Sheet'!F65,"")</f>
        <v>0</v>
      </c>
      <c r="G64" s="9">
        <f>IF('Master Sheet'!C65="Area 3 (Saranya R)",'Master Sheet'!G65,"")</f>
        <v>0</v>
      </c>
      <c r="H64" s="9">
        <f>IF('Master Sheet'!C65="Area 3 (Saranya R)",'Master Sheet'!H65,"")</f>
        <v>0</v>
      </c>
      <c r="I64" s="9">
        <f>IF('Master Sheet'!C65="Area 3 (Saranya R)",'Master Sheet'!I65,"")</f>
        <v>0</v>
      </c>
      <c r="J64" s="9">
        <f>IF('Master Sheet'!C65="Area 3 (Saranya R)",'Master Sheet'!J65,"")</f>
        <v>0</v>
      </c>
      <c r="K64" s="9">
        <f>IF('Master Sheet'!C65="Area 3 (Saranya R)",'Master Sheet'!K65,"")</f>
        <v>0</v>
      </c>
      <c r="L64" s="9">
        <f>IF('Master Sheet'!C65="Area 3 (Saranya R)",'Master Sheet'!L65,"")</f>
        <v>0</v>
      </c>
      <c r="M64" s="9">
        <f>IF('Master Sheet'!C65="Area 3 (Saranya R)",'Master Sheet'!M65,"")</f>
        <v>0</v>
      </c>
      <c r="N64" s="9">
        <f>IF('Master Sheet'!C65="Area 3 (Saranya R)",'Master Sheet'!N65,"")</f>
        <v>350</v>
      </c>
      <c r="O64" s="23">
        <f>IF('Master Sheet'!C65="Area 3 (Saranya R)",'Master Sheet'!O65,"")</f>
        <v>3150</v>
      </c>
      <c r="P64" s="9" t="str">
        <f>IF('Master Sheet'!C65="Area 3 (Saranya R)",'Master Sheet'!P65,"")</f>
        <v>Pending</v>
      </c>
    </row>
    <row r="65" spans="1:16" s="8" customFormat="1" ht="19.899999999999999" customHeight="1" x14ac:dyDescent="0.25">
      <c r="A65" s="7" t="str">
        <f>IF('Master Sheet'!C66="Area 3 (Saranya R)",'Master Sheet'!A66,"")</f>
        <v>P064</v>
      </c>
      <c r="B65" s="10" t="str">
        <f>IF('Master Sheet'!C66="Area 3 (Saranya R)",'Master Sheet'!B66,"")</f>
        <v>Jaya</v>
      </c>
      <c r="C65" t="s">
        <v>6</v>
      </c>
      <c r="D65" s="9">
        <f>IF('Master Sheet'!C66="Area 3 (Saranya R)",'Master Sheet'!D66,"")</f>
        <v>0</v>
      </c>
      <c r="E65" s="9">
        <f>IF('Master Sheet'!C66="Area 3 (Saranya R)",'Master Sheet'!E66,"")</f>
        <v>0</v>
      </c>
      <c r="F65" s="9">
        <f>IF('Master Sheet'!C66="Area 3 (Saranya R)",'Master Sheet'!F66,"")</f>
        <v>0</v>
      </c>
      <c r="G65" s="9">
        <f>IF('Master Sheet'!C66="Area 3 (Saranya R)",'Master Sheet'!G66,"")</f>
        <v>0</v>
      </c>
      <c r="H65" s="9">
        <f>IF('Master Sheet'!C66="Area 3 (Saranya R)",'Master Sheet'!H66,"")</f>
        <v>0</v>
      </c>
      <c r="I65" s="9">
        <f>IF('Master Sheet'!C66="Area 3 (Saranya R)",'Master Sheet'!I66,"")</f>
        <v>0</v>
      </c>
      <c r="J65" s="9">
        <f>IF('Master Sheet'!C66="Area 3 (Saranya R)",'Master Sheet'!J66,"")</f>
        <v>0</v>
      </c>
      <c r="K65" s="9">
        <f>IF('Master Sheet'!C66="Area 3 (Saranya R)",'Master Sheet'!K66,"")</f>
        <v>0</v>
      </c>
      <c r="L65" s="9">
        <f>IF('Master Sheet'!C66="Area 3 (Saranya R)",'Master Sheet'!L66,"")</f>
        <v>0</v>
      </c>
      <c r="M65" s="9">
        <f>IF('Master Sheet'!C66="Area 3 (Saranya R)",'Master Sheet'!M66,"")</f>
        <v>0</v>
      </c>
      <c r="N65" s="9">
        <f>IF('Master Sheet'!C66="Area 3 (Saranya R)",'Master Sheet'!N66,"")</f>
        <v>0</v>
      </c>
      <c r="O65" s="23">
        <f>IF('Master Sheet'!C66="Area 3 (Saranya R)",'Master Sheet'!O66,"")</f>
        <v>3500</v>
      </c>
      <c r="P65" s="9" t="str">
        <f>IF('Master Sheet'!C66="Area 3 (Saranya R)",'Master Sheet'!P66,"")</f>
        <v>Pending</v>
      </c>
    </row>
    <row r="66" spans="1:16" s="8" customFormat="1" ht="19.899999999999999" customHeight="1" x14ac:dyDescent="0.25">
      <c r="A66" s="7" t="str">
        <f>IF('Master Sheet'!C67="Area 3 (Saranya R)",'Master Sheet'!A67,"")</f>
        <v>P065</v>
      </c>
      <c r="B66" s="10" t="str">
        <f>IF('Master Sheet'!C67="Area 3 (Saranya R)",'Master Sheet'!B67,"")</f>
        <v>Maya</v>
      </c>
      <c r="C66" t="s">
        <v>6</v>
      </c>
      <c r="D66" s="9">
        <f>IF('Master Sheet'!C67="Area 3 (Saranya R)",'Master Sheet'!D67,"")</f>
        <v>0</v>
      </c>
      <c r="E66" s="9">
        <f>IF('Master Sheet'!C67="Area 3 (Saranya R)",'Master Sheet'!E67,"")</f>
        <v>0</v>
      </c>
      <c r="F66" s="9">
        <f>IF('Master Sheet'!C67="Area 3 (Saranya R)",'Master Sheet'!F67,"")</f>
        <v>0</v>
      </c>
      <c r="G66" s="9">
        <f>IF('Master Sheet'!C67="Area 3 (Saranya R)",'Master Sheet'!G67,"")</f>
        <v>3500</v>
      </c>
      <c r="H66" s="9">
        <f>IF('Master Sheet'!C67="Area 3 (Saranya R)",'Master Sheet'!H67,"")</f>
        <v>0</v>
      </c>
      <c r="I66" s="9">
        <f>IF('Master Sheet'!C67="Area 3 (Saranya R)",'Master Sheet'!I67,"")</f>
        <v>0</v>
      </c>
      <c r="J66" s="9">
        <f>IF('Master Sheet'!C67="Area 3 (Saranya R)",'Master Sheet'!J67,"")</f>
        <v>0</v>
      </c>
      <c r="K66" s="9">
        <f>IF('Master Sheet'!C67="Area 3 (Saranya R)",'Master Sheet'!K67,"")</f>
        <v>0</v>
      </c>
      <c r="L66" s="9">
        <f>IF('Master Sheet'!C67="Area 3 (Saranya R)",'Master Sheet'!L67,"")</f>
        <v>0</v>
      </c>
      <c r="M66" s="9">
        <f>IF('Master Sheet'!C67="Area 3 (Saranya R)",'Master Sheet'!M67,"")</f>
        <v>0</v>
      </c>
      <c r="N66" s="9">
        <f>IF('Master Sheet'!C67="Area 3 (Saranya R)",'Master Sheet'!N67,"")</f>
        <v>3500</v>
      </c>
      <c r="O66" s="23">
        <f>IF('Master Sheet'!C67="Area 3 (Saranya R)",'Master Sheet'!O67,"")</f>
        <v>0</v>
      </c>
      <c r="P66" s="9" t="str">
        <f>IF('Master Sheet'!C67="Area 3 (Saranya R)",'Master Sheet'!P67,"")</f>
        <v>Completed</v>
      </c>
    </row>
    <row r="67" spans="1:16" s="8" customFormat="1" ht="19.899999999999999" customHeight="1" x14ac:dyDescent="0.25">
      <c r="A67" s="7" t="str">
        <f>IF('Master Sheet'!C68="Area 3 (Saranya R)",'Master Sheet'!A68,"")</f>
        <v>P066</v>
      </c>
      <c r="B67" s="10" t="str">
        <f>IF('Master Sheet'!C68="Area 3 (Saranya R)",'Master Sheet'!B68,"")</f>
        <v>Renjini Uthaman</v>
      </c>
      <c r="C67" t="s">
        <v>6</v>
      </c>
      <c r="D67" s="9">
        <f>IF('Master Sheet'!C68="Area 3 (Saranya R)",'Master Sheet'!D68,"")</f>
        <v>500</v>
      </c>
      <c r="E67" s="9">
        <f>IF('Master Sheet'!C68="Area 3 (Saranya R)",'Master Sheet'!E68,"")</f>
        <v>0</v>
      </c>
      <c r="F67" s="9">
        <f>IF('Master Sheet'!C68="Area 3 (Saranya R)",'Master Sheet'!F68,"")</f>
        <v>0</v>
      </c>
      <c r="G67" s="9">
        <f>IF('Master Sheet'!C68="Area 3 (Saranya R)",'Master Sheet'!G68,"")</f>
        <v>1000</v>
      </c>
      <c r="H67" s="9">
        <f>IF('Master Sheet'!C68="Area 3 (Saranya R)",'Master Sheet'!H68,"")</f>
        <v>0</v>
      </c>
      <c r="I67" s="9">
        <f>IF('Master Sheet'!C68="Area 3 (Saranya R)",'Master Sheet'!I68,"")</f>
        <v>0</v>
      </c>
      <c r="J67" s="9">
        <f>IF('Master Sheet'!C68="Area 3 (Saranya R)",'Master Sheet'!J68,"")</f>
        <v>0</v>
      </c>
      <c r="K67" s="9">
        <f>IF('Master Sheet'!C68="Area 3 (Saranya R)",'Master Sheet'!K68,"")</f>
        <v>0</v>
      </c>
      <c r="L67" s="9">
        <f>IF('Master Sheet'!C68="Area 3 (Saranya R)",'Master Sheet'!L68,"")</f>
        <v>0</v>
      </c>
      <c r="M67" s="9">
        <f>IF('Master Sheet'!C68="Area 3 (Saranya R)",'Master Sheet'!M68,"")</f>
        <v>0</v>
      </c>
      <c r="N67" s="9">
        <f>IF('Master Sheet'!C68="Area 3 (Saranya R)",'Master Sheet'!N68,"")</f>
        <v>1500</v>
      </c>
      <c r="O67" s="23">
        <f>IF('Master Sheet'!C68="Area 3 (Saranya R)",'Master Sheet'!O68,"")</f>
        <v>2000</v>
      </c>
      <c r="P67" s="9" t="str">
        <f>IF('Master Sheet'!C68="Area 3 (Saranya R)",'Master Sheet'!P68,"")</f>
        <v>Pending</v>
      </c>
    </row>
    <row r="68" spans="1:16" s="8" customFormat="1" ht="19.899999999999999" customHeight="1" x14ac:dyDescent="0.25">
      <c r="A68" s="7" t="str">
        <f>IF('Master Sheet'!C69="Area 3 (Saranya R)",'Master Sheet'!A69,"")</f>
        <v>P067</v>
      </c>
      <c r="B68" s="10" t="str">
        <f>IF('Master Sheet'!C69="Area 3 (Saranya R)",'Master Sheet'!B69,"")</f>
        <v>Pinky Prasanth</v>
      </c>
      <c r="C68" t="s">
        <v>6</v>
      </c>
      <c r="D68" s="9">
        <f>IF('Master Sheet'!C69="Area 3 (Saranya R)",'Master Sheet'!D69,"")</f>
        <v>0</v>
      </c>
      <c r="E68" s="9">
        <f>IF('Master Sheet'!C69="Area 3 (Saranya R)",'Master Sheet'!E69,"")</f>
        <v>0</v>
      </c>
      <c r="F68" s="9">
        <f>IF('Master Sheet'!C69="Area 3 (Saranya R)",'Master Sheet'!F69,"")</f>
        <v>0</v>
      </c>
      <c r="G68" s="9">
        <f>IF('Master Sheet'!C69="Area 3 (Saranya R)",'Master Sheet'!G69,"")</f>
        <v>0</v>
      </c>
      <c r="H68" s="9">
        <f>IF('Master Sheet'!C69="Area 3 (Saranya R)",'Master Sheet'!H69,"")</f>
        <v>0</v>
      </c>
      <c r="I68" s="9">
        <f>IF('Master Sheet'!C69="Area 3 (Saranya R)",'Master Sheet'!I69,"")</f>
        <v>0</v>
      </c>
      <c r="J68" s="9">
        <f>IF('Master Sheet'!C69="Area 3 (Saranya R)",'Master Sheet'!J69,"")</f>
        <v>0</v>
      </c>
      <c r="K68" s="9">
        <f>IF('Master Sheet'!C69="Area 3 (Saranya R)",'Master Sheet'!K69,"")</f>
        <v>0</v>
      </c>
      <c r="L68" s="9">
        <f>IF('Master Sheet'!C69="Area 3 (Saranya R)",'Master Sheet'!L69,"")</f>
        <v>0</v>
      </c>
      <c r="M68" s="9">
        <f>IF('Master Sheet'!C69="Area 3 (Saranya R)",'Master Sheet'!M69,"")</f>
        <v>0</v>
      </c>
      <c r="N68" s="9">
        <f>IF('Master Sheet'!C69="Area 3 (Saranya R)",'Master Sheet'!N69,"")</f>
        <v>0</v>
      </c>
      <c r="O68" s="23">
        <f>IF('Master Sheet'!C69="Area 3 (Saranya R)",'Master Sheet'!O69,"")</f>
        <v>3500</v>
      </c>
      <c r="P68" s="9" t="str">
        <f>IF('Master Sheet'!C69="Area 3 (Saranya R)",'Master Sheet'!P69,"")</f>
        <v>Pending</v>
      </c>
    </row>
    <row r="69" spans="1:16" hidden="1" x14ac:dyDescent="0.25">
      <c r="A69" t="str">
        <f>IF('Master Sheet'!C71="Area 3 (Saranya R)",'Master Sheet'!A71,"")</f>
        <v/>
      </c>
      <c r="B69" t="str">
        <f>IF('Master Sheet'!C71="Area 3 (Saranya R)",'Master Sheet'!B71,"")</f>
        <v/>
      </c>
      <c r="C69" t="s">
        <v>6</v>
      </c>
      <c r="D69" t="str">
        <f>IF('Master Sheet'!C71="Area 3 (Saranya R)",'Master Sheet'!D71,"")</f>
        <v/>
      </c>
      <c r="E69" t="str">
        <f>IF('Master Sheet'!C71="Area 3 (Saranya R)",'Master Sheet'!E71,"")</f>
        <v/>
      </c>
      <c r="F69" t="str">
        <f>IF('Master Sheet'!C71="Area 3 (Saranya R)",'Master Sheet'!F71,"")</f>
        <v/>
      </c>
      <c r="G69" t="str">
        <f>IF('Master Sheet'!C71="Area 3 (Saranya R)",'Master Sheet'!G71,"")</f>
        <v/>
      </c>
      <c r="H69" t="str">
        <f>IF('Master Sheet'!C71="Area 3 (Saranya R)",'Master Sheet'!H71,"")</f>
        <v/>
      </c>
      <c r="I69" t="str">
        <f>IF('Master Sheet'!C71="Area 3 (Saranya R)",'Master Sheet'!I71,"")</f>
        <v/>
      </c>
      <c r="J69" t="str">
        <f>IF('Master Sheet'!C71="Area 3 (Saranya R)",'Master Sheet'!J71,"")</f>
        <v/>
      </c>
      <c r="K69" t="str">
        <f>IF('Master Sheet'!C71="Area 3 (Saranya R)",'Master Sheet'!K71,"")</f>
        <v/>
      </c>
      <c r="L69" t="str">
        <f>IF('Master Sheet'!C71="Area 3 (Saranya R)",'Master Sheet'!L71,"")</f>
        <v/>
      </c>
      <c r="M69" t="str">
        <f>IF('Master Sheet'!C71="Area 3 (Saranya R)",'Master Sheet'!M71,"")</f>
        <v/>
      </c>
      <c r="N69" t="str">
        <f>IF('Master Sheet'!C71="Area 3 (Saranya R)",'Master Sheet'!N71,"")</f>
        <v/>
      </c>
      <c r="O69" t="str">
        <f>IF('Master Sheet'!C71="Area 3 (Saranya R)",'Master Sheet'!O71,"")</f>
        <v/>
      </c>
      <c r="P69" t="str">
        <f>IF('Master Sheet'!C71="Area 3 (Saranya R)",'Master Sheet'!P71,"")</f>
        <v/>
      </c>
    </row>
    <row r="70" spans="1:16" hidden="1" x14ac:dyDescent="0.25">
      <c r="A70" t="str">
        <f>IF('Master Sheet'!C72="Area 3 (Saranya R)",'Master Sheet'!A72,"")</f>
        <v/>
      </c>
      <c r="B70" t="str">
        <f>IF('Master Sheet'!C72="Area 3 (Saranya R)",'Master Sheet'!B72,"")</f>
        <v/>
      </c>
      <c r="C70" t="s">
        <v>6</v>
      </c>
      <c r="D70" t="str">
        <f>IF('Master Sheet'!C72="Area 3 (Saranya R)",'Master Sheet'!D72,"")</f>
        <v/>
      </c>
      <c r="E70" t="str">
        <f>IF('Master Sheet'!C72="Area 3 (Saranya R)",'Master Sheet'!E72,"")</f>
        <v/>
      </c>
      <c r="F70" t="str">
        <f>IF('Master Sheet'!C72="Area 3 (Saranya R)",'Master Sheet'!F72,"")</f>
        <v/>
      </c>
      <c r="G70" t="str">
        <f>IF('Master Sheet'!C72="Area 3 (Saranya R)",'Master Sheet'!G72,"")</f>
        <v/>
      </c>
      <c r="H70" t="str">
        <f>IF('Master Sheet'!C72="Area 3 (Saranya R)",'Master Sheet'!H72,"")</f>
        <v/>
      </c>
      <c r="I70" t="str">
        <f>IF('Master Sheet'!C72="Area 3 (Saranya R)",'Master Sheet'!I72,"")</f>
        <v/>
      </c>
      <c r="J70" t="str">
        <f>IF('Master Sheet'!C72="Area 3 (Saranya R)",'Master Sheet'!J72,"")</f>
        <v/>
      </c>
      <c r="K70" t="str">
        <f>IF('Master Sheet'!C72="Area 3 (Saranya R)",'Master Sheet'!K72,"")</f>
        <v/>
      </c>
      <c r="L70" t="str">
        <f>IF('Master Sheet'!C72="Area 3 (Saranya R)",'Master Sheet'!L72,"")</f>
        <v/>
      </c>
      <c r="M70" t="str">
        <f>IF('Master Sheet'!C72="Area 3 (Saranya R)",'Master Sheet'!M72,"")</f>
        <v/>
      </c>
      <c r="N70" t="str">
        <f>IF('Master Sheet'!C72="Area 3 (Saranya R)",'Master Sheet'!N72,"")</f>
        <v/>
      </c>
      <c r="O70" t="str">
        <f>IF('Master Sheet'!C72="Area 3 (Saranya R)",'Master Sheet'!O72,"")</f>
        <v/>
      </c>
      <c r="P70" t="str">
        <f>IF('Master Sheet'!C72="Area 3 (Saranya R)",'Master Sheet'!P72,"")</f>
        <v/>
      </c>
    </row>
    <row r="71" spans="1:16" hidden="1" x14ac:dyDescent="0.25">
      <c r="A71" t="str">
        <f>IF('Master Sheet'!C73="Area 3 (Saranya R)",'Master Sheet'!A73,"")</f>
        <v/>
      </c>
      <c r="B71" t="str">
        <f>IF('Master Sheet'!C73="Area 3 (Saranya R)",'Master Sheet'!B73,"")</f>
        <v/>
      </c>
      <c r="C71" t="s">
        <v>6</v>
      </c>
      <c r="D71" t="str">
        <f>IF('Master Sheet'!C73="Area 3 (Saranya R)",'Master Sheet'!D73,"")</f>
        <v/>
      </c>
      <c r="E71" t="str">
        <f>IF('Master Sheet'!C73="Area 3 (Saranya R)",'Master Sheet'!E73,"")</f>
        <v/>
      </c>
      <c r="F71" t="str">
        <f>IF('Master Sheet'!C73="Area 3 (Saranya R)",'Master Sheet'!F73,"")</f>
        <v/>
      </c>
      <c r="G71" t="str">
        <f>IF('Master Sheet'!C73="Area 3 (Saranya R)",'Master Sheet'!G73,"")</f>
        <v/>
      </c>
      <c r="H71" t="str">
        <f>IF('Master Sheet'!C73="Area 3 (Saranya R)",'Master Sheet'!H73,"")</f>
        <v/>
      </c>
      <c r="I71" t="str">
        <f>IF('Master Sheet'!C73="Area 3 (Saranya R)",'Master Sheet'!I73,"")</f>
        <v/>
      </c>
      <c r="J71" t="str">
        <f>IF('Master Sheet'!C73="Area 3 (Saranya R)",'Master Sheet'!J73,"")</f>
        <v/>
      </c>
      <c r="K71" t="str">
        <f>IF('Master Sheet'!C73="Area 3 (Saranya R)",'Master Sheet'!K73,"")</f>
        <v/>
      </c>
      <c r="L71" t="str">
        <f>IF('Master Sheet'!C73="Area 3 (Saranya R)",'Master Sheet'!L73,"")</f>
        <v/>
      </c>
      <c r="M71" t="str">
        <f>IF('Master Sheet'!C73="Area 3 (Saranya R)",'Master Sheet'!M73,"")</f>
        <v/>
      </c>
      <c r="N71" t="str">
        <f>IF('Master Sheet'!C73="Area 3 (Saranya R)",'Master Sheet'!N73,"")</f>
        <v/>
      </c>
      <c r="O71" t="str">
        <f>IF('Master Sheet'!C73="Area 3 (Saranya R)",'Master Sheet'!O73,"")</f>
        <v/>
      </c>
      <c r="P71" t="str">
        <f>IF('Master Sheet'!C73="Area 3 (Saranya R)",'Master Sheet'!P73,"")</f>
        <v/>
      </c>
    </row>
    <row r="72" spans="1:16" hidden="1" x14ac:dyDescent="0.25">
      <c r="A72" t="str">
        <f>IF('Master Sheet'!C74="Area 3 (Saranya R)",'Master Sheet'!A74,"")</f>
        <v/>
      </c>
      <c r="B72" t="str">
        <f>IF('Master Sheet'!C74="Area 3 (Saranya R)",'Master Sheet'!B74,"")</f>
        <v/>
      </c>
      <c r="C72" t="s">
        <v>6</v>
      </c>
      <c r="D72" t="str">
        <f>IF('Master Sheet'!C74="Area 3 (Saranya R)",'Master Sheet'!D74,"")</f>
        <v/>
      </c>
      <c r="E72" t="str">
        <f>IF('Master Sheet'!C74="Area 3 (Saranya R)",'Master Sheet'!E74,"")</f>
        <v/>
      </c>
      <c r="F72" t="str">
        <f>IF('Master Sheet'!C74="Area 3 (Saranya R)",'Master Sheet'!F74,"")</f>
        <v/>
      </c>
      <c r="G72" t="str">
        <f>IF('Master Sheet'!C74="Area 3 (Saranya R)",'Master Sheet'!G74,"")</f>
        <v/>
      </c>
      <c r="H72" t="str">
        <f>IF('Master Sheet'!C74="Area 3 (Saranya R)",'Master Sheet'!H74,"")</f>
        <v/>
      </c>
      <c r="I72" t="str">
        <f>IF('Master Sheet'!C74="Area 3 (Saranya R)",'Master Sheet'!I74,"")</f>
        <v/>
      </c>
      <c r="J72" t="str">
        <f>IF('Master Sheet'!C74="Area 3 (Saranya R)",'Master Sheet'!J74,"")</f>
        <v/>
      </c>
      <c r="K72" t="str">
        <f>IF('Master Sheet'!C74="Area 3 (Saranya R)",'Master Sheet'!K74,"")</f>
        <v/>
      </c>
      <c r="L72" t="str">
        <f>IF('Master Sheet'!C74="Area 3 (Saranya R)",'Master Sheet'!L74,"")</f>
        <v/>
      </c>
      <c r="M72" t="str">
        <f>IF('Master Sheet'!C74="Area 3 (Saranya R)",'Master Sheet'!M74,"")</f>
        <v/>
      </c>
      <c r="N72" t="str">
        <f>IF('Master Sheet'!C74="Area 3 (Saranya R)",'Master Sheet'!N74,"")</f>
        <v/>
      </c>
      <c r="O72" t="str">
        <f>IF('Master Sheet'!C74="Area 3 (Saranya R)",'Master Sheet'!O74,"")</f>
        <v/>
      </c>
      <c r="P72" t="str">
        <f>IF('Master Sheet'!C74="Area 3 (Saranya R)",'Master Sheet'!P74,"")</f>
        <v/>
      </c>
    </row>
    <row r="73" spans="1:16" hidden="1" x14ac:dyDescent="0.25">
      <c r="A73" t="str">
        <f>IF('Master Sheet'!C75="Area 3 (Saranya R)",'Master Sheet'!A75,"")</f>
        <v/>
      </c>
      <c r="B73" t="str">
        <f>IF('Master Sheet'!C75="Area 3 (Saranya R)",'Master Sheet'!B75,"")</f>
        <v/>
      </c>
      <c r="C73" t="s">
        <v>6</v>
      </c>
      <c r="D73" t="str">
        <f>IF('Master Sheet'!C75="Area 3 (Saranya R)",'Master Sheet'!D75,"")</f>
        <v/>
      </c>
      <c r="E73" t="str">
        <f>IF('Master Sheet'!C75="Area 3 (Saranya R)",'Master Sheet'!E75,"")</f>
        <v/>
      </c>
      <c r="F73" t="str">
        <f>IF('Master Sheet'!C75="Area 3 (Saranya R)",'Master Sheet'!F75,"")</f>
        <v/>
      </c>
      <c r="G73" t="str">
        <f>IF('Master Sheet'!C75="Area 3 (Saranya R)",'Master Sheet'!G75,"")</f>
        <v/>
      </c>
      <c r="H73" t="str">
        <f>IF('Master Sheet'!C75="Area 3 (Saranya R)",'Master Sheet'!H75,"")</f>
        <v/>
      </c>
      <c r="I73" t="str">
        <f>IF('Master Sheet'!C75="Area 3 (Saranya R)",'Master Sheet'!I75,"")</f>
        <v/>
      </c>
      <c r="J73" t="str">
        <f>IF('Master Sheet'!C75="Area 3 (Saranya R)",'Master Sheet'!J75,"")</f>
        <v/>
      </c>
      <c r="K73" t="str">
        <f>IF('Master Sheet'!C75="Area 3 (Saranya R)",'Master Sheet'!K75,"")</f>
        <v/>
      </c>
      <c r="L73" t="str">
        <f>IF('Master Sheet'!C75="Area 3 (Saranya R)",'Master Sheet'!L75,"")</f>
        <v/>
      </c>
      <c r="M73" t="str">
        <f>IF('Master Sheet'!C75="Area 3 (Saranya R)",'Master Sheet'!M75,"")</f>
        <v/>
      </c>
      <c r="N73" t="str">
        <f>IF('Master Sheet'!C75="Area 3 (Saranya R)",'Master Sheet'!N75,"")</f>
        <v/>
      </c>
      <c r="O73" t="str">
        <f>IF('Master Sheet'!C75="Area 3 (Saranya R)",'Master Sheet'!O75,"")</f>
        <v/>
      </c>
      <c r="P73" t="str">
        <f>IF('Master Sheet'!C75="Area 3 (Saranya R)",'Master Sheet'!P75,"")</f>
        <v/>
      </c>
    </row>
    <row r="74" spans="1:16" hidden="1" x14ac:dyDescent="0.25">
      <c r="A74" t="str">
        <f>IF('Master Sheet'!C76="Area 3 (Saranya R)",'Master Sheet'!A76,"")</f>
        <v/>
      </c>
      <c r="B74" t="str">
        <f>IF('Master Sheet'!C76="Area 3 (Saranya R)",'Master Sheet'!B76,"")</f>
        <v/>
      </c>
      <c r="C74" t="s">
        <v>6</v>
      </c>
      <c r="D74" t="str">
        <f>IF('Master Sheet'!C76="Area 3 (Saranya R)",'Master Sheet'!D76,"")</f>
        <v/>
      </c>
      <c r="E74" t="str">
        <f>IF('Master Sheet'!C76="Area 3 (Saranya R)",'Master Sheet'!E76,"")</f>
        <v/>
      </c>
      <c r="F74" t="str">
        <f>IF('Master Sheet'!C76="Area 3 (Saranya R)",'Master Sheet'!F76,"")</f>
        <v/>
      </c>
      <c r="G74" t="str">
        <f>IF('Master Sheet'!C76="Area 3 (Saranya R)",'Master Sheet'!G76,"")</f>
        <v/>
      </c>
      <c r="H74" t="str">
        <f>IF('Master Sheet'!C76="Area 3 (Saranya R)",'Master Sheet'!H76,"")</f>
        <v/>
      </c>
      <c r="I74" t="str">
        <f>IF('Master Sheet'!C76="Area 3 (Saranya R)",'Master Sheet'!I76,"")</f>
        <v/>
      </c>
      <c r="J74" t="str">
        <f>IF('Master Sheet'!C76="Area 3 (Saranya R)",'Master Sheet'!J76,"")</f>
        <v/>
      </c>
      <c r="K74" t="str">
        <f>IF('Master Sheet'!C76="Area 3 (Saranya R)",'Master Sheet'!K76,"")</f>
        <v/>
      </c>
      <c r="L74" t="str">
        <f>IF('Master Sheet'!C76="Area 3 (Saranya R)",'Master Sheet'!L76,"")</f>
        <v/>
      </c>
      <c r="M74" t="str">
        <f>IF('Master Sheet'!C76="Area 3 (Saranya R)",'Master Sheet'!M76,"")</f>
        <v/>
      </c>
      <c r="N74" t="str">
        <f>IF('Master Sheet'!C76="Area 3 (Saranya R)",'Master Sheet'!N76,"")</f>
        <v/>
      </c>
      <c r="O74" t="str">
        <f>IF('Master Sheet'!C76="Area 3 (Saranya R)",'Master Sheet'!O76,"")</f>
        <v/>
      </c>
      <c r="P74" t="str">
        <f>IF('Master Sheet'!C76="Area 3 (Saranya R)",'Master Sheet'!P76,"")</f>
        <v/>
      </c>
    </row>
    <row r="75" spans="1:16" hidden="1" x14ac:dyDescent="0.25">
      <c r="A75" t="str">
        <f>IF('Master Sheet'!C77="Area 3 (Saranya R)",'Master Sheet'!A77,"")</f>
        <v/>
      </c>
      <c r="B75" t="str">
        <f>IF('Master Sheet'!C77="Area 3 (Saranya R)",'Master Sheet'!B77,"")</f>
        <v/>
      </c>
      <c r="C75" t="s">
        <v>6</v>
      </c>
      <c r="D75" t="str">
        <f>IF('Master Sheet'!C77="Area 3 (Saranya R)",'Master Sheet'!D77,"")</f>
        <v/>
      </c>
      <c r="E75" t="str">
        <f>IF('Master Sheet'!C77="Area 3 (Saranya R)",'Master Sheet'!E77,"")</f>
        <v/>
      </c>
      <c r="F75" t="str">
        <f>IF('Master Sheet'!C77="Area 3 (Saranya R)",'Master Sheet'!F77,"")</f>
        <v/>
      </c>
      <c r="G75" t="str">
        <f>IF('Master Sheet'!C77="Area 3 (Saranya R)",'Master Sheet'!G77,"")</f>
        <v/>
      </c>
      <c r="H75" t="str">
        <f>IF('Master Sheet'!C77="Area 3 (Saranya R)",'Master Sheet'!H77,"")</f>
        <v/>
      </c>
      <c r="I75" t="str">
        <f>IF('Master Sheet'!C77="Area 3 (Saranya R)",'Master Sheet'!I77,"")</f>
        <v/>
      </c>
      <c r="J75" t="str">
        <f>IF('Master Sheet'!C77="Area 3 (Saranya R)",'Master Sheet'!J77,"")</f>
        <v/>
      </c>
      <c r="K75" t="str">
        <f>IF('Master Sheet'!C77="Area 3 (Saranya R)",'Master Sheet'!K77,"")</f>
        <v/>
      </c>
      <c r="L75" t="str">
        <f>IF('Master Sheet'!C77="Area 3 (Saranya R)",'Master Sheet'!L77,"")</f>
        <v/>
      </c>
      <c r="M75" t="str">
        <f>IF('Master Sheet'!C77="Area 3 (Saranya R)",'Master Sheet'!M77,"")</f>
        <v/>
      </c>
      <c r="N75" t="str">
        <f>IF('Master Sheet'!C77="Area 3 (Saranya R)",'Master Sheet'!N77,"")</f>
        <v/>
      </c>
      <c r="O75" t="str">
        <f>IF('Master Sheet'!C77="Area 3 (Saranya R)",'Master Sheet'!O77,"")</f>
        <v/>
      </c>
      <c r="P75" t="str">
        <f>IF('Master Sheet'!C77="Area 3 (Saranya R)",'Master Sheet'!P77,"")</f>
        <v/>
      </c>
    </row>
    <row r="76" spans="1:16" hidden="1" x14ac:dyDescent="0.25">
      <c r="A76" t="str">
        <f>IF('Master Sheet'!C78="Area 3 (Saranya R)",'Master Sheet'!A78,"")</f>
        <v/>
      </c>
      <c r="B76" t="str">
        <f>IF('Master Sheet'!C78="Area 3 (Saranya R)",'Master Sheet'!B78,"")</f>
        <v/>
      </c>
      <c r="C76" t="s">
        <v>6</v>
      </c>
      <c r="D76" t="str">
        <f>IF('Master Sheet'!C78="Area 3 (Saranya R)",'Master Sheet'!D78,"")</f>
        <v/>
      </c>
      <c r="E76" t="str">
        <f>IF('Master Sheet'!C78="Area 3 (Saranya R)",'Master Sheet'!E78,"")</f>
        <v/>
      </c>
      <c r="F76" t="str">
        <f>IF('Master Sheet'!C78="Area 3 (Saranya R)",'Master Sheet'!F78,"")</f>
        <v/>
      </c>
      <c r="G76" t="str">
        <f>IF('Master Sheet'!C78="Area 3 (Saranya R)",'Master Sheet'!G78,"")</f>
        <v/>
      </c>
      <c r="H76" t="str">
        <f>IF('Master Sheet'!C78="Area 3 (Saranya R)",'Master Sheet'!H78,"")</f>
        <v/>
      </c>
      <c r="I76" t="str">
        <f>IF('Master Sheet'!C78="Area 3 (Saranya R)",'Master Sheet'!I78,"")</f>
        <v/>
      </c>
      <c r="J76" t="str">
        <f>IF('Master Sheet'!C78="Area 3 (Saranya R)",'Master Sheet'!J78,"")</f>
        <v/>
      </c>
      <c r="K76" t="str">
        <f>IF('Master Sheet'!C78="Area 3 (Saranya R)",'Master Sheet'!K78,"")</f>
        <v/>
      </c>
      <c r="L76" t="str">
        <f>IF('Master Sheet'!C78="Area 3 (Saranya R)",'Master Sheet'!L78,"")</f>
        <v/>
      </c>
      <c r="M76" t="str">
        <f>IF('Master Sheet'!C78="Area 3 (Saranya R)",'Master Sheet'!M78,"")</f>
        <v/>
      </c>
      <c r="N76" t="str">
        <f>IF('Master Sheet'!C78="Area 3 (Saranya R)",'Master Sheet'!N78,"")</f>
        <v/>
      </c>
      <c r="O76" t="str">
        <f>IF('Master Sheet'!C78="Area 3 (Saranya R)",'Master Sheet'!O78,"")</f>
        <v/>
      </c>
      <c r="P76" t="str">
        <f>IF('Master Sheet'!C78="Area 3 (Saranya R)",'Master Sheet'!P78,"")</f>
        <v/>
      </c>
    </row>
    <row r="77" spans="1:16" hidden="1" x14ac:dyDescent="0.25">
      <c r="A77" t="str">
        <f>IF('Master Sheet'!C79="Area 3 (Saranya R)",'Master Sheet'!A79,"")</f>
        <v/>
      </c>
      <c r="B77" t="str">
        <f>IF('Master Sheet'!C79="Area 3 (Saranya R)",'Master Sheet'!B79,"")</f>
        <v/>
      </c>
      <c r="C77" t="s">
        <v>6</v>
      </c>
      <c r="D77" t="str">
        <f>IF('Master Sheet'!C79="Area 3 (Saranya R)",'Master Sheet'!D79,"")</f>
        <v/>
      </c>
      <c r="E77" t="str">
        <f>IF('Master Sheet'!C79="Area 3 (Saranya R)",'Master Sheet'!E79,"")</f>
        <v/>
      </c>
      <c r="F77" t="str">
        <f>IF('Master Sheet'!C79="Area 3 (Saranya R)",'Master Sheet'!F79,"")</f>
        <v/>
      </c>
      <c r="G77" t="str">
        <f>IF('Master Sheet'!C79="Area 3 (Saranya R)",'Master Sheet'!G79,"")</f>
        <v/>
      </c>
      <c r="H77" t="str">
        <f>IF('Master Sheet'!C79="Area 3 (Saranya R)",'Master Sheet'!H79,"")</f>
        <v/>
      </c>
      <c r="I77" t="str">
        <f>IF('Master Sheet'!C79="Area 3 (Saranya R)",'Master Sheet'!I79,"")</f>
        <v/>
      </c>
      <c r="J77" t="str">
        <f>IF('Master Sheet'!C79="Area 3 (Saranya R)",'Master Sheet'!J79,"")</f>
        <v/>
      </c>
      <c r="K77" t="str">
        <f>IF('Master Sheet'!C79="Area 3 (Saranya R)",'Master Sheet'!K79,"")</f>
        <v/>
      </c>
      <c r="L77" t="str">
        <f>IF('Master Sheet'!C79="Area 3 (Saranya R)",'Master Sheet'!L79,"")</f>
        <v/>
      </c>
      <c r="M77" t="str">
        <f>IF('Master Sheet'!C79="Area 3 (Saranya R)",'Master Sheet'!M79,"")</f>
        <v/>
      </c>
      <c r="N77" t="str">
        <f>IF('Master Sheet'!C79="Area 3 (Saranya R)",'Master Sheet'!N79,"")</f>
        <v/>
      </c>
      <c r="O77" t="str">
        <f>IF('Master Sheet'!C79="Area 3 (Saranya R)",'Master Sheet'!O79,"")</f>
        <v/>
      </c>
      <c r="P77" t="str">
        <f>IF('Master Sheet'!C79="Area 3 (Saranya R)",'Master Sheet'!P79,"")</f>
        <v/>
      </c>
    </row>
    <row r="78" spans="1:16" hidden="1" x14ac:dyDescent="0.25">
      <c r="A78" t="str">
        <f>IF('Master Sheet'!C80="Area 3 (Saranya R)",'Master Sheet'!A80,"")</f>
        <v/>
      </c>
      <c r="B78" t="str">
        <f>IF('Master Sheet'!C80="Area 3 (Saranya R)",'Master Sheet'!B80,"")</f>
        <v/>
      </c>
      <c r="C78" t="s">
        <v>6</v>
      </c>
      <c r="D78" t="str">
        <f>IF('Master Sheet'!C80="Area 3 (Saranya R)",'Master Sheet'!D80,"")</f>
        <v/>
      </c>
      <c r="E78" t="str">
        <f>IF('Master Sheet'!C80="Area 3 (Saranya R)",'Master Sheet'!E80,"")</f>
        <v/>
      </c>
      <c r="F78" t="str">
        <f>IF('Master Sheet'!C80="Area 3 (Saranya R)",'Master Sheet'!F80,"")</f>
        <v/>
      </c>
      <c r="G78" t="str">
        <f>IF('Master Sheet'!C80="Area 3 (Saranya R)",'Master Sheet'!G80,"")</f>
        <v/>
      </c>
      <c r="H78" t="str">
        <f>IF('Master Sheet'!C80="Area 3 (Saranya R)",'Master Sheet'!H80,"")</f>
        <v/>
      </c>
      <c r="I78" t="str">
        <f>IF('Master Sheet'!C80="Area 3 (Saranya R)",'Master Sheet'!I80,"")</f>
        <v/>
      </c>
      <c r="J78" t="str">
        <f>IF('Master Sheet'!C80="Area 3 (Saranya R)",'Master Sheet'!J80,"")</f>
        <v/>
      </c>
      <c r="K78" t="str">
        <f>IF('Master Sheet'!C80="Area 3 (Saranya R)",'Master Sheet'!K80,"")</f>
        <v/>
      </c>
      <c r="L78" t="str">
        <f>IF('Master Sheet'!C80="Area 3 (Saranya R)",'Master Sheet'!L80,"")</f>
        <v/>
      </c>
      <c r="M78" t="str">
        <f>IF('Master Sheet'!C80="Area 3 (Saranya R)",'Master Sheet'!M80,"")</f>
        <v/>
      </c>
      <c r="N78" t="str">
        <f>IF('Master Sheet'!C80="Area 3 (Saranya R)",'Master Sheet'!N80,"")</f>
        <v/>
      </c>
      <c r="O78" t="str">
        <f>IF('Master Sheet'!C80="Area 3 (Saranya R)",'Master Sheet'!O80,"")</f>
        <v/>
      </c>
      <c r="P78" t="str">
        <f>IF('Master Sheet'!C80="Area 3 (Saranya R)",'Master Sheet'!P80,"")</f>
        <v/>
      </c>
    </row>
    <row r="79" spans="1:16" hidden="1" x14ac:dyDescent="0.25">
      <c r="A79" t="str">
        <f>IF('Master Sheet'!C81="Area 3 (Saranya R)",'Master Sheet'!A81,"")</f>
        <v/>
      </c>
      <c r="B79" t="str">
        <f>IF('Master Sheet'!C81="Area 3 (Saranya R)",'Master Sheet'!B81,"")</f>
        <v/>
      </c>
      <c r="C79" t="s">
        <v>6</v>
      </c>
      <c r="D79" t="str">
        <f>IF('Master Sheet'!C81="Area 3 (Saranya R)",'Master Sheet'!D81,"")</f>
        <v/>
      </c>
      <c r="E79" t="str">
        <f>IF('Master Sheet'!C81="Area 3 (Saranya R)",'Master Sheet'!E81,"")</f>
        <v/>
      </c>
      <c r="F79" t="str">
        <f>IF('Master Sheet'!C81="Area 3 (Saranya R)",'Master Sheet'!F81,"")</f>
        <v/>
      </c>
      <c r="G79" t="str">
        <f>IF('Master Sheet'!C81="Area 3 (Saranya R)",'Master Sheet'!G81,"")</f>
        <v/>
      </c>
      <c r="H79" t="str">
        <f>IF('Master Sheet'!C81="Area 3 (Saranya R)",'Master Sheet'!H81,"")</f>
        <v/>
      </c>
      <c r="I79" t="str">
        <f>IF('Master Sheet'!C81="Area 3 (Saranya R)",'Master Sheet'!I81,"")</f>
        <v/>
      </c>
      <c r="J79" t="str">
        <f>IF('Master Sheet'!C81="Area 3 (Saranya R)",'Master Sheet'!J81,"")</f>
        <v/>
      </c>
      <c r="K79" t="str">
        <f>IF('Master Sheet'!C81="Area 3 (Saranya R)",'Master Sheet'!K81,"")</f>
        <v/>
      </c>
      <c r="L79" t="str">
        <f>IF('Master Sheet'!C81="Area 3 (Saranya R)",'Master Sheet'!L81,"")</f>
        <v/>
      </c>
      <c r="M79" t="str">
        <f>IF('Master Sheet'!C81="Area 3 (Saranya R)",'Master Sheet'!M81,"")</f>
        <v/>
      </c>
      <c r="N79" t="str">
        <f>IF('Master Sheet'!C81="Area 3 (Saranya R)",'Master Sheet'!N81,"")</f>
        <v/>
      </c>
      <c r="O79" t="str">
        <f>IF('Master Sheet'!C81="Area 3 (Saranya R)",'Master Sheet'!O81,"")</f>
        <v/>
      </c>
      <c r="P79" t="str">
        <f>IF('Master Sheet'!C81="Area 3 (Saranya R)",'Master Sheet'!P81,"")</f>
        <v/>
      </c>
    </row>
    <row r="80" spans="1:16" hidden="1" x14ac:dyDescent="0.25">
      <c r="A80" t="str">
        <f>IF('Master Sheet'!C82="Area 3 (Saranya R)",'Master Sheet'!A82,"")</f>
        <v/>
      </c>
      <c r="B80" t="str">
        <f>IF('Master Sheet'!C82="Area 3 (Saranya R)",'Master Sheet'!B82,"")</f>
        <v/>
      </c>
      <c r="C80" t="s">
        <v>6</v>
      </c>
      <c r="D80" t="str">
        <f>IF('Master Sheet'!C82="Area 3 (Saranya R)",'Master Sheet'!D82,"")</f>
        <v/>
      </c>
      <c r="E80" t="str">
        <f>IF('Master Sheet'!C82="Area 3 (Saranya R)",'Master Sheet'!E82,"")</f>
        <v/>
      </c>
      <c r="F80" t="str">
        <f>IF('Master Sheet'!C82="Area 3 (Saranya R)",'Master Sheet'!F82,"")</f>
        <v/>
      </c>
      <c r="G80" t="str">
        <f>IF('Master Sheet'!C82="Area 3 (Saranya R)",'Master Sheet'!G82,"")</f>
        <v/>
      </c>
      <c r="H80" t="str">
        <f>IF('Master Sheet'!C82="Area 3 (Saranya R)",'Master Sheet'!H82,"")</f>
        <v/>
      </c>
      <c r="I80" t="str">
        <f>IF('Master Sheet'!C82="Area 3 (Saranya R)",'Master Sheet'!I82,"")</f>
        <v/>
      </c>
      <c r="J80" t="str">
        <f>IF('Master Sheet'!C82="Area 3 (Saranya R)",'Master Sheet'!J82,"")</f>
        <v/>
      </c>
      <c r="K80" t="str">
        <f>IF('Master Sheet'!C82="Area 3 (Saranya R)",'Master Sheet'!K82,"")</f>
        <v/>
      </c>
      <c r="L80" t="str">
        <f>IF('Master Sheet'!C82="Area 3 (Saranya R)",'Master Sheet'!L82,"")</f>
        <v/>
      </c>
      <c r="M80" t="str">
        <f>IF('Master Sheet'!C82="Area 3 (Saranya R)",'Master Sheet'!M82,"")</f>
        <v/>
      </c>
      <c r="N80" t="str">
        <f>IF('Master Sheet'!C82="Area 3 (Saranya R)",'Master Sheet'!N82,"")</f>
        <v/>
      </c>
      <c r="O80" t="str">
        <f>IF('Master Sheet'!C82="Area 3 (Saranya R)",'Master Sheet'!O82,"")</f>
        <v/>
      </c>
      <c r="P80" t="str">
        <f>IF('Master Sheet'!C82="Area 3 (Saranya R)",'Master Sheet'!P82,"")</f>
        <v/>
      </c>
    </row>
    <row r="81" spans="1:16" hidden="1" x14ac:dyDescent="0.25">
      <c r="A81" t="str">
        <f>IF('Master Sheet'!C83="Area 3 (Saranya R)",'Master Sheet'!A83,"")</f>
        <v/>
      </c>
      <c r="B81" t="str">
        <f>IF('Master Sheet'!C83="Area 3 (Saranya R)",'Master Sheet'!B83,"")</f>
        <v/>
      </c>
      <c r="C81" t="s">
        <v>6</v>
      </c>
      <c r="D81" t="str">
        <f>IF('Master Sheet'!C83="Area 3 (Saranya R)",'Master Sheet'!D83,"")</f>
        <v/>
      </c>
      <c r="E81" t="str">
        <f>IF('Master Sheet'!C83="Area 3 (Saranya R)",'Master Sheet'!E83,"")</f>
        <v/>
      </c>
      <c r="F81" t="str">
        <f>IF('Master Sheet'!C83="Area 3 (Saranya R)",'Master Sheet'!F83,"")</f>
        <v/>
      </c>
      <c r="G81" t="str">
        <f>IF('Master Sheet'!C83="Area 3 (Saranya R)",'Master Sheet'!G83,"")</f>
        <v/>
      </c>
      <c r="H81" t="str">
        <f>IF('Master Sheet'!C83="Area 3 (Saranya R)",'Master Sheet'!H83,"")</f>
        <v/>
      </c>
      <c r="I81" t="str">
        <f>IF('Master Sheet'!C83="Area 3 (Saranya R)",'Master Sheet'!I83,"")</f>
        <v/>
      </c>
      <c r="J81" t="str">
        <f>IF('Master Sheet'!C83="Area 3 (Saranya R)",'Master Sheet'!J83,"")</f>
        <v/>
      </c>
      <c r="K81" t="str">
        <f>IF('Master Sheet'!C83="Area 3 (Saranya R)",'Master Sheet'!K83,"")</f>
        <v/>
      </c>
      <c r="L81" t="str">
        <f>IF('Master Sheet'!C83="Area 3 (Saranya R)",'Master Sheet'!L83,"")</f>
        <v/>
      </c>
      <c r="M81" t="str">
        <f>IF('Master Sheet'!C83="Area 3 (Saranya R)",'Master Sheet'!M83,"")</f>
        <v/>
      </c>
      <c r="N81" t="str">
        <f>IF('Master Sheet'!C83="Area 3 (Saranya R)",'Master Sheet'!N83,"")</f>
        <v/>
      </c>
      <c r="O81" t="str">
        <f>IF('Master Sheet'!C83="Area 3 (Saranya R)",'Master Sheet'!O83,"")</f>
        <v/>
      </c>
      <c r="P81" t="str">
        <f>IF('Master Sheet'!C83="Area 3 (Saranya R)",'Master Sheet'!P83,"")</f>
        <v/>
      </c>
    </row>
    <row r="82" spans="1:16" hidden="1" x14ac:dyDescent="0.25">
      <c r="A82" t="str">
        <f>IF('Master Sheet'!C84="Area 3 (Saranya R)",'Master Sheet'!A84,"")</f>
        <v/>
      </c>
      <c r="B82" t="str">
        <f>IF('Master Sheet'!C84="Area 3 (Saranya R)",'Master Sheet'!B84,"")</f>
        <v/>
      </c>
      <c r="C82" t="s">
        <v>6</v>
      </c>
      <c r="D82" t="str">
        <f>IF('Master Sheet'!C84="Area 3 (Saranya R)",'Master Sheet'!D84,"")</f>
        <v/>
      </c>
      <c r="E82" t="str">
        <f>IF('Master Sheet'!C84="Area 3 (Saranya R)",'Master Sheet'!E84,"")</f>
        <v/>
      </c>
      <c r="F82" t="str">
        <f>IF('Master Sheet'!C84="Area 3 (Saranya R)",'Master Sheet'!F84,"")</f>
        <v/>
      </c>
      <c r="G82" t="str">
        <f>IF('Master Sheet'!C84="Area 3 (Saranya R)",'Master Sheet'!G84,"")</f>
        <v/>
      </c>
      <c r="H82" t="str">
        <f>IF('Master Sheet'!C84="Area 3 (Saranya R)",'Master Sheet'!H84,"")</f>
        <v/>
      </c>
      <c r="I82" t="str">
        <f>IF('Master Sheet'!C84="Area 3 (Saranya R)",'Master Sheet'!I84,"")</f>
        <v/>
      </c>
      <c r="J82" t="str">
        <f>IF('Master Sheet'!C84="Area 3 (Saranya R)",'Master Sheet'!J84,"")</f>
        <v/>
      </c>
      <c r="K82" t="str">
        <f>IF('Master Sheet'!C84="Area 3 (Saranya R)",'Master Sheet'!K84,"")</f>
        <v/>
      </c>
      <c r="L82" t="str">
        <f>IF('Master Sheet'!C84="Area 3 (Saranya R)",'Master Sheet'!L84,"")</f>
        <v/>
      </c>
      <c r="M82" t="str">
        <f>IF('Master Sheet'!C84="Area 3 (Saranya R)",'Master Sheet'!M84,"")</f>
        <v/>
      </c>
      <c r="N82" t="str">
        <f>IF('Master Sheet'!C84="Area 3 (Saranya R)",'Master Sheet'!N84,"")</f>
        <v/>
      </c>
      <c r="O82" t="str">
        <f>IF('Master Sheet'!C84="Area 3 (Saranya R)",'Master Sheet'!O84,"")</f>
        <v/>
      </c>
      <c r="P82" t="str">
        <f>IF('Master Sheet'!C84="Area 3 (Saranya R)",'Master Sheet'!P84,"")</f>
        <v/>
      </c>
    </row>
    <row r="83" spans="1:16" hidden="1" x14ac:dyDescent="0.25">
      <c r="A83" t="str">
        <f>IF('Master Sheet'!C85="Area 3 (Saranya R)",'Master Sheet'!A85,"")</f>
        <v/>
      </c>
      <c r="B83" t="str">
        <f>IF('Master Sheet'!C85="Area 3 (Saranya R)",'Master Sheet'!B85,"")</f>
        <v/>
      </c>
      <c r="C83" t="s">
        <v>6</v>
      </c>
      <c r="D83" t="str">
        <f>IF('Master Sheet'!C85="Area 3 (Saranya R)",'Master Sheet'!D85,"")</f>
        <v/>
      </c>
      <c r="E83" t="str">
        <f>IF('Master Sheet'!C85="Area 3 (Saranya R)",'Master Sheet'!E85,"")</f>
        <v/>
      </c>
      <c r="F83" t="str">
        <f>IF('Master Sheet'!C85="Area 3 (Saranya R)",'Master Sheet'!F85,"")</f>
        <v/>
      </c>
      <c r="G83" t="str">
        <f>IF('Master Sheet'!C85="Area 3 (Saranya R)",'Master Sheet'!G85,"")</f>
        <v/>
      </c>
      <c r="H83" t="str">
        <f>IF('Master Sheet'!C85="Area 3 (Saranya R)",'Master Sheet'!H85,"")</f>
        <v/>
      </c>
      <c r="I83" t="str">
        <f>IF('Master Sheet'!C85="Area 3 (Saranya R)",'Master Sheet'!I85,"")</f>
        <v/>
      </c>
      <c r="J83" t="str">
        <f>IF('Master Sheet'!C85="Area 3 (Saranya R)",'Master Sheet'!J85,"")</f>
        <v/>
      </c>
      <c r="K83" t="str">
        <f>IF('Master Sheet'!C85="Area 3 (Saranya R)",'Master Sheet'!K85,"")</f>
        <v/>
      </c>
      <c r="L83" t="str">
        <f>IF('Master Sheet'!C85="Area 3 (Saranya R)",'Master Sheet'!L85,"")</f>
        <v/>
      </c>
      <c r="M83" t="str">
        <f>IF('Master Sheet'!C85="Area 3 (Saranya R)",'Master Sheet'!M85,"")</f>
        <v/>
      </c>
      <c r="N83" t="str">
        <f>IF('Master Sheet'!C85="Area 3 (Saranya R)",'Master Sheet'!N85,"")</f>
        <v/>
      </c>
      <c r="O83" t="str">
        <f>IF('Master Sheet'!C85="Area 3 (Saranya R)",'Master Sheet'!O85,"")</f>
        <v/>
      </c>
      <c r="P83" t="str">
        <f>IF('Master Sheet'!C85="Area 3 (Saranya R)",'Master Sheet'!P85,"")</f>
        <v/>
      </c>
    </row>
    <row r="84" spans="1:16" hidden="1" x14ac:dyDescent="0.25">
      <c r="A84" t="str">
        <f>IF('Master Sheet'!C86="Area 3 (Saranya R)",'Master Sheet'!A86,"")</f>
        <v/>
      </c>
      <c r="B84" t="str">
        <f>IF('Master Sheet'!C86="Area 3 (Saranya R)",'Master Sheet'!B86,"")</f>
        <v/>
      </c>
      <c r="C84" t="s">
        <v>6</v>
      </c>
      <c r="D84" t="str">
        <f>IF('Master Sheet'!C86="Area 3 (Saranya R)",'Master Sheet'!D86,"")</f>
        <v/>
      </c>
      <c r="E84" t="str">
        <f>IF('Master Sheet'!C86="Area 3 (Saranya R)",'Master Sheet'!E86,"")</f>
        <v/>
      </c>
      <c r="F84" t="str">
        <f>IF('Master Sheet'!C86="Area 3 (Saranya R)",'Master Sheet'!F86,"")</f>
        <v/>
      </c>
      <c r="G84" t="str">
        <f>IF('Master Sheet'!C86="Area 3 (Saranya R)",'Master Sheet'!G86,"")</f>
        <v/>
      </c>
      <c r="H84" t="str">
        <f>IF('Master Sheet'!C86="Area 3 (Saranya R)",'Master Sheet'!H86,"")</f>
        <v/>
      </c>
      <c r="I84" t="str">
        <f>IF('Master Sheet'!C86="Area 3 (Saranya R)",'Master Sheet'!I86,"")</f>
        <v/>
      </c>
      <c r="J84" t="str">
        <f>IF('Master Sheet'!C86="Area 3 (Saranya R)",'Master Sheet'!J86,"")</f>
        <v/>
      </c>
      <c r="K84" t="str">
        <f>IF('Master Sheet'!C86="Area 3 (Saranya R)",'Master Sheet'!K86,"")</f>
        <v/>
      </c>
      <c r="L84" t="str">
        <f>IF('Master Sheet'!C86="Area 3 (Saranya R)",'Master Sheet'!L86,"")</f>
        <v/>
      </c>
      <c r="M84" t="str">
        <f>IF('Master Sheet'!C86="Area 3 (Saranya R)",'Master Sheet'!M86,"")</f>
        <v/>
      </c>
      <c r="N84" t="str">
        <f>IF('Master Sheet'!C86="Area 3 (Saranya R)",'Master Sheet'!N86,"")</f>
        <v/>
      </c>
      <c r="O84" t="str">
        <f>IF('Master Sheet'!C86="Area 3 (Saranya R)",'Master Sheet'!O86,"")</f>
        <v/>
      </c>
      <c r="P84" t="str">
        <f>IF('Master Sheet'!C86="Area 3 (Saranya R)",'Master Sheet'!P86,"")</f>
        <v/>
      </c>
    </row>
    <row r="85" spans="1:16" hidden="1" x14ac:dyDescent="0.25">
      <c r="A85" t="str">
        <f>IF('Master Sheet'!C87="Area 3 (Saranya R)",'Master Sheet'!A87,"")</f>
        <v/>
      </c>
      <c r="B85" t="str">
        <f>IF('Master Sheet'!C87="Area 3 (Saranya R)",'Master Sheet'!B87,"")</f>
        <v/>
      </c>
      <c r="C85" t="s">
        <v>6</v>
      </c>
      <c r="D85" t="str">
        <f>IF('Master Sheet'!C87="Area 3 (Saranya R)",'Master Sheet'!D87,"")</f>
        <v/>
      </c>
      <c r="E85" t="str">
        <f>IF('Master Sheet'!C87="Area 3 (Saranya R)",'Master Sheet'!E87,"")</f>
        <v/>
      </c>
      <c r="F85" t="str">
        <f>IF('Master Sheet'!C87="Area 3 (Saranya R)",'Master Sheet'!F87,"")</f>
        <v/>
      </c>
      <c r="G85" t="str">
        <f>IF('Master Sheet'!C87="Area 3 (Saranya R)",'Master Sheet'!G87,"")</f>
        <v/>
      </c>
      <c r="H85" t="str">
        <f>IF('Master Sheet'!C87="Area 3 (Saranya R)",'Master Sheet'!H87,"")</f>
        <v/>
      </c>
      <c r="I85" t="str">
        <f>IF('Master Sheet'!C87="Area 3 (Saranya R)",'Master Sheet'!I87,"")</f>
        <v/>
      </c>
      <c r="J85" t="str">
        <f>IF('Master Sheet'!C87="Area 3 (Saranya R)",'Master Sheet'!J87,"")</f>
        <v/>
      </c>
      <c r="K85" t="str">
        <f>IF('Master Sheet'!C87="Area 3 (Saranya R)",'Master Sheet'!K87,"")</f>
        <v/>
      </c>
      <c r="L85" t="str">
        <f>IF('Master Sheet'!C87="Area 3 (Saranya R)",'Master Sheet'!L87,"")</f>
        <v/>
      </c>
      <c r="M85" t="str">
        <f>IF('Master Sheet'!C87="Area 3 (Saranya R)",'Master Sheet'!M87,"")</f>
        <v/>
      </c>
      <c r="N85" t="str">
        <f>IF('Master Sheet'!C87="Area 3 (Saranya R)",'Master Sheet'!N87,"")</f>
        <v/>
      </c>
      <c r="O85" t="str">
        <f>IF('Master Sheet'!C87="Area 3 (Saranya R)",'Master Sheet'!O87,"")</f>
        <v/>
      </c>
      <c r="P85" t="str">
        <f>IF('Master Sheet'!C87="Area 3 (Saranya R)",'Master Sheet'!P87,"")</f>
        <v/>
      </c>
    </row>
    <row r="86" spans="1:16" hidden="1" x14ac:dyDescent="0.25">
      <c r="A86" t="str">
        <f>IF('Master Sheet'!C88="Area 3 (Saranya R)",'Master Sheet'!A88,"")</f>
        <v/>
      </c>
      <c r="B86" t="str">
        <f>IF('Master Sheet'!C88="Area 3 (Saranya R)",'Master Sheet'!B88,"")</f>
        <v/>
      </c>
      <c r="C86" t="s">
        <v>6</v>
      </c>
      <c r="D86" t="str">
        <f>IF('Master Sheet'!C88="Area 3 (Saranya R)",'Master Sheet'!D88,"")</f>
        <v/>
      </c>
      <c r="E86" t="str">
        <f>IF('Master Sheet'!C88="Area 3 (Saranya R)",'Master Sheet'!E88,"")</f>
        <v/>
      </c>
      <c r="F86" t="str">
        <f>IF('Master Sheet'!C88="Area 3 (Saranya R)",'Master Sheet'!F88,"")</f>
        <v/>
      </c>
      <c r="G86" t="str">
        <f>IF('Master Sheet'!C88="Area 3 (Saranya R)",'Master Sheet'!G88,"")</f>
        <v/>
      </c>
      <c r="H86" t="str">
        <f>IF('Master Sheet'!C88="Area 3 (Saranya R)",'Master Sheet'!H88,"")</f>
        <v/>
      </c>
      <c r="I86" t="str">
        <f>IF('Master Sheet'!C88="Area 3 (Saranya R)",'Master Sheet'!I88,"")</f>
        <v/>
      </c>
      <c r="J86" t="str">
        <f>IF('Master Sheet'!C88="Area 3 (Saranya R)",'Master Sheet'!J88,"")</f>
        <v/>
      </c>
      <c r="K86" t="str">
        <f>IF('Master Sheet'!C88="Area 3 (Saranya R)",'Master Sheet'!K88,"")</f>
        <v/>
      </c>
      <c r="L86" t="str">
        <f>IF('Master Sheet'!C88="Area 3 (Saranya R)",'Master Sheet'!L88,"")</f>
        <v/>
      </c>
      <c r="M86" t="str">
        <f>IF('Master Sheet'!C88="Area 3 (Saranya R)",'Master Sheet'!M88,"")</f>
        <v/>
      </c>
      <c r="N86" t="str">
        <f>IF('Master Sheet'!C88="Area 3 (Saranya R)",'Master Sheet'!N88,"")</f>
        <v/>
      </c>
      <c r="O86" t="str">
        <f>IF('Master Sheet'!C88="Area 3 (Saranya R)",'Master Sheet'!O88,"")</f>
        <v/>
      </c>
      <c r="P86" t="str">
        <f>IF('Master Sheet'!C88="Area 3 (Saranya R)",'Master Sheet'!P88,"")</f>
        <v/>
      </c>
    </row>
    <row r="87" spans="1:16" hidden="1" x14ac:dyDescent="0.25">
      <c r="A87" t="str">
        <f>IF('Master Sheet'!C89="Area 3 (Saranya R)",'Master Sheet'!A89,"")</f>
        <v/>
      </c>
      <c r="B87" t="str">
        <f>IF('Master Sheet'!C89="Area 3 (Saranya R)",'Master Sheet'!B89,"")</f>
        <v/>
      </c>
      <c r="C87" t="s">
        <v>6</v>
      </c>
      <c r="D87" t="str">
        <f>IF('Master Sheet'!C89="Area 3 (Saranya R)",'Master Sheet'!D89,"")</f>
        <v/>
      </c>
      <c r="E87" t="str">
        <f>IF('Master Sheet'!C89="Area 3 (Saranya R)",'Master Sheet'!E89,"")</f>
        <v/>
      </c>
      <c r="F87" t="str">
        <f>IF('Master Sheet'!C89="Area 3 (Saranya R)",'Master Sheet'!F89,"")</f>
        <v/>
      </c>
      <c r="G87" t="str">
        <f>IF('Master Sheet'!C89="Area 3 (Saranya R)",'Master Sheet'!G89,"")</f>
        <v/>
      </c>
      <c r="H87" t="str">
        <f>IF('Master Sheet'!C89="Area 3 (Saranya R)",'Master Sheet'!H89,"")</f>
        <v/>
      </c>
      <c r="I87" t="str">
        <f>IF('Master Sheet'!C89="Area 3 (Saranya R)",'Master Sheet'!I89,"")</f>
        <v/>
      </c>
      <c r="J87" t="str">
        <f>IF('Master Sheet'!C89="Area 3 (Saranya R)",'Master Sheet'!J89,"")</f>
        <v/>
      </c>
      <c r="K87" t="str">
        <f>IF('Master Sheet'!C89="Area 3 (Saranya R)",'Master Sheet'!K89,"")</f>
        <v/>
      </c>
      <c r="L87" t="str">
        <f>IF('Master Sheet'!C89="Area 3 (Saranya R)",'Master Sheet'!L89,"")</f>
        <v/>
      </c>
      <c r="M87" t="str">
        <f>IF('Master Sheet'!C89="Area 3 (Saranya R)",'Master Sheet'!M89,"")</f>
        <v/>
      </c>
      <c r="N87" t="str">
        <f>IF('Master Sheet'!C89="Area 3 (Saranya R)",'Master Sheet'!N89,"")</f>
        <v/>
      </c>
      <c r="O87" t="str">
        <f>IF('Master Sheet'!C89="Area 3 (Saranya R)",'Master Sheet'!O89,"")</f>
        <v/>
      </c>
      <c r="P87" t="str">
        <f>IF('Master Sheet'!C89="Area 3 (Saranya R)",'Master Sheet'!P89,"")</f>
        <v/>
      </c>
    </row>
    <row r="88" spans="1:16" hidden="1" x14ac:dyDescent="0.25">
      <c r="A88" t="str">
        <f>IF('Master Sheet'!C90="Area 3 (Saranya R)",'Master Sheet'!A90,"")</f>
        <v/>
      </c>
      <c r="B88" t="str">
        <f>IF('Master Sheet'!C90="Area 3 (Saranya R)",'Master Sheet'!B90,"")</f>
        <v/>
      </c>
      <c r="C88" t="s">
        <v>6</v>
      </c>
      <c r="D88" t="str">
        <f>IF('Master Sheet'!C90="Area 3 (Saranya R)",'Master Sheet'!D90,"")</f>
        <v/>
      </c>
      <c r="E88" t="str">
        <f>IF('Master Sheet'!C90="Area 3 (Saranya R)",'Master Sheet'!E90,"")</f>
        <v/>
      </c>
      <c r="F88" t="str">
        <f>IF('Master Sheet'!C90="Area 3 (Saranya R)",'Master Sheet'!F90,"")</f>
        <v/>
      </c>
      <c r="G88" t="str">
        <f>IF('Master Sheet'!C90="Area 3 (Saranya R)",'Master Sheet'!G90,"")</f>
        <v/>
      </c>
      <c r="H88" t="str">
        <f>IF('Master Sheet'!C90="Area 3 (Saranya R)",'Master Sheet'!H90,"")</f>
        <v/>
      </c>
      <c r="I88" t="str">
        <f>IF('Master Sheet'!C90="Area 3 (Saranya R)",'Master Sheet'!I90,"")</f>
        <v/>
      </c>
      <c r="J88" t="str">
        <f>IF('Master Sheet'!C90="Area 3 (Saranya R)",'Master Sheet'!J90,"")</f>
        <v/>
      </c>
      <c r="K88" t="str">
        <f>IF('Master Sheet'!C90="Area 3 (Saranya R)",'Master Sheet'!K90,"")</f>
        <v/>
      </c>
      <c r="L88" t="str">
        <f>IF('Master Sheet'!C90="Area 3 (Saranya R)",'Master Sheet'!L90,"")</f>
        <v/>
      </c>
      <c r="M88" t="str">
        <f>IF('Master Sheet'!C90="Area 3 (Saranya R)",'Master Sheet'!M90,"")</f>
        <v/>
      </c>
      <c r="N88" t="str">
        <f>IF('Master Sheet'!C90="Area 3 (Saranya R)",'Master Sheet'!N90,"")</f>
        <v/>
      </c>
      <c r="O88" t="str">
        <f>IF('Master Sheet'!C90="Area 3 (Saranya R)",'Master Sheet'!O90,"")</f>
        <v/>
      </c>
      <c r="P88" t="str">
        <f>IF('Master Sheet'!C90="Area 3 (Saranya R)",'Master Sheet'!P90,"")</f>
        <v/>
      </c>
    </row>
    <row r="89" spans="1:16" hidden="1" x14ac:dyDescent="0.25">
      <c r="A89" t="str">
        <f>IF('Master Sheet'!C91="Area 3 (Saranya R)",'Master Sheet'!A91,"")</f>
        <v/>
      </c>
      <c r="B89" t="str">
        <f>IF('Master Sheet'!C91="Area 3 (Saranya R)",'Master Sheet'!B91,"")</f>
        <v/>
      </c>
      <c r="C89" t="s">
        <v>6</v>
      </c>
      <c r="D89" t="str">
        <f>IF('Master Sheet'!C91="Area 3 (Saranya R)",'Master Sheet'!D91,"")</f>
        <v/>
      </c>
      <c r="E89" t="str">
        <f>IF('Master Sheet'!C91="Area 3 (Saranya R)",'Master Sheet'!E91,"")</f>
        <v/>
      </c>
      <c r="F89" t="str">
        <f>IF('Master Sheet'!C91="Area 3 (Saranya R)",'Master Sheet'!F91,"")</f>
        <v/>
      </c>
      <c r="G89" t="str">
        <f>IF('Master Sheet'!C91="Area 3 (Saranya R)",'Master Sheet'!G91,"")</f>
        <v/>
      </c>
      <c r="H89" t="str">
        <f>IF('Master Sheet'!C91="Area 3 (Saranya R)",'Master Sheet'!H91,"")</f>
        <v/>
      </c>
      <c r="I89" t="str">
        <f>IF('Master Sheet'!C91="Area 3 (Saranya R)",'Master Sheet'!I91,"")</f>
        <v/>
      </c>
      <c r="J89" t="str">
        <f>IF('Master Sheet'!C91="Area 3 (Saranya R)",'Master Sheet'!J91,"")</f>
        <v/>
      </c>
      <c r="K89" t="str">
        <f>IF('Master Sheet'!C91="Area 3 (Saranya R)",'Master Sheet'!K91,"")</f>
        <v/>
      </c>
      <c r="L89" t="str">
        <f>IF('Master Sheet'!C91="Area 3 (Saranya R)",'Master Sheet'!L91,"")</f>
        <v/>
      </c>
      <c r="M89" t="str">
        <f>IF('Master Sheet'!C91="Area 3 (Saranya R)",'Master Sheet'!M91,"")</f>
        <v/>
      </c>
      <c r="N89" t="str">
        <f>IF('Master Sheet'!C91="Area 3 (Saranya R)",'Master Sheet'!N91,"")</f>
        <v/>
      </c>
      <c r="O89" t="str">
        <f>IF('Master Sheet'!C91="Area 3 (Saranya R)",'Master Sheet'!O91,"")</f>
        <v/>
      </c>
      <c r="P89" t="str">
        <f>IF('Master Sheet'!C91="Area 3 (Saranya R)",'Master Sheet'!P91,"")</f>
        <v/>
      </c>
    </row>
    <row r="90" spans="1:16" hidden="1" x14ac:dyDescent="0.25">
      <c r="A90" t="str">
        <f>IF('Master Sheet'!C92="Area 3 (Saranya R)",'Master Sheet'!A92,"")</f>
        <v/>
      </c>
      <c r="B90" t="str">
        <f>IF('Master Sheet'!C92="Area 3 (Saranya R)",'Master Sheet'!B92,"")</f>
        <v/>
      </c>
      <c r="C90" t="s">
        <v>6</v>
      </c>
      <c r="D90" t="str">
        <f>IF('Master Sheet'!C92="Area 3 (Saranya R)",'Master Sheet'!D92,"")</f>
        <v/>
      </c>
      <c r="E90" t="str">
        <f>IF('Master Sheet'!C92="Area 3 (Saranya R)",'Master Sheet'!E92,"")</f>
        <v/>
      </c>
      <c r="F90" t="str">
        <f>IF('Master Sheet'!C92="Area 3 (Saranya R)",'Master Sheet'!F92,"")</f>
        <v/>
      </c>
      <c r="G90" t="str">
        <f>IF('Master Sheet'!C92="Area 3 (Saranya R)",'Master Sheet'!G92,"")</f>
        <v/>
      </c>
      <c r="H90" t="str">
        <f>IF('Master Sheet'!C92="Area 3 (Saranya R)",'Master Sheet'!H92,"")</f>
        <v/>
      </c>
      <c r="I90" t="str">
        <f>IF('Master Sheet'!C92="Area 3 (Saranya R)",'Master Sheet'!I92,"")</f>
        <v/>
      </c>
      <c r="J90" t="str">
        <f>IF('Master Sheet'!C92="Area 3 (Saranya R)",'Master Sheet'!J92,"")</f>
        <v/>
      </c>
      <c r="K90" t="str">
        <f>IF('Master Sheet'!C92="Area 3 (Saranya R)",'Master Sheet'!K92,"")</f>
        <v/>
      </c>
      <c r="L90" t="str">
        <f>IF('Master Sheet'!C92="Area 3 (Saranya R)",'Master Sheet'!L92,"")</f>
        <v/>
      </c>
      <c r="M90" t="str">
        <f>IF('Master Sheet'!C92="Area 3 (Saranya R)",'Master Sheet'!M92,"")</f>
        <v/>
      </c>
      <c r="N90" t="str">
        <f>IF('Master Sheet'!C92="Area 3 (Saranya R)",'Master Sheet'!N92,"")</f>
        <v/>
      </c>
      <c r="O90" t="str">
        <f>IF('Master Sheet'!C92="Area 3 (Saranya R)",'Master Sheet'!O92,"")</f>
        <v/>
      </c>
      <c r="P90" t="str">
        <f>IF('Master Sheet'!C92="Area 3 (Saranya R)",'Master Sheet'!P92,"")</f>
        <v/>
      </c>
    </row>
    <row r="91" spans="1:16" hidden="1" x14ac:dyDescent="0.25">
      <c r="A91" t="str">
        <f>IF('Master Sheet'!C93="Area 3 (Saranya R)",'Master Sheet'!A93,"")</f>
        <v/>
      </c>
      <c r="B91" t="str">
        <f>IF('Master Sheet'!C93="Area 3 (Saranya R)",'Master Sheet'!B93,"")</f>
        <v/>
      </c>
      <c r="C91" t="s">
        <v>6</v>
      </c>
      <c r="D91" t="str">
        <f>IF('Master Sheet'!C93="Area 3 (Saranya R)",'Master Sheet'!D93,"")</f>
        <v/>
      </c>
      <c r="E91" t="str">
        <f>IF('Master Sheet'!C93="Area 3 (Saranya R)",'Master Sheet'!E93,"")</f>
        <v/>
      </c>
      <c r="F91" t="str">
        <f>IF('Master Sheet'!C93="Area 3 (Saranya R)",'Master Sheet'!F93,"")</f>
        <v/>
      </c>
      <c r="G91" t="str">
        <f>IF('Master Sheet'!C93="Area 3 (Saranya R)",'Master Sheet'!G93,"")</f>
        <v/>
      </c>
      <c r="H91" t="str">
        <f>IF('Master Sheet'!C93="Area 3 (Saranya R)",'Master Sheet'!H93,"")</f>
        <v/>
      </c>
      <c r="I91" t="str">
        <f>IF('Master Sheet'!C93="Area 3 (Saranya R)",'Master Sheet'!I93,"")</f>
        <v/>
      </c>
      <c r="J91" t="str">
        <f>IF('Master Sheet'!C93="Area 3 (Saranya R)",'Master Sheet'!J93,"")</f>
        <v/>
      </c>
      <c r="K91" t="str">
        <f>IF('Master Sheet'!C93="Area 3 (Saranya R)",'Master Sheet'!K93,"")</f>
        <v/>
      </c>
      <c r="L91" t="str">
        <f>IF('Master Sheet'!C93="Area 3 (Saranya R)",'Master Sheet'!L93,"")</f>
        <v/>
      </c>
      <c r="M91" t="str">
        <f>IF('Master Sheet'!C93="Area 3 (Saranya R)",'Master Sheet'!M93,"")</f>
        <v/>
      </c>
      <c r="N91" t="str">
        <f>IF('Master Sheet'!C93="Area 3 (Saranya R)",'Master Sheet'!N93,"")</f>
        <v/>
      </c>
      <c r="O91" t="str">
        <f>IF('Master Sheet'!C93="Area 3 (Saranya R)",'Master Sheet'!O93,"")</f>
        <v/>
      </c>
      <c r="P91" t="str">
        <f>IF('Master Sheet'!C93="Area 3 (Saranya R)",'Master Sheet'!P93,"")</f>
        <v/>
      </c>
    </row>
    <row r="92" spans="1:16" hidden="1" x14ac:dyDescent="0.25">
      <c r="A92" t="str">
        <f>IF('Master Sheet'!C94="Area 3 (Saranya R)",'Master Sheet'!A94,"")</f>
        <v/>
      </c>
      <c r="B92" t="str">
        <f>IF('Master Sheet'!C94="Area 3 (Saranya R)",'Master Sheet'!B94,"")</f>
        <v/>
      </c>
      <c r="C92" t="s">
        <v>6</v>
      </c>
      <c r="D92" t="str">
        <f>IF('Master Sheet'!C94="Area 3 (Saranya R)",'Master Sheet'!D94,"")</f>
        <v/>
      </c>
      <c r="E92" t="str">
        <f>IF('Master Sheet'!C94="Area 3 (Saranya R)",'Master Sheet'!E94,"")</f>
        <v/>
      </c>
      <c r="F92" t="str">
        <f>IF('Master Sheet'!C94="Area 3 (Saranya R)",'Master Sheet'!F94,"")</f>
        <v/>
      </c>
      <c r="G92" t="str">
        <f>IF('Master Sheet'!C94="Area 3 (Saranya R)",'Master Sheet'!G94,"")</f>
        <v/>
      </c>
      <c r="H92" t="str">
        <f>IF('Master Sheet'!C94="Area 3 (Saranya R)",'Master Sheet'!H94,"")</f>
        <v/>
      </c>
      <c r="I92" t="str">
        <f>IF('Master Sheet'!C94="Area 3 (Saranya R)",'Master Sheet'!I94,"")</f>
        <v/>
      </c>
      <c r="J92" t="str">
        <f>IF('Master Sheet'!C94="Area 3 (Saranya R)",'Master Sheet'!J94,"")</f>
        <v/>
      </c>
      <c r="K92" t="str">
        <f>IF('Master Sheet'!C94="Area 3 (Saranya R)",'Master Sheet'!K94,"")</f>
        <v/>
      </c>
      <c r="L92" t="str">
        <f>IF('Master Sheet'!C94="Area 3 (Saranya R)",'Master Sheet'!L94,"")</f>
        <v/>
      </c>
      <c r="M92" t="str">
        <f>IF('Master Sheet'!C94="Area 3 (Saranya R)",'Master Sheet'!M94,"")</f>
        <v/>
      </c>
      <c r="N92" t="str">
        <f>IF('Master Sheet'!C94="Area 3 (Saranya R)",'Master Sheet'!N94,"")</f>
        <v/>
      </c>
      <c r="O92" t="str">
        <f>IF('Master Sheet'!C94="Area 3 (Saranya R)",'Master Sheet'!O94,"")</f>
        <v/>
      </c>
      <c r="P92" t="str">
        <f>IF('Master Sheet'!C94="Area 3 (Saranya R)",'Master Sheet'!P94,"")</f>
        <v/>
      </c>
    </row>
    <row r="93" spans="1:16" hidden="1" x14ac:dyDescent="0.25">
      <c r="A93" t="str">
        <f>IF('Master Sheet'!C95="Area 3 (Saranya R)",'Master Sheet'!A95,"")</f>
        <v/>
      </c>
      <c r="B93" t="str">
        <f>IF('Master Sheet'!C95="Area 3 (Saranya R)",'Master Sheet'!B95,"")</f>
        <v/>
      </c>
      <c r="C93" t="s">
        <v>6</v>
      </c>
      <c r="D93" t="str">
        <f>IF('Master Sheet'!C95="Area 3 (Saranya R)",'Master Sheet'!D95,"")</f>
        <v/>
      </c>
      <c r="E93" t="str">
        <f>IF('Master Sheet'!C95="Area 3 (Saranya R)",'Master Sheet'!E95,"")</f>
        <v/>
      </c>
      <c r="F93" t="str">
        <f>IF('Master Sheet'!C95="Area 3 (Saranya R)",'Master Sheet'!F95,"")</f>
        <v/>
      </c>
      <c r="G93" t="str">
        <f>IF('Master Sheet'!C95="Area 3 (Saranya R)",'Master Sheet'!G95,"")</f>
        <v/>
      </c>
      <c r="H93" t="str">
        <f>IF('Master Sheet'!C95="Area 3 (Saranya R)",'Master Sheet'!H95,"")</f>
        <v/>
      </c>
      <c r="I93" t="str">
        <f>IF('Master Sheet'!C95="Area 3 (Saranya R)",'Master Sheet'!I95,"")</f>
        <v/>
      </c>
      <c r="J93" t="str">
        <f>IF('Master Sheet'!C95="Area 3 (Saranya R)",'Master Sheet'!J95,"")</f>
        <v/>
      </c>
      <c r="K93" t="str">
        <f>IF('Master Sheet'!C95="Area 3 (Saranya R)",'Master Sheet'!K95,"")</f>
        <v/>
      </c>
      <c r="L93" t="str">
        <f>IF('Master Sheet'!C95="Area 3 (Saranya R)",'Master Sheet'!L95,"")</f>
        <v/>
      </c>
      <c r="M93" t="str">
        <f>IF('Master Sheet'!C95="Area 3 (Saranya R)",'Master Sheet'!M95,"")</f>
        <v/>
      </c>
      <c r="N93" t="str">
        <f>IF('Master Sheet'!C95="Area 3 (Saranya R)",'Master Sheet'!N95,"")</f>
        <v/>
      </c>
      <c r="O93" t="str">
        <f>IF('Master Sheet'!C95="Area 3 (Saranya R)",'Master Sheet'!O95,"")</f>
        <v/>
      </c>
      <c r="P93" t="str">
        <f>IF('Master Sheet'!C95="Area 3 (Saranya R)",'Master Sheet'!P95,"")</f>
        <v/>
      </c>
    </row>
    <row r="94" spans="1:16" hidden="1" x14ac:dyDescent="0.25">
      <c r="A94" t="str">
        <f>IF('Master Sheet'!C96="Area 3 (Saranya R)",'Master Sheet'!A96,"")</f>
        <v/>
      </c>
      <c r="B94" t="str">
        <f>IF('Master Sheet'!C96="Area 3 (Saranya R)",'Master Sheet'!B96,"")</f>
        <v/>
      </c>
      <c r="C94" t="s">
        <v>6</v>
      </c>
      <c r="D94" t="str">
        <f>IF('Master Sheet'!C96="Area 3 (Saranya R)",'Master Sheet'!D96,"")</f>
        <v/>
      </c>
      <c r="E94" t="str">
        <f>IF('Master Sheet'!C96="Area 3 (Saranya R)",'Master Sheet'!E96,"")</f>
        <v/>
      </c>
      <c r="F94" t="str">
        <f>IF('Master Sheet'!C96="Area 3 (Saranya R)",'Master Sheet'!F96,"")</f>
        <v/>
      </c>
      <c r="G94" t="str">
        <f>IF('Master Sheet'!C96="Area 3 (Saranya R)",'Master Sheet'!G96,"")</f>
        <v/>
      </c>
      <c r="H94" t="str">
        <f>IF('Master Sheet'!C96="Area 3 (Saranya R)",'Master Sheet'!H96,"")</f>
        <v/>
      </c>
      <c r="I94" t="str">
        <f>IF('Master Sheet'!C96="Area 3 (Saranya R)",'Master Sheet'!I96,"")</f>
        <v/>
      </c>
      <c r="J94" t="str">
        <f>IF('Master Sheet'!C96="Area 3 (Saranya R)",'Master Sheet'!J96,"")</f>
        <v/>
      </c>
      <c r="K94" t="str">
        <f>IF('Master Sheet'!C96="Area 3 (Saranya R)",'Master Sheet'!K96,"")</f>
        <v/>
      </c>
      <c r="L94" t="str">
        <f>IF('Master Sheet'!C96="Area 3 (Saranya R)",'Master Sheet'!L96,"")</f>
        <v/>
      </c>
      <c r="M94" t="str">
        <f>IF('Master Sheet'!C96="Area 3 (Saranya R)",'Master Sheet'!M96,"")</f>
        <v/>
      </c>
      <c r="N94" t="str">
        <f>IF('Master Sheet'!C96="Area 3 (Saranya R)",'Master Sheet'!N96,"")</f>
        <v/>
      </c>
      <c r="O94" t="str">
        <f>IF('Master Sheet'!C96="Area 3 (Saranya R)",'Master Sheet'!O96,"")</f>
        <v/>
      </c>
      <c r="P94" t="str">
        <f>IF('Master Sheet'!C96="Area 3 (Saranya R)",'Master Sheet'!P96,"")</f>
        <v/>
      </c>
    </row>
    <row r="95" spans="1:16" hidden="1" x14ac:dyDescent="0.25">
      <c r="A95" t="str">
        <f>IF('Master Sheet'!C97="Area 3 (Saranya R)",'Master Sheet'!A97,"")</f>
        <v/>
      </c>
      <c r="B95" t="str">
        <f>IF('Master Sheet'!C97="Area 3 (Saranya R)",'Master Sheet'!B97,"")</f>
        <v/>
      </c>
      <c r="C95" t="s">
        <v>6</v>
      </c>
      <c r="D95" t="str">
        <f>IF('Master Sheet'!C97="Area 3 (Saranya R)",'Master Sheet'!D97,"")</f>
        <v/>
      </c>
      <c r="E95" t="str">
        <f>IF('Master Sheet'!C97="Area 3 (Saranya R)",'Master Sheet'!E97,"")</f>
        <v/>
      </c>
      <c r="F95" t="str">
        <f>IF('Master Sheet'!C97="Area 3 (Saranya R)",'Master Sheet'!F97,"")</f>
        <v/>
      </c>
      <c r="G95" t="str">
        <f>IF('Master Sheet'!C97="Area 3 (Saranya R)",'Master Sheet'!G97,"")</f>
        <v/>
      </c>
      <c r="H95" t="str">
        <f>IF('Master Sheet'!C97="Area 3 (Saranya R)",'Master Sheet'!H97,"")</f>
        <v/>
      </c>
      <c r="I95" t="str">
        <f>IF('Master Sheet'!C97="Area 3 (Saranya R)",'Master Sheet'!I97,"")</f>
        <v/>
      </c>
      <c r="J95" t="str">
        <f>IF('Master Sheet'!C97="Area 3 (Saranya R)",'Master Sheet'!J97,"")</f>
        <v/>
      </c>
      <c r="K95" t="str">
        <f>IF('Master Sheet'!C97="Area 3 (Saranya R)",'Master Sheet'!K97,"")</f>
        <v/>
      </c>
      <c r="L95" t="str">
        <f>IF('Master Sheet'!C97="Area 3 (Saranya R)",'Master Sheet'!L97,"")</f>
        <v/>
      </c>
      <c r="M95" t="str">
        <f>IF('Master Sheet'!C97="Area 3 (Saranya R)",'Master Sheet'!M97,"")</f>
        <v/>
      </c>
      <c r="N95" t="str">
        <f>IF('Master Sheet'!C97="Area 3 (Saranya R)",'Master Sheet'!N97,"")</f>
        <v/>
      </c>
      <c r="O95" t="str">
        <f>IF('Master Sheet'!C97="Area 3 (Saranya R)",'Master Sheet'!O97,"")</f>
        <v/>
      </c>
      <c r="P95" t="str">
        <f>IF('Master Sheet'!C97="Area 3 (Saranya R)",'Master Sheet'!P97,"")</f>
        <v/>
      </c>
    </row>
    <row r="96" spans="1:16" hidden="1" x14ac:dyDescent="0.25">
      <c r="A96" t="str">
        <f>IF('Master Sheet'!C98="Area 3 (Saranya R)",'Master Sheet'!A98,"")</f>
        <v/>
      </c>
      <c r="B96" t="str">
        <f>IF('Master Sheet'!C98="Area 3 (Saranya R)",'Master Sheet'!B98,"")</f>
        <v/>
      </c>
      <c r="C96" t="s">
        <v>6</v>
      </c>
      <c r="D96" t="str">
        <f>IF('Master Sheet'!C98="Area 3 (Saranya R)",'Master Sheet'!D98,"")</f>
        <v/>
      </c>
      <c r="E96" t="str">
        <f>IF('Master Sheet'!C98="Area 3 (Saranya R)",'Master Sheet'!E98,"")</f>
        <v/>
      </c>
      <c r="F96" t="str">
        <f>IF('Master Sheet'!C98="Area 3 (Saranya R)",'Master Sheet'!F98,"")</f>
        <v/>
      </c>
      <c r="G96" t="str">
        <f>IF('Master Sheet'!C98="Area 3 (Saranya R)",'Master Sheet'!G98,"")</f>
        <v/>
      </c>
      <c r="H96" t="str">
        <f>IF('Master Sheet'!C98="Area 3 (Saranya R)",'Master Sheet'!H98,"")</f>
        <v/>
      </c>
      <c r="I96" t="str">
        <f>IF('Master Sheet'!C98="Area 3 (Saranya R)",'Master Sheet'!I98,"")</f>
        <v/>
      </c>
      <c r="J96" t="str">
        <f>IF('Master Sheet'!C98="Area 3 (Saranya R)",'Master Sheet'!J98,"")</f>
        <v/>
      </c>
      <c r="K96" t="str">
        <f>IF('Master Sheet'!C98="Area 3 (Saranya R)",'Master Sheet'!K98,"")</f>
        <v/>
      </c>
      <c r="L96" t="str">
        <f>IF('Master Sheet'!C98="Area 3 (Saranya R)",'Master Sheet'!L98,"")</f>
        <v/>
      </c>
      <c r="M96" t="str">
        <f>IF('Master Sheet'!C98="Area 3 (Saranya R)",'Master Sheet'!M98,"")</f>
        <v/>
      </c>
      <c r="N96" t="str">
        <f>IF('Master Sheet'!C98="Area 3 (Saranya R)",'Master Sheet'!N98,"")</f>
        <v/>
      </c>
      <c r="O96" t="str">
        <f>IF('Master Sheet'!C98="Area 3 (Saranya R)",'Master Sheet'!O98,"")</f>
        <v/>
      </c>
      <c r="P96" t="str">
        <f>IF('Master Sheet'!C98="Area 3 (Saranya R)",'Master Sheet'!P98,"")</f>
        <v/>
      </c>
    </row>
    <row r="97" spans="1:16" hidden="1" x14ac:dyDescent="0.25">
      <c r="A97" t="str">
        <f>IF('Master Sheet'!C99="Area 3 (Saranya R)",'Master Sheet'!A99,"")</f>
        <v/>
      </c>
      <c r="B97" t="str">
        <f>IF('Master Sheet'!C99="Area 3 (Saranya R)",'Master Sheet'!B99,"")</f>
        <v/>
      </c>
      <c r="C97" t="s">
        <v>6</v>
      </c>
      <c r="D97" t="str">
        <f>IF('Master Sheet'!C99="Area 3 (Saranya R)",'Master Sheet'!D99,"")</f>
        <v/>
      </c>
      <c r="E97" t="str">
        <f>IF('Master Sheet'!C99="Area 3 (Saranya R)",'Master Sheet'!E99,"")</f>
        <v/>
      </c>
      <c r="F97" t="str">
        <f>IF('Master Sheet'!C99="Area 3 (Saranya R)",'Master Sheet'!F99,"")</f>
        <v/>
      </c>
      <c r="G97" t="str">
        <f>IF('Master Sheet'!C99="Area 3 (Saranya R)",'Master Sheet'!G99,"")</f>
        <v/>
      </c>
      <c r="H97" t="str">
        <f>IF('Master Sheet'!C99="Area 3 (Saranya R)",'Master Sheet'!H99,"")</f>
        <v/>
      </c>
      <c r="I97" t="str">
        <f>IF('Master Sheet'!C99="Area 3 (Saranya R)",'Master Sheet'!I99,"")</f>
        <v/>
      </c>
      <c r="J97" t="str">
        <f>IF('Master Sheet'!C99="Area 3 (Saranya R)",'Master Sheet'!J99,"")</f>
        <v/>
      </c>
      <c r="K97" t="str">
        <f>IF('Master Sheet'!C99="Area 3 (Saranya R)",'Master Sheet'!K99,"")</f>
        <v/>
      </c>
      <c r="L97" t="str">
        <f>IF('Master Sheet'!C99="Area 3 (Saranya R)",'Master Sheet'!L99,"")</f>
        <v/>
      </c>
      <c r="M97" t="str">
        <f>IF('Master Sheet'!C99="Area 3 (Saranya R)",'Master Sheet'!M99,"")</f>
        <v/>
      </c>
      <c r="N97" t="str">
        <f>IF('Master Sheet'!C99="Area 3 (Saranya R)",'Master Sheet'!N99,"")</f>
        <v/>
      </c>
      <c r="O97" t="str">
        <f>IF('Master Sheet'!C99="Area 3 (Saranya R)",'Master Sheet'!O99,"")</f>
        <v/>
      </c>
      <c r="P97" t="str">
        <f>IF('Master Sheet'!C99="Area 3 (Saranya R)",'Master Sheet'!P99,"")</f>
        <v/>
      </c>
    </row>
    <row r="98" spans="1:16" hidden="1" x14ac:dyDescent="0.25">
      <c r="A98" t="str">
        <f>IF('Master Sheet'!C100="Area 3 (Saranya R)",'Master Sheet'!A100,"")</f>
        <v/>
      </c>
      <c r="B98" t="str">
        <f>IF('Master Sheet'!C100="Area 3 (Saranya R)",'Master Sheet'!B100,"")</f>
        <v/>
      </c>
      <c r="C98" t="s">
        <v>6</v>
      </c>
      <c r="D98" t="str">
        <f>IF('Master Sheet'!C100="Area 3 (Saranya R)",'Master Sheet'!D100,"")</f>
        <v/>
      </c>
      <c r="E98" t="str">
        <f>IF('Master Sheet'!C100="Area 3 (Saranya R)",'Master Sheet'!E100,"")</f>
        <v/>
      </c>
      <c r="F98" t="str">
        <f>IF('Master Sheet'!C100="Area 3 (Saranya R)",'Master Sheet'!F100,"")</f>
        <v/>
      </c>
      <c r="G98" t="str">
        <f>IF('Master Sheet'!C100="Area 3 (Saranya R)",'Master Sheet'!G100,"")</f>
        <v/>
      </c>
      <c r="H98" t="str">
        <f>IF('Master Sheet'!C100="Area 3 (Saranya R)",'Master Sheet'!H100,"")</f>
        <v/>
      </c>
      <c r="I98" t="str">
        <f>IF('Master Sheet'!C100="Area 3 (Saranya R)",'Master Sheet'!I100,"")</f>
        <v/>
      </c>
      <c r="J98" t="str">
        <f>IF('Master Sheet'!C100="Area 3 (Saranya R)",'Master Sheet'!J100,"")</f>
        <v/>
      </c>
      <c r="K98" t="str">
        <f>IF('Master Sheet'!C100="Area 3 (Saranya R)",'Master Sheet'!K100,"")</f>
        <v/>
      </c>
      <c r="L98" t="str">
        <f>IF('Master Sheet'!C100="Area 3 (Saranya R)",'Master Sheet'!L100,"")</f>
        <v/>
      </c>
      <c r="M98" t="str">
        <f>IF('Master Sheet'!C100="Area 3 (Saranya R)",'Master Sheet'!M100,"")</f>
        <v/>
      </c>
      <c r="N98" t="str">
        <f>IF('Master Sheet'!C100="Area 3 (Saranya R)",'Master Sheet'!N100,"")</f>
        <v/>
      </c>
      <c r="O98" t="str">
        <f>IF('Master Sheet'!C100="Area 3 (Saranya R)",'Master Sheet'!O100,"")</f>
        <v/>
      </c>
      <c r="P98" t="str">
        <f>IF('Master Sheet'!C100="Area 3 (Saranya R)",'Master Sheet'!P100,"")</f>
        <v/>
      </c>
    </row>
    <row r="99" spans="1:16" hidden="1" x14ac:dyDescent="0.25">
      <c r="A99" t="str">
        <f>IF('Master Sheet'!C101="Area 3 (Saranya R)",'Master Sheet'!A101,"")</f>
        <v/>
      </c>
      <c r="B99" t="str">
        <f>IF('Master Sheet'!C101="Area 3 (Saranya R)",'Master Sheet'!B101,"")</f>
        <v/>
      </c>
      <c r="C99" t="s">
        <v>6</v>
      </c>
      <c r="D99" t="str">
        <f>IF('Master Sheet'!C101="Area 3 (Saranya R)",'Master Sheet'!D101,"")</f>
        <v/>
      </c>
      <c r="E99" t="str">
        <f>IF('Master Sheet'!C101="Area 3 (Saranya R)",'Master Sheet'!E101,"")</f>
        <v/>
      </c>
      <c r="F99" t="str">
        <f>IF('Master Sheet'!C101="Area 3 (Saranya R)",'Master Sheet'!F101,"")</f>
        <v/>
      </c>
      <c r="G99" t="str">
        <f>IF('Master Sheet'!C101="Area 3 (Saranya R)",'Master Sheet'!G101,"")</f>
        <v/>
      </c>
      <c r="H99" t="str">
        <f>IF('Master Sheet'!C101="Area 3 (Saranya R)",'Master Sheet'!H101,"")</f>
        <v/>
      </c>
      <c r="I99" t="str">
        <f>IF('Master Sheet'!C101="Area 3 (Saranya R)",'Master Sheet'!I101,"")</f>
        <v/>
      </c>
      <c r="J99" t="str">
        <f>IF('Master Sheet'!C101="Area 3 (Saranya R)",'Master Sheet'!J101,"")</f>
        <v/>
      </c>
      <c r="K99" t="str">
        <f>IF('Master Sheet'!C101="Area 3 (Saranya R)",'Master Sheet'!K101,"")</f>
        <v/>
      </c>
      <c r="L99" t="str">
        <f>IF('Master Sheet'!C101="Area 3 (Saranya R)",'Master Sheet'!L101,"")</f>
        <v/>
      </c>
      <c r="M99" t="str">
        <f>IF('Master Sheet'!C101="Area 3 (Saranya R)",'Master Sheet'!M101,"")</f>
        <v/>
      </c>
      <c r="N99" t="str">
        <f>IF('Master Sheet'!C101="Area 3 (Saranya R)",'Master Sheet'!N101,"")</f>
        <v/>
      </c>
      <c r="O99" t="str">
        <f>IF('Master Sheet'!C101="Area 3 (Saranya R)",'Master Sheet'!O101,"")</f>
        <v/>
      </c>
      <c r="P99" t="str">
        <f>IF('Master Sheet'!C101="Area 3 (Saranya R)",'Master Sheet'!P101,"")</f>
        <v/>
      </c>
    </row>
    <row r="100" spans="1:16" hidden="1" x14ac:dyDescent="0.25">
      <c r="A100" t="str">
        <f>IF('Master Sheet'!C102="Area 3 (Saranya R)",'Master Sheet'!A102,"")</f>
        <v/>
      </c>
      <c r="B100" t="str">
        <f>IF('Master Sheet'!C102="Area 3 (Saranya R)",'Master Sheet'!B102,"")</f>
        <v/>
      </c>
      <c r="C100" t="s">
        <v>6</v>
      </c>
      <c r="D100" t="str">
        <f>IF('Master Sheet'!C102="Area 3 (Saranya R)",'Master Sheet'!D102,"")</f>
        <v/>
      </c>
      <c r="E100" t="str">
        <f>IF('Master Sheet'!C102="Area 3 (Saranya R)",'Master Sheet'!E102,"")</f>
        <v/>
      </c>
      <c r="F100" t="str">
        <f>IF('Master Sheet'!C102="Area 3 (Saranya R)",'Master Sheet'!F102,"")</f>
        <v/>
      </c>
      <c r="G100" t="str">
        <f>IF('Master Sheet'!C102="Area 3 (Saranya R)",'Master Sheet'!G102,"")</f>
        <v/>
      </c>
      <c r="H100" t="str">
        <f>IF('Master Sheet'!C102="Area 3 (Saranya R)",'Master Sheet'!H102,"")</f>
        <v/>
      </c>
      <c r="I100" t="str">
        <f>IF('Master Sheet'!C102="Area 3 (Saranya R)",'Master Sheet'!I102,"")</f>
        <v/>
      </c>
      <c r="J100" t="str">
        <f>IF('Master Sheet'!C102="Area 3 (Saranya R)",'Master Sheet'!J102,"")</f>
        <v/>
      </c>
      <c r="K100" t="str">
        <f>IF('Master Sheet'!C102="Area 3 (Saranya R)",'Master Sheet'!K102,"")</f>
        <v/>
      </c>
      <c r="L100" t="str">
        <f>IF('Master Sheet'!C102="Area 3 (Saranya R)",'Master Sheet'!L102,"")</f>
        <v/>
      </c>
      <c r="M100" t="str">
        <f>IF('Master Sheet'!C102="Area 3 (Saranya R)",'Master Sheet'!M102,"")</f>
        <v/>
      </c>
      <c r="N100" t="str">
        <f>IF('Master Sheet'!C102="Area 3 (Saranya R)",'Master Sheet'!N102,"")</f>
        <v/>
      </c>
      <c r="O100" t="str">
        <f>IF('Master Sheet'!C102="Area 3 (Saranya R)",'Master Sheet'!O102,"")</f>
        <v/>
      </c>
      <c r="P100" t="str">
        <f>IF('Master Sheet'!C102="Area 3 (Saranya R)",'Master Sheet'!P102,"")</f>
        <v/>
      </c>
    </row>
    <row r="101" spans="1:16" hidden="1" x14ac:dyDescent="0.25">
      <c r="A101" t="str">
        <f>IF('Master Sheet'!C103="Area 3 (Saranya R)",'Master Sheet'!A103,"")</f>
        <v/>
      </c>
      <c r="B101" t="str">
        <f>IF('Master Sheet'!C103="Area 3 (Saranya R)",'Master Sheet'!B103,"")</f>
        <v/>
      </c>
      <c r="C101" t="s">
        <v>6</v>
      </c>
      <c r="D101" t="str">
        <f>IF('Master Sheet'!C103="Area 3 (Saranya R)",'Master Sheet'!D103,"")</f>
        <v/>
      </c>
      <c r="E101" t="str">
        <f>IF('Master Sheet'!C103="Area 3 (Saranya R)",'Master Sheet'!E103,"")</f>
        <v/>
      </c>
      <c r="F101" t="str">
        <f>IF('Master Sheet'!C103="Area 3 (Saranya R)",'Master Sheet'!F103,"")</f>
        <v/>
      </c>
      <c r="G101" t="str">
        <f>IF('Master Sheet'!C103="Area 3 (Saranya R)",'Master Sheet'!G103,"")</f>
        <v/>
      </c>
      <c r="H101" t="str">
        <f>IF('Master Sheet'!C103="Area 3 (Saranya R)",'Master Sheet'!H103,"")</f>
        <v/>
      </c>
      <c r="I101" t="str">
        <f>IF('Master Sheet'!C103="Area 3 (Saranya R)",'Master Sheet'!I103,"")</f>
        <v/>
      </c>
      <c r="J101" t="str">
        <f>IF('Master Sheet'!C103="Area 3 (Saranya R)",'Master Sheet'!J103,"")</f>
        <v/>
      </c>
      <c r="K101" t="str">
        <f>IF('Master Sheet'!C103="Area 3 (Saranya R)",'Master Sheet'!K103,"")</f>
        <v/>
      </c>
      <c r="L101" t="str">
        <f>IF('Master Sheet'!C103="Area 3 (Saranya R)",'Master Sheet'!L103,"")</f>
        <v/>
      </c>
      <c r="M101" t="str">
        <f>IF('Master Sheet'!C103="Area 3 (Saranya R)",'Master Sheet'!M103,"")</f>
        <v/>
      </c>
      <c r="N101" t="str">
        <f>IF('Master Sheet'!C103="Area 3 (Saranya R)",'Master Sheet'!N103,"")</f>
        <v/>
      </c>
      <c r="O101" t="str">
        <f>IF('Master Sheet'!C103="Area 3 (Saranya R)",'Master Sheet'!O103,"")</f>
        <v/>
      </c>
      <c r="P101" t="str">
        <f>IF('Master Sheet'!C103="Area 3 (Saranya R)",'Master Sheet'!P103,"")</f>
        <v/>
      </c>
    </row>
    <row r="102" spans="1:16" hidden="1" x14ac:dyDescent="0.25">
      <c r="A102" t="str">
        <f>IF('Master Sheet'!C104="Area 3 (Saranya R)",'Master Sheet'!A104,"")</f>
        <v/>
      </c>
      <c r="B102" t="str">
        <f>IF('Master Sheet'!C104="Area 3 (Saranya R)",'Master Sheet'!B104,"")</f>
        <v/>
      </c>
      <c r="C102" t="s">
        <v>6</v>
      </c>
      <c r="D102" t="str">
        <f>IF('Master Sheet'!C104="Area 3 (Saranya R)",'Master Sheet'!D104,"")</f>
        <v/>
      </c>
      <c r="E102" t="str">
        <f>IF('Master Sheet'!C104="Area 3 (Saranya R)",'Master Sheet'!E104,"")</f>
        <v/>
      </c>
      <c r="F102" t="str">
        <f>IF('Master Sheet'!C104="Area 3 (Saranya R)",'Master Sheet'!F104,"")</f>
        <v/>
      </c>
      <c r="G102" t="str">
        <f>IF('Master Sheet'!C104="Area 3 (Saranya R)",'Master Sheet'!G104,"")</f>
        <v/>
      </c>
      <c r="H102" t="str">
        <f>IF('Master Sheet'!C104="Area 3 (Saranya R)",'Master Sheet'!H104,"")</f>
        <v/>
      </c>
      <c r="I102" t="str">
        <f>IF('Master Sheet'!C104="Area 3 (Saranya R)",'Master Sheet'!I104,"")</f>
        <v/>
      </c>
      <c r="J102" t="str">
        <f>IF('Master Sheet'!C104="Area 3 (Saranya R)",'Master Sheet'!J104,"")</f>
        <v/>
      </c>
      <c r="K102" t="str">
        <f>IF('Master Sheet'!C104="Area 3 (Saranya R)",'Master Sheet'!K104,"")</f>
        <v/>
      </c>
      <c r="L102" t="str">
        <f>IF('Master Sheet'!C104="Area 3 (Saranya R)",'Master Sheet'!L104,"")</f>
        <v/>
      </c>
      <c r="M102" t="str">
        <f>IF('Master Sheet'!C104="Area 3 (Saranya R)",'Master Sheet'!M104,"")</f>
        <v/>
      </c>
      <c r="N102" t="str">
        <f>IF('Master Sheet'!C104="Area 3 (Saranya R)",'Master Sheet'!N104,"")</f>
        <v/>
      </c>
      <c r="O102" t="str">
        <f>IF('Master Sheet'!C104="Area 3 (Saranya R)",'Master Sheet'!O104,"")</f>
        <v/>
      </c>
      <c r="P102" t="str">
        <f>IF('Master Sheet'!C104="Area 3 (Saranya R)",'Master Sheet'!P104,"")</f>
        <v/>
      </c>
    </row>
    <row r="103" spans="1:16" hidden="1" x14ac:dyDescent="0.25">
      <c r="A103" t="str">
        <f>IF('Master Sheet'!C105="Area 3 (Saranya R)",'Master Sheet'!A105,"")</f>
        <v/>
      </c>
      <c r="B103" t="str">
        <f>IF('Master Sheet'!C105="Area 3 (Saranya R)",'Master Sheet'!B105,"")</f>
        <v/>
      </c>
      <c r="C103" t="s">
        <v>6</v>
      </c>
      <c r="D103" t="str">
        <f>IF('Master Sheet'!C105="Area 3 (Saranya R)",'Master Sheet'!D105,"")</f>
        <v/>
      </c>
      <c r="E103" t="str">
        <f>IF('Master Sheet'!C105="Area 3 (Saranya R)",'Master Sheet'!E105,"")</f>
        <v/>
      </c>
      <c r="F103" t="str">
        <f>IF('Master Sheet'!C105="Area 3 (Saranya R)",'Master Sheet'!F105,"")</f>
        <v/>
      </c>
      <c r="G103" t="str">
        <f>IF('Master Sheet'!C105="Area 3 (Saranya R)",'Master Sheet'!G105,"")</f>
        <v/>
      </c>
      <c r="H103" t="str">
        <f>IF('Master Sheet'!C105="Area 3 (Saranya R)",'Master Sheet'!H105,"")</f>
        <v/>
      </c>
      <c r="I103" t="str">
        <f>IF('Master Sheet'!C105="Area 3 (Saranya R)",'Master Sheet'!I105,"")</f>
        <v/>
      </c>
      <c r="J103" t="str">
        <f>IF('Master Sheet'!C105="Area 3 (Saranya R)",'Master Sheet'!J105,"")</f>
        <v/>
      </c>
      <c r="K103" t="str">
        <f>IF('Master Sheet'!C105="Area 3 (Saranya R)",'Master Sheet'!K105,"")</f>
        <v/>
      </c>
      <c r="L103" t="str">
        <f>IF('Master Sheet'!C105="Area 3 (Saranya R)",'Master Sheet'!L105,"")</f>
        <v/>
      </c>
      <c r="M103" t="str">
        <f>IF('Master Sheet'!C105="Area 3 (Saranya R)",'Master Sheet'!M105,"")</f>
        <v/>
      </c>
      <c r="N103" t="str">
        <f>IF('Master Sheet'!C105="Area 3 (Saranya R)",'Master Sheet'!N105,"")</f>
        <v/>
      </c>
      <c r="O103" t="str">
        <f>IF('Master Sheet'!C105="Area 3 (Saranya R)",'Master Sheet'!O105,"")</f>
        <v/>
      </c>
      <c r="P103" t="str">
        <f>IF('Master Sheet'!C105="Area 3 (Saranya R)",'Master Sheet'!P105,"")</f>
        <v/>
      </c>
    </row>
    <row r="104" spans="1:16" hidden="1" x14ac:dyDescent="0.25">
      <c r="A104" t="str">
        <f>IF('Master Sheet'!C106="Area 3 (Saranya R)",'Master Sheet'!A106,"")</f>
        <v/>
      </c>
      <c r="B104" t="str">
        <f>IF('Master Sheet'!C106="Area 3 (Saranya R)",'Master Sheet'!B106,"")</f>
        <v/>
      </c>
      <c r="C104" t="s">
        <v>6</v>
      </c>
      <c r="D104" t="str">
        <f>IF('Master Sheet'!C106="Area 3 (Saranya R)",'Master Sheet'!D106,"")</f>
        <v/>
      </c>
      <c r="E104" t="str">
        <f>IF('Master Sheet'!C106="Area 3 (Saranya R)",'Master Sheet'!E106,"")</f>
        <v/>
      </c>
      <c r="F104" t="str">
        <f>IF('Master Sheet'!C106="Area 3 (Saranya R)",'Master Sheet'!F106,"")</f>
        <v/>
      </c>
      <c r="G104" t="str">
        <f>IF('Master Sheet'!C106="Area 3 (Saranya R)",'Master Sheet'!G106,"")</f>
        <v/>
      </c>
      <c r="H104" t="str">
        <f>IF('Master Sheet'!C106="Area 3 (Saranya R)",'Master Sheet'!H106,"")</f>
        <v/>
      </c>
      <c r="I104" t="str">
        <f>IF('Master Sheet'!C106="Area 3 (Saranya R)",'Master Sheet'!I106,"")</f>
        <v/>
      </c>
      <c r="J104" t="str">
        <f>IF('Master Sheet'!C106="Area 3 (Saranya R)",'Master Sheet'!J106,"")</f>
        <v/>
      </c>
      <c r="K104" t="str">
        <f>IF('Master Sheet'!C106="Area 3 (Saranya R)",'Master Sheet'!K106,"")</f>
        <v/>
      </c>
      <c r="L104" t="str">
        <f>IF('Master Sheet'!C106="Area 3 (Saranya R)",'Master Sheet'!L106,"")</f>
        <v/>
      </c>
      <c r="M104" t="str">
        <f>IF('Master Sheet'!C106="Area 3 (Saranya R)",'Master Sheet'!M106,"")</f>
        <v/>
      </c>
      <c r="N104" t="str">
        <f>IF('Master Sheet'!C106="Area 3 (Saranya R)",'Master Sheet'!N106,"")</f>
        <v/>
      </c>
      <c r="O104" t="str">
        <f>IF('Master Sheet'!C106="Area 3 (Saranya R)",'Master Sheet'!O106,"")</f>
        <v/>
      </c>
      <c r="P104" t="str">
        <f>IF('Master Sheet'!C106="Area 3 (Saranya R)",'Master Sheet'!P106,"")</f>
        <v/>
      </c>
    </row>
    <row r="105" spans="1:16" hidden="1" x14ac:dyDescent="0.25">
      <c r="A105" t="str">
        <f>IF('Master Sheet'!C107="Area 3 (Saranya R)",'Master Sheet'!A107,"")</f>
        <v/>
      </c>
      <c r="B105" t="str">
        <f>IF('Master Sheet'!C107="Area 3 (Saranya R)",'Master Sheet'!B107,"")</f>
        <v/>
      </c>
      <c r="C105" t="s">
        <v>6</v>
      </c>
      <c r="D105" t="str">
        <f>IF('Master Sheet'!C107="Area 3 (Saranya R)",'Master Sheet'!D107,"")</f>
        <v/>
      </c>
      <c r="E105" t="str">
        <f>IF('Master Sheet'!C107="Area 3 (Saranya R)",'Master Sheet'!E107,"")</f>
        <v/>
      </c>
      <c r="F105" t="str">
        <f>IF('Master Sheet'!C107="Area 3 (Saranya R)",'Master Sheet'!F107,"")</f>
        <v/>
      </c>
      <c r="G105" t="str">
        <f>IF('Master Sheet'!C107="Area 3 (Saranya R)",'Master Sheet'!G107,"")</f>
        <v/>
      </c>
      <c r="H105" t="str">
        <f>IF('Master Sheet'!C107="Area 3 (Saranya R)",'Master Sheet'!H107,"")</f>
        <v/>
      </c>
      <c r="I105" t="str">
        <f>IF('Master Sheet'!C107="Area 3 (Saranya R)",'Master Sheet'!I107,"")</f>
        <v/>
      </c>
      <c r="J105" t="str">
        <f>IF('Master Sheet'!C107="Area 3 (Saranya R)",'Master Sheet'!J107,"")</f>
        <v/>
      </c>
      <c r="K105" t="str">
        <f>IF('Master Sheet'!C107="Area 3 (Saranya R)",'Master Sheet'!K107,"")</f>
        <v/>
      </c>
      <c r="L105" t="str">
        <f>IF('Master Sheet'!C107="Area 3 (Saranya R)",'Master Sheet'!L107,"")</f>
        <v/>
      </c>
      <c r="M105" t="str">
        <f>IF('Master Sheet'!C107="Area 3 (Saranya R)",'Master Sheet'!M107,"")</f>
        <v/>
      </c>
      <c r="N105" t="str">
        <f>IF('Master Sheet'!C107="Area 3 (Saranya R)",'Master Sheet'!N107,"")</f>
        <v/>
      </c>
      <c r="O105" t="str">
        <f>IF('Master Sheet'!C107="Area 3 (Saranya R)",'Master Sheet'!O107,"")</f>
        <v/>
      </c>
      <c r="P105" t="str">
        <f>IF('Master Sheet'!C107="Area 3 (Saranya R)",'Master Sheet'!P107,"")</f>
        <v/>
      </c>
    </row>
    <row r="106" spans="1:16" hidden="1" x14ac:dyDescent="0.25">
      <c r="A106" t="str">
        <f>IF('Master Sheet'!C108="Area 3 (Saranya R)",'Master Sheet'!A108,"")</f>
        <v/>
      </c>
      <c r="B106" t="str">
        <f>IF('Master Sheet'!C108="Area 3 (Saranya R)",'Master Sheet'!B108,"")</f>
        <v/>
      </c>
      <c r="C106" t="s">
        <v>6</v>
      </c>
      <c r="D106" t="str">
        <f>IF('Master Sheet'!C108="Area 3 (Saranya R)",'Master Sheet'!D108,"")</f>
        <v/>
      </c>
      <c r="E106" t="str">
        <f>IF('Master Sheet'!C108="Area 3 (Saranya R)",'Master Sheet'!E108,"")</f>
        <v/>
      </c>
      <c r="F106" t="str">
        <f>IF('Master Sheet'!C108="Area 3 (Saranya R)",'Master Sheet'!F108,"")</f>
        <v/>
      </c>
      <c r="G106" t="str">
        <f>IF('Master Sheet'!C108="Area 3 (Saranya R)",'Master Sheet'!G108,"")</f>
        <v/>
      </c>
      <c r="H106" t="str">
        <f>IF('Master Sheet'!C108="Area 3 (Saranya R)",'Master Sheet'!H108,"")</f>
        <v/>
      </c>
      <c r="I106" t="str">
        <f>IF('Master Sheet'!C108="Area 3 (Saranya R)",'Master Sheet'!I108,"")</f>
        <v/>
      </c>
      <c r="J106" t="str">
        <f>IF('Master Sheet'!C108="Area 3 (Saranya R)",'Master Sheet'!J108,"")</f>
        <v/>
      </c>
      <c r="K106" t="str">
        <f>IF('Master Sheet'!C108="Area 3 (Saranya R)",'Master Sheet'!K108,"")</f>
        <v/>
      </c>
      <c r="L106" t="str">
        <f>IF('Master Sheet'!C108="Area 3 (Saranya R)",'Master Sheet'!L108,"")</f>
        <v/>
      </c>
      <c r="M106" t="str">
        <f>IF('Master Sheet'!C108="Area 3 (Saranya R)",'Master Sheet'!M108,"")</f>
        <v/>
      </c>
      <c r="N106" t="str">
        <f>IF('Master Sheet'!C108="Area 3 (Saranya R)",'Master Sheet'!N108,"")</f>
        <v/>
      </c>
      <c r="O106" t="str">
        <f>IF('Master Sheet'!C108="Area 3 (Saranya R)",'Master Sheet'!O108,"")</f>
        <v/>
      </c>
      <c r="P106" t="str">
        <f>IF('Master Sheet'!C108="Area 3 (Saranya R)",'Master Sheet'!P108,"")</f>
        <v/>
      </c>
    </row>
    <row r="107" spans="1:16" hidden="1" x14ac:dyDescent="0.25">
      <c r="A107" t="str">
        <f>IF('Master Sheet'!C109="Area 3 (Saranya R)",'Master Sheet'!A109,"")</f>
        <v/>
      </c>
      <c r="B107" t="str">
        <f>IF('Master Sheet'!C109="Area 3 (Saranya R)",'Master Sheet'!B109,"")</f>
        <v/>
      </c>
      <c r="C107" t="s">
        <v>6</v>
      </c>
      <c r="D107" t="str">
        <f>IF('Master Sheet'!C109="Area 3 (Saranya R)",'Master Sheet'!D109,"")</f>
        <v/>
      </c>
      <c r="E107" t="str">
        <f>IF('Master Sheet'!C109="Area 3 (Saranya R)",'Master Sheet'!E109,"")</f>
        <v/>
      </c>
      <c r="F107" t="str">
        <f>IF('Master Sheet'!C109="Area 3 (Saranya R)",'Master Sheet'!F109,"")</f>
        <v/>
      </c>
      <c r="G107" t="str">
        <f>IF('Master Sheet'!C109="Area 3 (Saranya R)",'Master Sheet'!G109,"")</f>
        <v/>
      </c>
      <c r="H107" t="str">
        <f>IF('Master Sheet'!C109="Area 3 (Saranya R)",'Master Sheet'!H109,"")</f>
        <v/>
      </c>
      <c r="I107" t="str">
        <f>IF('Master Sheet'!C109="Area 3 (Saranya R)",'Master Sheet'!I109,"")</f>
        <v/>
      </c>
      <c r="J107" t="str">
        <f>IF('Master Sheet'!C109="Area 3 (Saranya R)",'Master Sheet'!J109,"")</f>
        <v/>
      </c>
      <c r="K107" t="str">
        <f>IF('Master Sheet'!C109="Area 3 (Saranya R)",'Master Sheet'!K109,"")</f>
        <v/>
      </c>
      <c r="L107" t="str">
        <f>IF('Master Sheet'!C109="Area 3 (Saranya R)",'Master Sheet'!L109,"")</f>
        <v/>
      </c>
      <c r="M107" t="str">
        <f>IF('Master Sheet'!C109="Area 3 (Saranya R)",'Master Sheet'!M109,"")</f>
        <v/>
      </c>
      <c r="N107" t="str">
        <f>IF('Master Sheet'!C109="Area 3 (Saranya R)",'Master Sheet'!N109,"")</f>
        <v/>
      </c>
      <c r="O107" t="str">
        <f>IF('Master Sheet'!C109="Area 3 (Saranya R)",'Master Sheet'!O109,"")</f>
        <v/>
      </c>
      <c r="P107" t="str">
        <f>IF('Master Sheet'!C109="Area 3 (Saranya R)",'Master Sheet'!P109,"")</f>
        <v/>
      </c>
    </row>
    <row r="108" spans="1:16" hidden="1" x14ac:dyDescent="0.25">
      <c r="A108" t="str">
        <f>IF('Master Sheet'!C110="Area 3 (Saranya R)",'Master Sheet'!A110,"")</f>
        <v/>
      </c>
      <c r="B108" t="str">
        <f>IF('Master Sheet'!C110="Area 3 (Saranya R)",'Master Sheet'!B110,"")</f>
        <v/>
      </c>
      <c r="C108" t="s">
        <v>6</v>
      </c>
      <c r="D108" t="str">
        <f>IF('Master Sheet'!C110="Area 3 (Saranya R)",'Master Sheet'!D110,"")</f>
        <v/>
      </c>
      <c r="E108" t="str">
        <f>IF('Master Sheet'!C110="Area 3 (Saranya R)",'Master Sheet'!E110,"")</f>
        <v/>
      </c>
      <c r="F108" t="str">
        <f>IF('Master Sheet'!C110="Area 3 (Saranya R)",'Master Sheet'!F110,"")</f>
        <v/>
      </c>
      <c r="G108" t="str">
        <f>IF('Master Sheet'!C110="Area 3 (Saranya R)",'Master Sheet'!G110,"")</f>
        <v/>
      </c>
      <c r="H108" t="str">
        <f>IF('Master Sheet'!C110="Area 3 (Saranya R)",'Master Sheet'!H110,"")</f>
        <v/>
      </c>
      <c r="I108" t="str">
        <f>IF('Master Sheet'!C110="Area 3 (Saranya R)",'Master Sheet'!I110,"")</f>
        <v/>
      </c>
      <c r="J108" t="str">
        <f>IF('Master Sheet'!C110="Area 3 (Saranya R)",'Master Sheet'!J110,"")</f>
        <v/>
      </c>
      <c r="K108" t="str">
        <f>IF('Master Sheet'!C110="Area 3 (Saranya R)",'Master Sheet'!K110,"")</f>
        <v/>
      </c>
      <c r="L108" t="str">
        <f>IF('Master Sheet'!C110="Area 3 (Saranya R)",'Master Sheet'!L110,"")</f>
        <v/>
      </c>
      <c r="M108" t="str">
        <f>IF('Master Sheet'!C110="Area 3 (Saranya R)",'Master Sheet'!M110,"")</f>
        <v/>
      </c>
      <c r="N108" t="str">
        <f>IF('Master Sheet'!C110="Area 3 (Saranya R)",'Master Sheet'!N110,"")</f>
        <v/>
      </c>
      <c r="O108" t="str">
        <f>IF('Master Sheet'!C110="Area 3 (Saranya R)",'Master Sheet'!O110,"")</f>
        <v/>
      </c>
      <c r="P108" t="str">
        <f>IF('Master Sheet'!C110="Area 3 (Saranya R)",'Master Sheet'!P110,"")</f>
        <v/>
      </c>
    </row>
    <row r="109" spans="1:16" hidden="1" x14ac:dyDescent="0.25">
      <c r="A109" t="str">
        <f>IF('Master Sheet'!C111="Area 3 (Saranya R)",'Master Sheet'!A111,"")</f>
        <v/>
      </c>
      <c r="B109" t="str">
        <f>IF('Master Sheet'!C111="Area 3 (Saranya R)",'Master Sheet'!B111,"")</f>
        <v/>
      </c>
      <c r="C109" t="s">
        <v>6</v>
      </c>
      <c r="D109" t="str">
        <f>IF('Master Sheet'!C111="Area 3 (Saranya R)",'Master Sheet'!D111,"")</f>
        <v/>
      </c>
      <c r="E109" t="str">
        <f>IF('Master Sheet'!C111="Area 3 (Saranya R)",'Master Sheet'!E111,"")</f>
        <v/>
      </c>
      <c r="F109" t="str">
        <f>IF('Master Sheet'!C111="Area 3 (Saranya R)",'Master Sheet'!F111,"")</f>
        <v/>
      </c>
      <c r="G109" t="str">
        <f>IF('Master Sheet'!C111="Area 3 (Saranya R)",'Master Sheet'!G111,"")</f>
        <v/>
      </c>
      <c r="H109" t="str">
        <f>IF('Master Sheet'!C111="Area 3 (Saranya R)",'Master Sheet'!H111,"")</f>
        <v/>
      </c>
      <c r="I109" t="str">
        <f>IF('Master Sheet'!C111="Area 3 (Saranya R)",'Master Sheet'!I111,"")</f>
        <v/>
      </c>
      <c r="J109" t="str">
        <f>IF('Master Sheet'!C111="Area 3 (Saranya R)",'Master Sheet'!J111,"")</f>
        <v/>
      </c>
      <c r="K109" t="str">
        <f>IF('Master Sheet'!C111="Area 3 (Saranya R)",'Master Sheet'!K111,"")</f>
        <v/>
      </c>
      <c r="L109" t="str">
        <f>IF('Master Sheet'!C111="Area 3 (Saranya R)",'Master Sheet'!L111,"")</f>
        <v/>
      </c>
      <c r="M109" t="str">
        <f>IF('Master Sheet'!C111="Area 3 (Saranya R)",'Master Sheet'!M111,"")</f>
        <v/>
      </c>
      <c r="N109" t="str">
        <f>IF('Master Sheet'!C111="Area 3 (Saranya R)",'Master Sheet'!N111,"")</f>
        <v/>
      </c>
      <c r="O109" t="str">
        <f>IF('Master Sheet'!C111="Area 3 (Saranya R)",'Master Sheet'!O111,"")</f>
        <v/>
      </c>
      <c r="P109" t="str">
        <f>IF('Master Sheet'!C111="Area 3 (Saranya R)",'Master Sheet'!P111,"")</f>
        <v/>
      </c>
    </row>
    <row r="110" spans="1:16" hidden="1" x14ac:dyDescent="0.25">
      <c r="A110" t="str">
        <f>IF('Master Sheet'!C112="Area 3 (Saranya R)",'Master Sheet'!A112,"")</f>
        <v/>
      </c>
      <c r="B110" t="str">
        <f>IF('Master Sheet'!C112="Area 3 (Saranya R)",'Master Sheet'!B112,"")</f>
        <v/>
      </c>
      <c r="C110" t="s">
        <v>6</v>
      </c>
      <c r="D110" t="str">
        <f>IF('Master Sheet'!C112="Area 3 (Saranya R)",'Master Sheet'!D112,"")</f>
        <v/>
      </c>
      <c r="E110" t="str">
        <f>IF('Master Sheet'!C112="Area 3 (Saranya R)",'Master Sheet'!E112,"")</f>
        <v/>
      </c>
      <c r="F110" t="str">
        <f>IF('Master Sheet'!C112="Area 3 (Saranya R)",'Master Sheet'!F112,"")</f>
        <v/>
      </c>
      <c r="G110" t="str">
        <f>IF('Master Sheet'!C112="Area 3 (Saranya R)",'Master Sheet'!G112,"")</f>
        <v/>
      </c>
      <c r="H110" t="str">
        <f>IF('Master Sheet'!C112="Area 3 (Saranya R)",'Master Sheet'!H112,"")</f>
        <v/>
      </c>
      <c r="I110" t="str">
        <f>IF('Master Sheet'!C112="Area 3 (Saranya R)",'Master Sheet'!I112,"")</f>
        <v/>
      </c>
      <c r="J110" t="str">
        <f>IF('Master Sheet'!C112="Area 3 (Saranya R)",'Master Sheet'!J112,"")</f>
        <v/>
      </c>
      <c r="K110" t="str">
        <f>IF('Master Sheet'!C112="Area 3 (Saranya R)",'Master Sheet'!K112,"")</f>
        <v/>
      </c>
      <c r="L110" t="str">
        <f>IF('Master Sheet'!C112="Area 3 (Saranya R)",'Master Sheet'!L112,"")</f>
        <v/>
      </c>
      <c r="M110" t="str">
        <f>IF('Master Sheet'!C112="Area 3 (Saranya R)",'Master Sheet'!M112,"")</f>
        <v/>
      </c>
      <c r="N110" t="str">
        <f>IF('Master Sheet'!C112="Area 3 (Saranya R)",'Master Sheet'!N112,"")</f>
        <v/>
      </c>
      <c r="O110" t="str">
        <f>IF('Master Sheet'!C112="Area 3 (Saranya R)",'Master Sheet'!O112,"")</f>
        <v/>
      </c>
      <c r="P110" t="str">
        <f>IF('Master Sheet'!C112="Area 3 (Saranya R)",'Master Sheet'!P112,"")</f>
        <v/>
      </c>
    </row>
    <row r="111" spans="1:16" hidden="1" x14ac:dyDescent="0.25">
      <c r="A111" t="str">
        <f>IF('Master Sheet'!C113="Area 3 (Saranya R)",'Master Sheet'!A113,"")</f>
        <v/>
      </c>
      <c r="B111" t="str">
        <f>IF('Master Sheet'!C113="Area 3 (Saranya R)",'Master Sheet'!B113,"")</f>
        <v/>
      </c>
      <c r="C111" t="s">
        <v>6</v>
      </c>
      <c r="D111" t="str">
        <f>IF('Master Sheet'!C113="Area 3 (Saranya R)",'Master Sheet'!D113,"")</f>
        <v/>
      </c>
      <c r="E111" t="str">
        <f>IF('Master Sheet'!C113="Area 3 (Saranya R)",'Master Sheet'!E113,"")</f>
        <v/>
      </c>
      <c r="F111" t="str">
        <f>IF('Master Sheet'!C113="Area 3 (Saranya R)",'Master Sheet'!F113,"")</f>
        <v/>
      </c>
      <c r="G111" t="str">
        <f>IF('Master Sheet'!C113="Area 3 (Saranya R)",'Master Sheet'!G113,"")</f>
        <v/>
      </c>
      <c r="H111" t="str">
        <f>IF('Master Sheet'!C113="Area 3 (Saranya R)",'Master Sheet'!H113,"")</f>
        <v/>
      </c>
      <c r="I111" t="str">
        <f>IF('Master Sheet'!C113="Area 3 (Saranya R)",'Master Sheet'!I113,"")</f>
        <v/>
      </c>
      <c r="J111" t="str">
        <f>IF('Master Sheet'!C113="Area 3 (Saranya R)",'Master Sheet'!J113,"")</f>
        <v/>
      </c>
      <c r="K111" t="str">
        <f>IF('Master Sheet'!C113="Area 3 (Saranya R)",'Master Sheet'!K113,"")</f>
        <v/>
      </c>
      <c r="L111" t="str">
        <f>IF('Master Sheet'!C113="Area 3 (Saranya R)",'Master Sheet'!L113,"")</f>
        <v/>
      </c>
      <c r="M111" t="str">
        <f>IF('Master Sheet'!C113="Area 3 (Saranya R)",'Master Sheet'!M113,"")</f>
        <v/>
      </c>
      <c r="N111" t="str">
        <f>IF('Master Sheet'!C113="Area 3 (Saranya R)",'Master Sheet'!N113,"")</f>
        <v/>
      </c>
      <c r="O111" t="str">
        <f>IF('Master Sheet'!C113="Area 3 (Saranya R)",'Master Sheet'!O113,"")</f>
        <v/>
      </c>
      <c r="P111" t="str">
        <f>IF('Master Sheet'!C113="Area 3 (Saranya R)",'Master Sheet'!P113,"")</f>
        <v/>
      </c>
    </row>
    <row r="112" spans="1:16" hidden="1" x14ac:dyDescent="0.25">
      <c r="A112" t="str">
        <f>IF('Master Sheet'!C114="Area 3 (Saranya R)",'Master Sheet'!A114,"")</f>
        <v/>
      </c>
      <c r="B112" t="str">
        <f>IF('Master Sheet'!C114="Area 3 (Saranya R)",'Master Sheet'!B114,"")</f>
        <v/>
      </c>
      <c r="C112" t="s">
        <v>6</v>
      </c>
      <c r="D112" t="str">
        <f>IF('Master Sheet'!C114="Area 3 (Saranya R)",'Master Sheet'!D114,"")</f>
        <v/>
      </c>
      <c r="E112" t="str">
        <f>IF('Master Sheet'!C114="Area 3 (Saranya R)",'Master Sheet'!E114,"")</f>
        <v/>
      </c>
      <c r="F112" t="str">
        <f>IF('Master Sheet'!C114="Area 3 (Saranya R)",'Master Sheet'!F114,"")</f>
        <v/>
      </c>
      <c r="G112" t="str">
        <f>IF('Master Sheet'!C114="Area 3 (Saranya R)",'Master Sheet'!G114,"")</f>
        <v/>
      </c>
      <c r="H112" t="str">
        <f>IF('Master Sheet'!C114="Area 3 (Saranya R)",'Master Sheet'!H114,"")</f>
        <v/>
      </c>
      <c r="I112" t="str">
        <f>IF('Master Sheet'!C114="Area 3 (Saranya R)",'Master Sheet'!I114,"")</f>
        <v/>
      </c>
      <c r="J112" t="str">
        <f>IF('Master Sheet'!C114="Area 3 (Saranya R)",'Master Sheet'!J114,"")</f>
        <v/>
      </c>
      <c r="K112" t="str">
        <f>IF('Master Sheet'!C114="Area 3 (Saranya R)",'Master Sheet'!K114,"")</f>
        <v/>
      </c>
      <c r="L112" t="str">
        <f>IF('Master Sheet'!C114="Area 3 (Saranya R)",'Master Sheet'!L114,"")</f>
        <v/>
      </c>
      <c r="M112" t="str">
        <f>IF('Master Sheet'!C114="Area 3 (Saranya R)",'Master Sheet'!M114,"")</f>
        <v/>
      </c>
      <c r="N112" t="str">
        <f>IF('Master Sheet'!C114="Area 3 (Saranya R)",'Master Sheet'!N114,"")</f>
        <v/>
      </c>
      <c r="O112" t="str">
        <f>IF('Master Sheet'!C114="Area 3 (Saranya R)",'Master Sheet'!O114,"")</f>
        <v/>
      </c>
      <c r="P112" t="str">
        <f>IF('Master Sheet'!C114="Area 3 (Saranya R)",'Master Sheet'!P114,"")</f>
        <v/>
      </c>
    </row>
    <row r="113" spans="1:16" hidden="1" x14ac:dyDescent="0.25">
      <c r="A113" t="str">
        <f>IF('Master Sheet'!C115="Area 3 (Saranya R)",'Master Sheet'!A115,"")</f>
        <v/>
      </c>
      <c r="B113" t="str">
        <f>IF('Master Sheet'!C115="Area 3 (Saranya R)",'Master Sheet'!B115,"")</f>
        <v/>
      </c>
      <c r="C113" t="s">
        <v>6</v>
      </c>
      <c r="D113" t="str">
        <f>IF('Master Sheet'!C115="Area 3 (Saranya R)",'Master Sheet'!D115,"")</f>
        <v/>
      </c>
      <c r="E113" t="str">
        <f>IF('Master Sheet'!C115="Area 3 (Saranya R)",'Master Sheet'!E115,"")</f>
        <v/>
      </c>
      <c r="F113" t="str">
        <f>IF('Master Sheet'!C115="Area 3 (Saranya R)",'Master Sheet'!F115,"")</f>
        <v/>
      </c>
      <c r="G113" t="str">
        <f>IF('Master Sheet'!C115="Area 3 (Saranya R)",'Master Sheet'!G115,"")</f>
        <v/>
      </c>
      <c r="H113" t="str">
        <f>IF('Master Sheet'!C115="Area 3 (Saranya R)",'Master Sheet'!H115,"")</f>
        <v/>
      </c>
      <c r="I113" t="str">
        <f>IF('Master Sheet'!C115="Area 3 (Saranya R)",'Master Sheet'!I115,"")</f>
        <v/>
      </c>
      <c r="J113" t="str">
        <f>IF('Master Sheet'!C115="Area 3 (Saranya R)",'Master Sheet'!J115,"")</f>
        <v/>
      </c>
      <c r="K113" t="str">
        <f>IF('Master Sheet'!C115="Area 3 (Saranya R)",'Master Sheet'!K115,"")</f>
        <v/>
      </c>
      <c r="L113" t="str">
        <f>IF('Master Sheet'!C115="Area 3 (Saranya R)",'Master Sheet'!L115,"")</f>
        <v/>
      </c>
      <c r="M113" t="str">
        <f>IF('Master Sheet'!C115="Area 3 (Saranya R)",'Master Sheet'!M115,"")</f>
        <v/>
      </c>
      <c r="N113" t="str">
        <f>IF('Master Sheet'!C115="Area 3 (Saranya R)",'Master Sheet'!N115,"")</f>
        <v/>
      </c>
      <c r="O113" t="str">
        <f>IF('Master Sheet'!C115="Area 3 (Saranya R)",'Master Sheet'!O115,"")</f>
        <v/>
      </c>
      <c r="P113" t="str">
        <f>IF('Master Sheet'!C115="Area 3 (Saranya R)",'Master Sheet'!P115,"")</f>
        <v/>
      </c>
    </row>
    <row r="114" spans="1:16" hidden="1" x14ac:dyDescent="0.25">
      <c r="A114" t="str">
        <f>IF('Master Sheet'!C116="Area 3 (Saranya R)",'Master Sheet'!A116,"")</f>
        <v/>
      </c>
      <c r="B114" t="str">
        <f>IF('Master Sheet'!C116="Area 3 (Saranya R)",'Master Sheet'!B116,"")</f>
        <v/>
      </c>
      <c r="C114" t="s">
        <v>6</v>
      </c>
      <c r="D114" t="str">
        <f>IF('Master Sheet'!C116="Area 3 (Saranya R)",'Master Sheet'!D116,"")</f>
        <v/>
      </c>
      <c r="E114" t="str">
        <f>IF('Master Sheet'!C116="Area 3 (Saranya R)",'Master Sheet'!E116,"")</f>
        <v/>
      </c>
      <c r="F114" t="str">
        <f>IF('Master Sheet'!C116="Area 3 (Saranya R)",'Master Sheet'!F116,"")</f>
        <v/>
      </c>
      <c r="G114" t="str">
        <f>IF('Master Sheet'!C116="Area 3 (Saranya R)",'Master Sheet'!G116,"")</f>
        <v/>
      </c>
      <c r="H114" t="str">
        <f>IF('Master Sheet'!C116="Area 3 (Saranya R)",'Master Sheet'!H116,"")</f>
        <v/>
      </c>
      <c r="I114" t="str">
        <f>IF('Master Sheet'!C116="Area 3 (Saranya R)",'Master Sheet'!I116,"")</f>
        <v/>
      </c>
      <c r="J114" t="str">
        <f>IF('Master Sheet'!C116="Area 3 (Saranya R)",'Master Sheet'!J116,"")</f>
        <v/>
      </c>
      <c r="K114" t="str">
        <f>IF('Master Sheet'!C116="Area 3 (Saranya R)",'Master Sheet'!K116,"")</f>
        <v/>
      </c>
      <c r="L114" t="str">
        <f>IF('Master Sheet'!C116="Area 3 (Saranya R)",'Master Sheet'!L116,"")</f>
        <v/>
      </c>
      <c r="M114" t="str">
        <f>IF('Master Sheet'!C116="Area 3 (Saranya R)",'Master Sheet'!M116,"")</f>
        <v/>
      </c>
      <c r="N114" t="str">
        <f>IF('Master Sheet'!C116="Area 3 (Saranya R)",'Master Sheet'!N116,"")</f>
        <v/>
      </c>
      <c r="O114" t="str">
        <f>IF('Master Sheet'!C116="Area 3 (Saranya R)",'Master Sheet'!O116,"")</f>
        <v/>
      </c>
      <c r="P114" t="str">
        <f>IF('Master Sheet'!C116="Area 3 (Saranya R)",'Master Sheet'!P116,"")</f>
        <v/>
      </c>
    </row>
    <row r="115" spans="1:16" hidden="1" x14ac:dyDescent="0.25">
      <c r="A115" t="str">
        <f>IF('Master Sheet'!C117="Area 3 (Saranya R)",'Master Sheet'!A117,"")</f>
        <v/>
      </c>
      <c r="B115" t="str">
        <f>IF('Master Sheet'!C117="Area 3 (Saranya R)",'Master Sheet'!B117,"")</f>
        <v/>
      </c>
      <c r="C115" t="s">
        <v>6</v>
      </c>
      <c r="D115" t="str">
        <f>IF('Master Sheet'!C117="Area 3 (Saranya R)",'Master Sheet'!D117,"")</f>
        <v/>
      </c>
      <c r="E115" t="str">
        <f>IF('Master Sheet'!C117="Area 3 (Saranya R)",'Master Sheet'!E117,"")</f>
        <v/>
      </c>
      <c r="F115" t="str">
        <f>IF('Master Sheet'!C117="Area 3 (Saranya R)",'Master Sheet'!F117,"")</f>
        <v/>
      </c>
      <c r="G115" t="str">
        <f>IF('Master Sheet'!C117="Area 3 (Saranya R)",'Master Sheet'!G117,"")</f>
        <v/>
      </c>
      <c r="H115" t="str">
        <f>IF('Master Sheet'!C117="Area 3 (Saranya R)",'Master Sheet'!H117,"")</f>
        <v/>
      </c>
      <c r="I115" t="str">
        <f>IF('Master Sheet'!C117="Area 3 (Saranya R)",'Master Sheet'!I117,"")</f>
        <v/>
      </c>
      <c r="J115" t="str">
        <f>IF('Master Sheet'!C117="Area 3 (Saranya R)",'Master Sheet'!J117,"")</f>
        <v/>
      </c>
      <c r="K115" t="str">
        <f>IF('Master Sheet'!C117="Area 3 (Saranya R)",'Master Sheet'!K117,"")</f>
        <v/>
      </c>
      <c r="L115" t="str">
        <f>IF('Master Sheet'!C117="Area 3 (Saranya R)",'Master Sheet'!L117,"")</f>
        <v/>
      </c>
      <c r="M115" t="str">
        <f>IF('Master Sheet'!C117="Area 3 (Saranya R)",'Master Sheet'!M117,"")</f>
        <v/>
      </c>
      <c r="N115" t="str">
        <f>IF('Master Sheet'!C117="Area 3 (Saranya R)",'Master Sheet'!N117,"")</f>
        <v/>
      </c>
      <c r="O115" t="str">
        <f>IF('Master Sheet'!C117="Area 3 (Saranya R)",'Master Sheet'!O117,"")</f>
        <v/>
      </c>
      <c r="P115" t="str">
        <f>IF('Master Sheet'!C117="Area 3 (Saranya R)",'Master Sheet'!P117,"")</f>
        <v/>
      </c>
    </row>
    <row r="116" spans="1:16" hidden="1" x14ac:dyDescent="0.25">
      <c r="A116" t="str">
        <f>IF('Master Sheet'!C118="Area 3 (Saranya R)",'Master Sheet'!A118,"")</f>
        <v/>
      </c>
      <c r="B116" t="str">
        <f>IF('Master Sheet'!C118="Area 3 (Saranya R)",'Master Sheet'!B118,"")</f>
        <v/>
      </c>
      <c r="C116" t="s">
        <v>6</v>
      </c>
      <c r="D116" t="str">
        <f>IF('Master Sheet'!C118="Area 3 (Saranya R)",'Master Sheet'!D118,"")</f>
        <v/>
      </c>
      <c r="E116" t="str">
        <f>IF('Master Sheet'!C118="Area 3 (Saranya R)",'Master Sheet'!E118,"")</f>
        <v/>
      </c>
      <c r="F116" t="str">
        <f>IF('Master Sheet'!C118="Area 3 (Saranya R)",'Master Sheet'!F118,"")</f>
        <v/>
      </c>
      <c r="G116" t="str">
        <f>IF('Master Sheet'!C118="Area 3 (Saranya R)",'Master Sheet'!G118,"")</f>
        <v/>
      </c>
      <c r="H116" t="str">
        <f>IF('Master Sheet'!C118="Area 3 (Saranya R)",'Master Sheet'!H118,"")</f>
        <v/>
      </c>
      <c r="I116" t="str">
        <f>IF('Master Sheet'!C118="Area 3 (Saranya R)",'Master Sheet'!I118,"")</f>
        <v/>
      </c>
      <c r="J116" t="str">
        <f>IF('Master Sheet'!C118="Area 3 (Saranya R)",'Master Sheet'!J118,"")</f>
        <v/>
      </c>
      <c r="K116" t="str">
        <f>IF('Master Sheet'!C118="Area 3 (Saranya R)",'Master Sheet'!K118,"")</f>
        <v/>
      </c>
      <c r="L116" t="str">
        <f>IF('Master Sheet'!C118="Area 3 (Saranya R)",'Master Sheet'!L118,"")</f>
        <v/>
      </c>
      <c r="M116" t="str">
        <f>IF('Master Sheet'!C118="Area 3 (Saranya R)",'Master Sheet'!M118,"")</f>
        <v/>
      </c>
      <c r="N116" t="str">
        <f>IF('Master Sheet'!C118="Area 3 (Saranya R)",'Master Sheet'!N118,"")</f>
        <v/>
      </c>
      <c r="O116" t="str">
        <f>IF('Master Sheet'!C118="Area 3 (Saranya R)",'Master Sheet'!O118,"")</f>
        <v/>
      </c>
      <c r="P116" t="str">
        <f>IF('Master Sheet'!C118="Area 3 (Saranya R)",'Master Sheet'!P118,"")</f>
        <v/>
      </c>
    </row>
    <row r="117" spans="1:16" hidden="1" x14ac:dyDescent="0.25">
      <c r="A117" t="str">
        <f>IF('Master Sheet'!C119="Area 3 (Saranya R)",'Master Sheet'!A119,"")</f>
        <v/>
      </c>
      <c r="B117" t="str">
        <f>IF('Master Sheet'!C119="Area 3 (Saranya R)",'Master Sheet'!B119,"")</f>
        <v/>
      </c>
      <c r="C117" t="s">
        <v>6</v>
      </c>
      <c r="D117" t="str">
        <f>IF('Master Sheet'!C119="Area 3 (Saranya R)",'Master Sheet'!D119,"")</f>
        <v/>
      </c>
      <c r="E117" t="str">
        <f>IF('Master Sheet'!C119="Area 3 (Saranya R)",'Master Sheet'!E119,"")</f>
        <v/>
      </c>
      <c r="F117" t="str">
        <f>IF('Master Sheet'!C119="Area 3 (Saranya R)",'Master Sheet'!F119,"")</f>
        <v/>
      </c>
      <c r="G117" t="str">
        <f>IF('Master Sheet'!C119="Area 3 (Saranya R)",'Master Sheet'!G119,"")</f>
        <v/>
      </c>
      <c r="H117" t="str">
        <f>IF('Master Sheet'!C119="Area 3 (Saranya R)",'Master Sheet'!H119,"")</f>
        <v/>
      </c>
      <c r="I117" t="str">
        <f>IF('Master Sheet'!C119="Area 3 (Saranya R)",'Master Sheet'!I119,"")</f>
        <v/>
      </c>
      <c r="J117" t="str">
        <f>IF('Master Sheet'!C119="Area 3 (Saranya R)",'Master Sheet'!J119,"")</f>
        <v/>
      </c>
      <c r="K117" t="str">
        <f>IF('Master Sheet'!C119="Area 3 (Saranya R)",'Master Sheet'!K119,"")</f>
        <v/>
      </c>
      <c r="L117" t="str">
        <f>IF('Master Sheet'!C119="Area 3 (Saranya R)",'Master Sheet'!L119,"")</f>
        <v/>
      </c>
      <c r="M117" t="str">
        <f>IF('Master Sheet'!C119="Area 3 (Saranya R)",'Master Sheet'!M119,"")</f>
        <v/>
      </c>
      <c r="N117" t="str">
        <f>IF('Master Sheet'!C119="Area 3 (Saranya R)",'Master Sheet'!N119,"")</f>
        <v/>
      </c>
      <c r="O117" t="str">
        <f>IF('Master Sheet'!C119="Area 3 (Saranya R)",'Master Sheet'!O119,"")</f>
        <v/>
      </c>
      <c r="P117" t="str">
        <f>IF('Master Sheet'!C119="Area 3 (Saranya R)",'Master Sheet'!P119,"")</f>
        <v/>
      </c>
    </row>
    <row r="118" spans="1:16" hidden="1" x14ac:dyDescent="0.25">
      <c r="A118" t="str">
        <f>IF('Master Sheet'!C120="Area 3 (Saranya R)",'Master Sheet'!A120,"")</f>
        <v/>
      </c>
      <c r="B118" t="str">
        <f>IF('Master Sheet'!C120="Area 3 (Saranya R)",'Master Sheet'!B120,"")</f>
        <v/>
      </c>
      <c r="C118" t="s">
        <v>6</v>
      </c>
      <c r="D118" t="str">
        <f>IF('Master Sheet'!C120="Area 3 (Saranya R)",'Master Sheet'!D120,"")</f>
        <v/>
      </c>
      <c r="E118" t="str">
        <f>IF('Master Sheet'!C120="Area 3 (Saranya R)",'Master Sheet'!E120,"")</f>
        <v/>
      </c>
      <c r="F118" t="str">
        <f>IF('Master Sheet'!C120="Area 3 (Saranya R)",'Master Sheet'!F120,"")</f>
        <v/>
      </c>
      <c r="G118" t="str">
        <f>IF('Master Sheet'!C120="Area 3 (Saranya R)",'Master Sheet'!G120,"")</f>
        <v/>
      </c>
      <c r="H118" t="str">
        <f>IF('Master Sheet'!C120="Area 3 (Saranya R)",'Master Sheet'!H120,"")</f>
        <v/>
      </c>
      <c r="I118" t="str">
        <f>IF('Master Sheet'!C120="Area 3 (Saranya R)",'Master Sheet'!I120,"")</f>
        <v/>
      </c>
      <c r="J118" t="str">
        <f>IF('Master Sheet'!C120="Area 3 (Saranya R)",'Master Sheet'!J120,"")</f>
        <v/>
      </c>
      <c r="K118" t="str">
        <f>IF('Master Sheet'!C120="Area 3 (Saranya R)",'Master Sheet'!K120,"")</f>
        <v/>
      </c>
      <c r="L118" t="str">
        <f>IF('Master Sheet'!C120="Area 3 (Saranya R)",'Master Sheet'!L120,"")</f>
        <v/>
      </c>
      <c r="M118" t="str">
        <f>IF('Master Sheet'!C120="Area 3 (Saranya R)",'Master Sheet'!M120,"")</f>
        <v/>
      </c>
      <c r="N118" t="str">
        <f>IF('Master Sheet'!C120="Area 3 (Saranya R)",'Master Sheet'!N120,"")</f>
        <v/>
      </c>
      <c r="O118" t="str">
        <f>IF('Master Sheet'!C120="Area 3 (Saranya R)",'Master Sheet'!O120,"")</f>
        <v/>
      </c>
      <c r="P118" t="str">
        <f>IF('Master Sheet'!C120="Area 3 (Saranya R)",'Master Sheet'!P120,"")</f>
        <v/>
      </c>
    </row>
    <row r="119" spans="1:16" hidden="1" x14ac:dyDescent="0.25">
      <c r="A119" t="str">
        <f>IF('Master Sheet'!C121="Area 3 (Saranya R)",'Master Sheet'!A121,"")</f>
        <v/>
      </c>
      <c r="B119" t="str">
        <f>IF('Master Sheet'!C121="Area 3 (Saranya R)",'Master Sheet'!B121,"")</f>
        <v/>
      </c>
      <c r="C119" t="s">
        <v>6</v>
      </c>
      <c r="D119" t="str">
        <f>IF('Master Sheet'!C121="Area 3 (Saranya R)",'Master Sheet'!D121,"")</f>
        <v/>
      </c>
      <c r="E119" t="str">
        <f>IF('Master Sheet'!C121="Area 3 (Saranya R)",'Master Sheet'!E121,"")</f>
        <v/>
      </c>
      <c r="F119" t="str">
        <f>IF('Master Sheet'!C121="Area 3 (Saranya R)",'Master Sheet'!F121,"")</f>
        <v/>
      </c>
      <c r="G119" t="str">
        <f>IF('Master Sheet'!C121="Area 3 (Saranya R)",'Master Sheet'!G121,"")</f>
        <v/>
      </c>
      <c r="H119" t="str">
        <f>IF('Master Sheet'!C121="Area 3 (Saranya R)",'Master Sheet'!H121,"")</f>
        <v/>
      </c>
      <c r="I119" t="str">
        <f>IF('Master Sheet'!C121="Area 3 (Saranya R)",'Master Sheet'!I121,"")</f>
        <v/>
      </c>
      <c r="J119" t="str">
        <f>IF('Master Sheet'!C121="Area 3 (Saranya R)",'Master Sheet'!J121,"")</f>
        <v/>
      </c>
      <c r="K119" t="str">
        <f>IF('Master Sheet'!C121="Area 3 (Saranya R)",'Master Sheet'!K121,"")</f>
        <v/>
      </c>
      <c r="L119" t="str">
        <f>IF('Master Sheet'!C121="Area 3 (Saranya R)",'Master Sheet'!L121,"")</f>
        <v/>
      </c>
      <c r="M119" t="str">
        <f>IF('Master Sheet'!C121="Area 3 (Saranya R)",'Master Sheet'!M121,"")</f>
        <v/>
      </c>
      <c r="N119" t="str">
        <f>IF('Master Sheet'!C121="Area 3 (Saranya R)",'Master Sheet'!N121,"")</f>
        <v/>
      </c>
      <c r="O119" t="str">
        <f>IF('Master Sheet'!C121="Area 3 (Saranya R)",'Master Sheet'!O121,"")</f>
        <v/>
      </c>
      <c r="P119" t="str">
        <f>IF('Master Sheet'!C121="Area 3 (Saranya R)",'Master Sheet'!P121,"")</f>
        <v/>
      </c>
    </row>
    <row r="120" spans="1:16" hidden="1" x14ac:dyDescent="0.25">
      <c r="A120" t="str">
        <f>IF('Master Sheet'!C122="Area 3 (Saranya R)",'Master Sheet'!A122,"")</f>
        <v/>
      </c>
      <c r="B120" t="str">
        <f>IF('Master Sheet'!C122="Area 3 (Saranya R)",'Master Sheet'!B122,"")</f>
        <v/>
      </c>
      <c r="C120" t="s">
        <v>6</v>
      </c>
      <c r="D120" t="str">
        <f>IF('Master Sheet'!C122="Area 3 (Saranya R)",'Master Sheet'!D122,"")</f>
        <v/>
      </c>
      <c r="E120" t="str">
        <f>IF('Master Sheet'!C122="Area 3 (Saranya R)",'Master Sheet'!E122,"")</f>
        <v/>
      </c>
      <c r="F120" t="str">
        <f>IF('Master Sheet'!C122="Area 3 (Saranya R)",'Master Sheet'!F122,"")</f>
        <v/>
      </c>
      <c r="G120" t="str">
        <f>IF('Master Sheet'!C122="Area 3 (Saranya R)",'Master Sheet'!G122,"")</f>
        <v/>
      </c>
      <c r="H120" t="str">
        <f>IF('Master Sheet'!C122="Area 3 (Saranya R)",'Master Sheet'!H122,"")</f>
        <v/>
      </c>
      <c r="I120" t="str">
        <f>IF('Master Sheet'!C122="Area 3 (Saranya R)",'Master Sheet'!I122,"")</f>
        <v/>
      </c>
      <c r="J120" t="str">
        <f>IF('Master Sheet'!C122="Area 3 (Saranya R)",'Master Sheet'!J122,"")</f>
        <v/>
      </c>
      <c r="K120" t="str">
        <f>IF('Master Sheet'!C122="Area 3 (Saranya R)",'Master Sheet'!K122,"")</f>
        <v/>
      </c>
      <c r="L120" t="str">
        <f>IF('Master Sheet'!C122="Area 3 (Saranya R)",'Master Sheet'!L122,"")</f>
        <v/>
      </c>
      <c r="M120" t="str">
        <f>IF('Master Sheet'!C122="Area 3 (Saranya R)",'Master Sheet'!M122,"")</f>
        <v/>
      </c>
      <c r="N120" t="str">
        <f>IF('Master Sheet'!C122="Area 3 (Saranya R)",'Master Sheet'!N122,"")</f>
        <v/>
      </c>
      <c r="O120" t="str">
        <f>IF('Master Sheet'!C122="Area 3 (Saranya R)",'Master Sheet'!O122,"")</f>
        <v/>
      </c>
      <c r="P120" t="str">
        <f>IF('Master Sheet'!C122="Area 3 (Saranya R)",'Master Sheet'!P122,"")</f>
        <v/>
      </c>
    </row>
    <row r="121" spans="1:16" hidden="1" x14ac:dyDescent="0.25">
      <c r="A121" t="str">
        <f>IF('Master Sheet'!C123="Area 3 (Saranya R)",'Master Sheet'!A123,"")</f>
        <v/>
      </c>
      <c r="B121" t="str">
        <f>IF('Master Sheet'!C123="Area 3 (Saranya R)",'Master Sheet'!B123,"")</f>
        <v/>
      </c>
      <c r="C121" t="s">
        <v>6</v>
      </c>
      <c r="D121" t="str">
        <f>IF('Master Sheet'!C123="Area 3 (Saranya R)",'Master Sheet'!D123,"")</f>
        <v/>
      </c>
      <c r="E121" t="str">
        <f>IF('Master Sheet'!C123="Area 3 (Saranya R)",'Master Sheet'!E123,"")</f>
        <v/>
      </c>
      <c r="F121" t="str">
        <f>IF('Master Sheet'!C123="Area 3 (Saranya R)",'Master Sheet'!F123,"")</f>
        <v/>
      </c>
      <c r="G121" t="str">
        <f>IF('Master Sheet'!C123="Area 3 (Saranya R)",'Master Sheet'!G123,"")</f>
        <v/>
      </c>
      <c r="H121" t="str">
        <f>IF('Master Sheet'!C123="Area 3 (Saranya R)",'Master Sheet'!H123,"")</f>
        <v/>
      </c>
      <c r="I121" t="str">
        <f>IF('Master Sheet'!C123="Area 3 (Saranya R)",'Master Sheet'!I123,"")</f>
        <v/>
      </c>
      <c r="J121" t="str">
        <f>IF('Master Sheet'!C123="Area 3 (Saranya R)",'Master Sheet'!J123,"")</f>
        <v/>
      </c>
      <c r="K121" t="str">
        <f>IF('Master Sheet'!C123="Area 3 (Saranya R)",'Master Sheet'!K123,"")</f>
        <v/>
      </c>
      <c r="L121" t="str">
        <f>IF('Master Sheet'!C123="Area 3 (Saranya R)",'Master Sheet'!L123,"")</f>
        <v/>
      </c>
      <c r="M121" t="str">
        <f>IF('Master Sheet'!C123="Area 3 (Saranya R)",'Master Sheet'!M123,"")</f>
        <v/>
      </c>
      <c r="N121" t="str">
        <f>IF('Master Sheet'!C123="Area 3 (Saranya R)",'Master Sheet'!N123,"")</f>
        <v/>
      </c>
      <c r="O121" t="str">
        <f>IF('Master Sheet'!C123="Area 3 (Saranya R)",'Master Sheet'!O123,"")</f>
        <v/>
      </c>
      <c r="P121" t="str">
        <f>IF('Master Sheet'!C123="Area 3 (Saranya R)",'Master Sheet'!P123,"")</f>
        <v/>
      </c>
    </row>
    <row r="122" spans="1:16" hidden="1" x14ac:dyDescent="0.25">
      <c r="A122" t="str">
        <f>IF('Master Sheet'!C124="Area 3 (Saranya R)",'Master Sheet'!A124,"")</f>
        <v/>
      </c>
      <c r="B122" t="str">
        <f>IF('Master Sheet'!C124="Area 3 (Saranya R)",'Master Sheet'!B124,"")</f>
        <v/>
      </c>
      <c r="C122" t="s">
        <v>6</v>
      </c>
      <c r="D122" t="str">
        <f>IF('Master Sheet'!C124="Area 3 (Saranya R)",'Master Sheet'!D124,"")</f>
        <v/>
      </c>
      <c r="E122" t="str">
        <f>IF('Master Sheet'!C124="Area 3 (Saranya R)",'Master Sheet'!E124,"")</f>
        <v/>
      </c>
      <c r="F122" t="str">
        <f>IF('Master Sheet'!C124="Area 3 (Saranya R)",'Master Sheet'!F124,"")</f>
        <v/>
      </c>
      <c r="G122" t="str">
        <f>IF('Master Sheet'!C124="Area 3 (Saranya R)",'Master Sheet'!G124,"")</f>
        <v/>
      </c>
      <c r="H122" t="str">
        <f>IF('Master Sheet'!C124="Area 3 (Saranya R)",'Master Sheet'!H124,"")</f>
        <v/>
      </c>
      <c r="I122" t="str">
        <f>IF('Master Sheet'!C124="Area 3 (Saranya R)",'Master Sheet'!I124,"")</f>
        <v/>
      </c>
      <c r="J122" t="str">
        <f>IF('Master Sheet'!C124="Area 3 (Saranya R)",'Master Sheet'!J124,"")</f>
        <v/>
      </c>
      <c r="K122" t="str">
        <f>IF('Master Sheet'!C124="Area 3 (Saranya R)",'Master Sheet'!K124,"")</f>
        <v/>
      </c>
      <c r="L122" t="str">
        <f>IF('Master Sheet'!C124="Area 3 (Saranya R)",'Master Sheet'!L124,"")</f>
        <v/>
      </c>
      <c r="M122" t="str">
        <f>IF('Master Sheet'!C124="Area 3 (Saranya R)",'Master Sheet'!M124,"")</f>
        <v/>
      </c>
      <c r="N122" t="str">
        <f>IF('Master Sheet'!C124="Area 3 (Saranya R)",'Master Sheet'!N124,"")</f>
        <v/>
      </c>
      <c r="O122" t="str">
        <f>IF('Master Sheet'!C124="Area 3 (Saranya R)",'Master Sheet'!O124,"")</f>
        <v/>
      </c>
      <c r="P122" t="str">
        <f>IF('Master Sheet'!C124="Area 3 (Saranya R)",'Master Sheet'!P124,"")</f>
        <v/>
      </c>
    </row>
    <row r="123" spans="1:16" hidden="1" x14ac:dyDescent="0.25">
      <c r="A123" t="str">
        <f>IF('Master Sheet'!C125="Area 3 (Saranya R)",'Master Sheet'!A125,"")</f>
        <v/>
      </c>
      <c r="B123" t="str">
        <f>IF('Master Sheet'!C125="Area 3 (Saranya R)",'Master Sheet'!B125,"")</f>
        <v/>
      </c>
      <c r="C123" t="s">
        <v>6</v>
      </c>
      <c r="D123" t="str">
        <f>IF('Master Sheet'!C125="Area 3 (Saranya R)",'Master Sheet'!D125,"")</f>
        <v/>
      </c>
      <c r="E123" t="str">
        <f>IF('Master Sheet'!C125="Area 3 (Saranya R)",'Master Sheet'!E125,"")</f>
        <v/>
      </c>
      <c r="F123" t="str">
        <f>IF('Master Sheet'!C125="Area 3 (Saranya R)",'Master Sheet'!F125,"")</f>
        <v/>
      </c>
      <c r="G123" t="str">
        <f>IF('Master Sheet'!C125="Area 3 (Saranya R)",'Master Sheet'!G125,"")</f>
        <v/>
      </c>
      <c r="H123" t="str">
        <f>IF('Master Sheet'!C125="Area 3 (Saranya R)",'Master Sheet'!H125,"")</f>
        <v/>
      </c>
      <c r="I123" t="str">
        <f>IF('Master Sheet'!C125="Area 3 (Saranya R)",'Master Sheet'!I125,"")</f>
        <v/>
      </c>
      <c r="J123" t="str">
        <f>IF('Master Sheet'!C125="Area 3 (Saranya R)",'Master Sheet'!J125,"")</f>
        <v/>
      </c>
      <c r="K123" t="str">
        <f>IF('Master Sheet'!C125="Area 3 (Saranya R)",'Master Sheet'!K125,"")</f>
        <v/>
      </c>
      <c r="L123" t="str">
        <f>IF('Master Sheet'!C125="Area 3 (Saranya R)",'Master Sheet'!L125,"")</f>
        <v/>
      </c>
      <c r="M123" t="str">
        <f>IF('Master Sheet'!C125="Area 3 (Saranya R)",'Master Sheet'!M125,"")</f>
        <v/>
      </c>
      <c r="N123" t="str">
        <f>IF('Master Sheet'!C125="Area 3 (Saranya R)",'Master Sheet'!N125,"")</f>
        <v/>
      </c>
      <c r="O123" t="str">
        <f>IF('Master Sheet'!C125="Area 3 (Saranya R)",'Master Sheet'!O125,"")</f>
        <v/>
      </c>
      <c r="P123" t="str">
        <f>IF('Master Sheet'!C125="Area 3 (Saranya R)",'Master Sheet'!P125,"")</f>
        <v/>
      </c>
    </row>
    <row r="124" spans="1:16" hidden="1" x14ac:dyDescent="0.25">
      <c r="A124" t="str">
        <f>IF('Master Sheet'!C126="Area 3 (Saranya R)",'Master Sheet'!A126,"")</f>
        <v/>
      </c>
      <c r="B124" t="str">
        <f>IF('Master Sheet'!C126="Area 3 (Saranya R)",'Master Sheet'!B126,"")</f>
        <v/>
      </c>
      <c r="C124" t="s">
        <v>6</v>
      </c>
      <c r="D124" t="str">
        <f>IF('Master Sheet'!C126="Area 3 (Saranya R)",'Master Sheet'!D126,"")</f>
        <v/>
      </c>
      <c r="E124" t="str">
        <f>IF('Master Sheet'!C126="Area 3 (Saranya R)",'Master Sheet'!E126,"")</f>
        <v/>
      </c>
      <c r="F124" t="str">
        <f>IF('Master Sheet'!C126="Area 3 (Saranya R)",'Master Sheet'!F126,"")</f>
        <v/>
      </c>
      <c r="G124" t="str">
        <f>IF('Master Sheet'!C126="Area 3 (Saranya R)",'Master Sheet'!G126,"")</f>
        <v/>
      </c>
      <c r="H124" t="str">
        <f>IF('Master Sheet'!C126="Area 3 (Saranya R)",'Master Sheet'!H126,"")</f>
        <v/>
      </c>
      <c r="I124" t="str">
        <f>IF('Master Sheet'!C126="Area 3 (Saranya R)",'Master Sheet'!I126,"")</f>
        <v/>
      </c>
      <c r="J124" t="str">
        <f>IF('Master Sheet'!C126="Area 3 (Saranya R)",'Master Sheet'!J126,"")</f>
        <v/>
      </c>
      <c r="K124" t="str">
        <f>IF('Master Sheet'!C126="Area 3 (Saranya R)",'Master Sheet'!K126,"")</f>
        <v/>
      </c>
      <c r="L124" t="str">
        <f>IF('Master Sheet'!C126="Area 3 (Saranya R)",'Master Sheet'!L126,"")</f>
        <v/>
      </c>
      <c r="M124" t="str">
        <f>IF('Master Sheet'!C126="Area 3 (Saranya R)",'Master Sheet'!M126,"")</f>
        <v/>
      </c>
      <c r="N124" t="str">
        <f>IF('Master Sheet'!C126="Area 3 (Saranya R)",'Master Sheet'!N126,"")</f>
        <v/>
      </c>
      <c r="O124" t="str">
        <f>IF('Master Sheet'!C126="Area 3 (Saranya R)",'Master Sheet'!O126,"")</f>
        <v/>
      </c>
      <c r="P124" t="str">
        <f>IF('Master Sheet'!C126="Area 3 (Saranya R)",'Master Sheet'!P126,"")</f>
        <v/>
      </c>
    </row>
    <row r="125" spans="1:16" hidden="1" x14ac:dyDescent="0.25">
      <c r="A125" t="str">
        <f>IF('Master Sheet'!C127="Area 3 (Saranya R)",'Master Sheet'!A127,"")</f>
        <v/>
      </c>
      <c r="B125" t="str">
        <f>IF('Master Sheet'!C127="Area 3 (Saranya R)",'Master Sheet'!B127,"")</f>
        <v/>
      </c>
      <c r="C125" t="s">
        <v>6</v>
      </c>
      <c r="D125" t="str">
        <f>IF('Master Sheet'!C127="Area 3 (Saranya R)",'Master Sheet'!D127,"")</f>
        <v/>
      </c>
      <c r="E125" t="str">
        <f>IF('Master Sheet'!C127="Area 3 (Saranya R)",'Master Sheet'!E127,"")</f>
        <v/>
      </c>
      <c r="F125" t="str">
        <f>IF('Master Sheet'!C127="Area 3 (Saranya R)",'Master Sheet'!F127,"")</f>
        <v/>
      </c>
      <c r="G125" t="str">
        <f>IF('Master Sheet'!C127="Area 3 (Saranya R)",'Master Sheet'!G127,"")</f>
        <v/>
      </c>
      <c r="H125" t="str">
        <f>IF('Master Sheet'!C127="Area 3 (Saranya R)",'Master Sheet'!H127,"")</f>
        <v/>
      </c>
      <c r="I125" t="str">
        <f>IF('Master Sheet'!C127="Area 3 (Saranya R)",'Master Sheet'!I127,"")</f>
        <v/>
      </c>
      <c r="J125" t="str">
        <f>IF('Master Sheet'!C127="Area 3 (Saranya R)",'Master Sheet'!J127,"")</f>
        <v/>
      </c>
      <c r="K125" t="str">
        <f>IF('Master Sheet'!C127="Area 3 (Saranya R)",'Master Sheet'!K127,"")</f>
        <v/>
      </c>
      <c r="L125" t="str">
        <f>IF('Master Sheet'!C127="Area 3 (Saranya R)",'Master Sheet'!L127,"")</f>
        <v/>
      </c>
      <c r="M125" t="str">
        <f>IF('Master Sheet'!C127="Area 3 (Saranya R)",'Master Sheet'!M127,"")</f>
        <v/>
      </c>
      <c r="N125" t="str">
        <f>IF('Master Sheet'!C127="Area 3 (Saranya R)",'Master Sheet'!N127,"")</f>
        <v/>
      </c>
      <c r="O125" t="str">
        <f>IF('Master Sheet'!C127="Area 3 (Saranya R)",'Master Sheet'!O127,"")</f>
        <v/>
      </c>
      <c r="P125" t="str">
        <f>IF('Master Sheet'!C127="Area 3 (Saranya R)",'Master Sheet'!P127,"")</f>
        <v/>
      </c>
    </row>
    <row r="126" spans="1:16" hidden="1" x14ac:dyDescent="0.25">
      <c r="A126" t="str">
        <f>IF('Master Sheet'!C128="Area 3 (Saranya R)",'Master Sheet'!A128,"")</f>
        <v/>
      </c>
      <c r="B126" t="str">
        <f>IF('Master Sheet'!C128="Area 3 (Saranya R)",'Master Sheet'!B128,"")</f>
        <v/>
      </c>
      <c r="C126" t="s">
        <v>6</v>
      </c>
      <c r="D126" t="str">
        <f>IF('Master Sheet'!C128="Area 3 (Saranya R)",'Master Sheet'!D128,"")</f>
        <v/>
      </c>
      <c r="E126" t="str">
        <f>IF('Master Sheet'!C128="Area 3 (Saranya R)",'Master Sheet'!E128,"")</f>
        <v/>
      </c>
      <c r="F126" t="str">
        <f>IF('Master Sheet'!C128="Area 3 (Saranya R)",'Master Sheet'!F128,"")</f>
        <v/>
      </c>
      <c r="G126" t="str">
        <f>IF('Master Sheet'!C128="Area 3 (Saranya R)",'Master Sheet'!G128,"")</f>
        <v/>
      </c>
      <c r="H126" t="str">
        <f>IF('Master Sheet'!C128="Area 3 (Saranya R)",'Master Sheet'!H128,"")</f>
        <v/>
      </c>
      <c r="I126" t="str">
        <f>IF('Master Sheet'!C128="Area 3 (Saranya R)",'Master Sheet'!I128,"")</f>
        <v/>
      </c>
      <c r="J126" t="str">
        <f>IF('Master Sheet'!C128="Area 3 (Saranya R)",'Master Sheet'!J128,"")</f>
        <v/>
      </c>
      <c r="K126" t="str">
        <f>IF('Master Sheet'!C128="Area 3 (Saranya R)",'Master Sheet'!K128,"")</f>
        <v/>
      </c>
      <c r="L126" t="str">
        <f>IF('Master Sheet'!C128="Area 3 (Saranya R)",'Master Sheet'!L128,"")</f>
        <v/>
      </c>
      <c r="M126" t="str">
        <f>IF('Master Sheet'!C128="Area 3 (Saranya R)",'Master Sheet'!M128,"")</f>
        <v/>
      </c>
      <c r="N126" t="str">
        <f>IF('Master Sheet'!C128="Area 3 (Saranya R)",'Master Sheet'!N128,"")</f>
        <v/>
      </c>
      <c r="O126" t="str">
        <f>IF('Master Sheet'!C128="Area 3 (Saranya R)",'Master Sheet'!O128,"")</f>
        <v/>
      </c>
      <c r="P126" t="str">
        <f>IF('Master Sheet'!C128="Area 3 (Saranya R)",'Master Sheet'!P128,"")</f>
        <v/>
      </c>
    </row>
    <row r="127" spans="1:16" hidden="1" x14ac:dyDescent="0.25">
      <c r="A127" t="str">
        <f>IF('Master Sheet'!C129="Area 3 (Saranya R)",'Master Sheet'!A129,"")</f>
        <v/>
      </c>
      <c r="B127" t="str">
        <f>IF('Master Sheet'!C129="Area 3 (Saranya R)",'Master Sheet'!B129,"")</f>
        <v/>
      </c>
      <c r="C127" t="s">
        <v>6</v>
      </c>
      <c r="D127" t="str">
        <f>IF('Master Sheet'!C129="Area 3 (Saranya R)",'Master Sheet'!D129,"")</f>
        <v/>
      </c>
      <c r="E127" t="str">
        <f>IF('Master Sheet'!C129="Area 3 (Saranya R)",'Master Sheet'!E129,"")</f>
        <v/>
      </c>
      <c r="F127" t="str">
        <f>IF('Master Sheet'!C129="Area 3 (Saranya R)",'Master Sheet'!F129,"")</f>
        <v/>
      </c>
      <c r="G127" t="str">
        <f>IF('Master Sheet'!C129="Area 3 (Saranya R)",'Master Sheet'!G129,"")</f>
        <v/>
      </c>
      <c r="H127" t="str">
        <f>IF('Master Sheet'!C129="Area 3 (Saranya R)",'Master Sheet'!H129,"")</f>
        <v/>
      </c>
      <c r="I127" t="str">
        <f>IF('Master Sheet'!C129="Area 3 (Saranya R)",'Master Sheet'!I129,"")</f>
        <v/>
      </c>
      <c r="J127" t="str">
        <f>IF('Master Sheet'!C129="Area 3 (Saranya R)",'Master Sheet'!J129,"")</f>
        <v/>
      </c>
      <c r="K127" t="str">
        <f>IF('Master Sheet'!C129="Area 3 (Saranya R)",'Master Sheet'!K129,"")</f>
        <v/>
      </c>
      <c r="L127" t="str">
        <f>IF('Master Sheet'!C129="Area 3 (Saranya R)",'Master Sheet'!L129,"")</f>
        <v/>
      </c>
      <c r="M127" t="str">
        <f>IF('Master Sheet'!C129="Area 3 (Saranya R)",'Master Sheet'!M129,"")</f>
        <v/>
      </c>
      <c r="N127" t="str">
        <f>IF('Master Sheet'!C129="Area 3 (Saranya R)",'Master Sheet'!N129,"")</f>
        <v/>
      </c>
      <c r="O127" t="str">
        <f>IF('Master Sheet'!C129="Area 3 (Saranya R)",'Master Sheet'!O129,"")</f>
        <v/>
      </c>
      <c r="P127" t="str">
        <f>IF('Master Sheet'!C129="Area 3 (Saranya R)",'Master Sheet'!P129,"")</f>
        <v/>
      </c>
    </row>
    <row r="128" spans="1:16" hidden="1" x14ac:dyDescent="0.25">
      <c r="A128" t="str">
        <f>IF('Master Sheet'!C130="Area 3 (Saranya R)",'Master Sheet'!A130,"")</f>
        <v/>
      </c>
      <c r="B128" t="str">
        <f>IF('Master Sheet'!C130="Area 3 (Saranya R)",'Master Sheet'!B130,"")</f>
        <v/>
      </c>
      <c r="C128" t="s">
        <v>6</v>
      </c>
      <c r="D128" t="str">
        <f>IF('Master Sheet'!C130="Area 3 (Saranya R)",'Master Sheet'!D130,"")</f>
        <v/>
      </c>
      <c r="E128" t="str">
        <f>IF('Master Sheet'!C130="Area 3 (Saranya R)",'Master Sheet'!E130,"")</f>
        <v/>
      </c>
      <c r="F128" t="str">
        <f>IF('Master Sheet'!C130="Area 3 (Saranya R)",'Master Sheet'!F130,"")</f>
        <v/>
      </c>
      <c r="G128" t="str">
        <f>IF('Master Sheet'!C130="Area 3 (Saranya R)",'Master Sheet'!G130,"")</f>
        <v/>
      </c>
      <c r="H128" t="str">
        <f>IF('Master Sheet'!C130="Area 3 (Saranya R)",'Master Sheet'!H130,"")</f>
        <v/>
      </c>
      <c r="I128" t="str">
        <f>IF('Master Sheet'!C130="Area 3 (Saranya R)",'Master Sheet'!I130,"")</f>
        <v/>
      </c>
      <c r="J128" t="str">
        <f>IF('Master Sheet'!C130="Area 3 (Saranya R)",'Master Sheet'!J130,"")</f>
        <v/>
      </c>
      <c r="K128" t="str">
        <f>IF('Master Sheet'!C130="Area 3 (Saranya R)",'Master Sheet'!K130,"")</f>
        <v/>
      </c>
      <c r="L128" t="str">
        <f>IF('Master Sheet'!C130="Area 3 (Saranya R)",'Master Sheet'!L130,"")</f>
        <v/>
      </c>
      <c r="M128" t="str">
        <f>IF('Master Sheet'!C130="Area 3 (Saranya R)",'Master Sheet'!M130,"")</f>
        <v/>
      </c>
      <c r="N128" t="str">
        <f>IF('Master Sheet'!C130="Area 3 (Saranya R)",'Master Sheet'!N130,"")</f>
        <v/>
      </c>
      <c r="O128" t="str">
        <f>IF('Master Sheet'!C130="Area 3 (Saranya R)",'Master Sheet'!O130,"")</f>
        <v/>
      </c>
      <c r="P128" t="str">
        <f>IF('Master Sheet'!C130="Area 3 (Saranya R)",'Master Sheet'!P130,"")</f>
        <v/>
      </c>
    </row>
    <row r="129" spans="1:16" hidden="1" x14ac:dyDescent="0.25">
      <c r="A129" t="str">
        <f>IF('Master Sheet'!C131="Area 3 (Saranya R)",'Master Sheet'!A131,"")</f>
        <v/>
      </c>
      <c r="B129" t="str">
        <f>IF('Master Sheet'!C131="Area 3 (Saranya R)",'Master Sheet'!B131,"")</f>
        <v/>
      </c>
      <c r="C129" t="s">
        <v>6</v>
      </c>
      <c r="D129" t="str">
        <f>IF('Master Sheet'!C131="Area 3 (Saranya R)",'Master Sheet'!D131,"")</f>
        <v/>
      </c>
      <c r="E129" t="str">
        <f>IF('Master Sheet'!C131="Area 3 (Saranya R)",'Master Sheet'!E131,"")</f>
        <v/>
      </c>
      <c r="F129" t="str">
        <f>IF('Master Sheet'!C131="Area 3 (Saranya R)",'Master Sheet'!F131,"")</f>
        <v/>
      </c>
      <c r="G129" t="str">
        <f>IF('Master Sheet'!C131="Area 3 (Saranya R)",'Master Sheet'!G131,"")</f>
        <v/>
      </c>
      <c r="H129" t="str">
        <f>IF('Master Sheet'!C131="Area 3 (Saranya R)",'Master Sheet'!H131,"")</f>
        <v/>
      </c>
      <c r="I129" t="str">
        <f>IF('Master Sheet'!C131="Area 3 (Saranya R)",'Master Sheet'!I131,"")</f>
        <v/>
      </c>
      <c r="J129" t="str">
        <f>IF('Master Sheet'!C131="Area 3 (Saranya R)",'Master Sheet'!J131,"")</f>
        <v/>
      </c>
      <c r="K129" t="str">
        <f>IF('Master Sheet'!C131="Area 3 (Saranya R)",'Master Sheet'!K131,"")</f>
        <v/>
      </c>
      <c r="L129" t="str">
        <f>IF('Master Sheet'!C131="Area 3 (Saranya R)",'Master Sheet'!L131,"")</f>
        <v/>
      </c>
      <c r="M129" t="str">
        <f>IF('Master Sheet'!C131="Area 3 (Saranya R)",'Master Sheet'!M131,"")</f>
        <v/>
      </c>
      <c r="N129" t="str">
        <f>IF('Master Sheet'!C131="Area 3 (Saranya R)",'Master Sheet'!N131,"")</f>
        <v/>
      </c>
      <c r="O129" t="str">
        <f>IF('Master Sheet'!C131="Area 3 (Saranya R)",'Master Sheet'!O131,"")</f>
        <v/>
      </c>
      <c r="P129" t="str">
        <f>IF('Master Sheet'!C131="Area 3 (Saranya R)",'Master Sheet'!P131,"")</f>
        <v/>
      </c>
    </row>
    <row r="130" spans="1:16" hidden="1" x14ac:dyDescent="0.25">
      <c r="A130" t="str">
        <f>IF('Master Sheet'!C132="Area 3 (Saranya R)",'Master Sheet'!A132,"")</f>
        <v/>
      </c>
      <c r="B130" t="str">
        <f>IF('Master Sheet'!C132="Area 3 (Saranya R)",'Master Sheet'!B132,"")</f>
        <v/>
      </c>
      <c r="C130" t="s">
        <v>6</v>
      </c>
      <c r="D130" t="str">
        <f>IF('Master Sheet'!C132="Area 3 (Saranya R)",'Master Sheet'!D132,"")</f>
        <v/>
      </c>
      <c r="E130" t="str">
        <f>IF('Master Sheet'!C132="Area 3 (Saranya R)",'Master Sheet'!E132,"")</f>
        <v/>
      </c>
      <c r="F130" t="str">
        <f>IF('Master Sheet'!C132="Area 3 (Saranya R)",'Master Sheet'!F132,"")</f>
        <v/>
      </c>
      <c r="G130" t="str">
        <f>IF('Master Sheet'!C132="Area 3 (Saranya R)",'Master Sheet'!G132,"")</f>
        <v/>
      </c>
      <c r="H130" t="str">
        <f>IF('Master Sheet'!C132="Area 3 (Saranya R)",'Master Sheet'!H132,"")</f>
        <v/>
      </c>
      <c r="I130" t="str">
        <f>IF('Master Sheet'!C132="Area 3 (Saranya R)",'Master Sheet'!I132,"")</f>
        <v/>
      </c>
      <c r="J130" t="str">
        <f>IF('Master Sheet'!C132="Area 3 (Saranya R)",'Master Sheet'!J132,"")</f>
        <v/>
      </c>
      <c r="K130" t="str">
        <f>IF('Master Sheet'!C132="Area 3 (Saranya R)",'Master Sheet'!K132,"")</f>
        <v/>
      </c>
      <c r="L130" t="str">
        <f>IF('Master Sheet'!C132="Area 3 (Saranya R)",'Master Sheet'!L132,"")</f>
        <v/>
      </c>
      <c r="M130" t="str">
        <f>IF('Master Sheet'!C132="Area 3 (Saranya R)",'Master Sheet'!M132,"")</f>
        <v/>
      </c>
      <c r="N130" t="str">
        <f>IF('Master Sheet'!C132="Area 3 (Saranya R)",'Master Sheet'!N132,"")</f>
        <v/>
      </c>
      <c r="O130" t="str">
        <f>IF('Master Sheet'!C132="Area 3 (Saranya R)",'Master Sheet'!O132,"")</f>
        <v/>
      </c>
      <c r="P130" t="str">
        <f>IF('Master Sheet'!C132="Area 3 (Saranya R)",'Master Sheet'!P132,"")</f>
        <v/>
      </c>
    </row>
    <row r="131" spans="1:16" hidden="1" x14ac:dyDescent="0.25">
      <c r="A131" t="str">
        <f>IF('Master Sheet'!C133="Area 3 (Saranya R)",'Master Sheet'!A133,"")</f>
        <v/>
      </c>
      <c r="B131" t="str">
        <f>IF('Master Sheet'!C133="Area 3 (Saranya R)",'Master Sheet'!B133,"")</f>
        <v/>
      </c>
      <c r="C131" t="s">
        <v>6</v>
      </c>
      <c r="D131" t="str">
        <f>IF('Master Sheet'!C133="Area 3 (Saranya R)",'Master Sheet'!D133,"")</f>
        <v/>
      </c>
      <c r="E131" t="str">
        <f>IF('Master Sheet'!C133="Area 3 (Saranya R)",'Master Sheet'!E133,"")</f>
        <v/>
      </c>
      <c r="F131" t="str">
        <f>IF('Master Sheet'!C133="Area 3 (Saranya R)",'Master Sheet'!F133,"")</f>
        <v/>
      </c>
      <c r="G131" t="str">
        <f>IF('Master Sheet'!C133="Area 3 (Saranya R)",'Master Sheet'!G133,"")</f>
        <v/>
      </c>
      <c r="H131" t="str">
        <f>IF('Master Sheet'!C133="Area 3 (Saranya R)",'Master Sheet'!H133,"")</f>
        <v/>
      </c>
      <c r="I131" t="str">
        <f>IF('Master Sheet'!C133="Area 3 (Saranya R)",'Master Sheet'!I133,"")</f>
        <v/>
      </c>
      <c r="J131" t="str">
        <f>IF('Master Sheet'!C133="Area 3 (Saranya R)",'Master Sheet'!J133,"")</f>
        <v/>
      </c>
      <c r="K131" t="str">
        <f>IF('Master Sheet'!C133="Area 3 (Saranya R)",'Master Sheet'!K133,"")</f>
        <v/>
      </c>
      <c r="L131" t="str">
        <f>IF('Master Sheet'!C133="Area 3 (Saranya R)",'Master Sheet'!L133,"")</f>
        <v/>
      </c>
      <c r="M131" t="str">
        <f>IF('Master Sheet'!C133="Area 3 (Saranya R)",'Master Sheet'!M133,"")</f>
        <v/>
      </c>
      <c r="N131" t="str">
        <f>IF('Master Sheet'!C133="Area 3 (Saranya R)",'Master Sheet'!N133,"")</f>
        <v/>
      </c>
      <c r="O131" t="str">
        <f>IF('Master Sheet'!C133="Area 3 (Saranya R)",'Master Sheet'!O133,"")</f>
        <v/>
      </c>
      <c r="P131" t="str">
        <f>IF('Master Sheet'!C133="Area 3 (Saranya R)",'Master Sheet'!P133,"")</f>
        <v/>
      </c>
    </row>
    <row r="132" spans="1:16" hidden="1" x14ac:dyDescent="0.25">
      <c r="A132" t="str">
        <f>IF('Master Sheet'!C134="Area 3 (Saranya R)",'Master Sheet'!A134,"")</f>
        <v/>
      </c>
      <c r="B132" t="str">
        <f>IF('Master Sheet'!C134="Area 3 (Saranya R)",'Master Sheet'!B134,"")</f>
        <v/>
      </c>
      <c r="C132" t="s">
        <v>6</v>
      </c>
      <c r="D132" t="str">
        <f>IF('Master Sheet'!C134="Area 3 (Saranya R)",'Master Sheet'!D134,"")</f>
        <v/>
      </c>
      <c r="E132" t="str">
        <f>IF('Master Sheet'!C134="Area 3 (Saranya R)",'Master Sheet'!E134,"")</f>
        <v/>
      </c>
      <c r="F132" t="str">
        <f>IF('Master Sheet'!C134="Area 3 (Saranya R)",'Master Sheet'!F134,"")</f>
        <v/>
      </c>
      <c r="G132" t="str">
        <f>IF('Master Sheet'!C134="Area 3 (Saranya R)",'Master Sheet'!G134,"")</f>
        <v/>
      </c>
      <c r="H132" t="str">
        <f>IF('Master Sheet'!C134="Area 3 (Saranya R)",'Master Sheet'!H134,"")</f>
        <v/>
      </c>
      <c r="I132" t="str">
        <f>IF('Master Sheet'!C134="Area 3 (Saranya R)",'Master Sheet'!I134,"")</f>
        <v/>
      </c>
      <c r="J132" t="str">
        <f>IF('Master Sheet'!C134="Area 3 (Saranya R)",'Master Sheet'!J134,"")</f>
        <v/>
      </c>
      <c r="K132" t="str">
        <f>IF('Master Sheet'!C134="Area 3 (Saranya R)",'Master Sheet'!K134,"")</f>
        <v/>
      </c>
      <c r="L132" t="str">
        <f>IF('Master Sheet'!C134="Area 3 (Saranya R)",'Master Sheet'!L134,"")</f>
        <v/>
      </c>
      <c r="M132" t="str">
        <f>IF('Master Sheet'!C134="Area 3 (Saranya R)",'Master Sheet'!M134,"")</f>
        <v/>
      </c>
      <c r="N132" t="str">
        <f>IF('Master Sheet'!C134="Area 3 (Saranya R)",'Master Sheet'!N134,"")</f>
        <v/>
      </c>
      <c r="O132" t="str">
        <f>IF('Master Sheet'!C134="Area 3 (Saranya R)",'Master Sheet'!O134,"")</f>
        <v/>
      </c>
      <c r="P132" t="str">
        <f>IF('Master Sheet'!C134="Area 3 (Saranya R)",'Master Sheet'!P134,"")</f>
        <v/>
      </c>
    </row>
    <row r="133" spans="1:16" hidden="1" x14ac:dyDescent="0.25">
      <c r="A133" t="str">
        <f>IF('Master Sheet'!C135="Area 3 (Saranya R)",'Master Sheet'!A135,"")</f>
        <v/>
      </c>
      <c r="B133" t="str">
        <f>IF('Master Sheet'!C135="Area 3 (Saranya R)",'Master Sheet'!B135,"")</f>
        <v/>
      </c>
      <c r="C133" t="s">
        <v>6</v>
      </c>
      <c r="D133" t="str">
        <f>IF('Master Sheet'!C135="Area 3 (Saranya R)",'Master Sheet'!D135,"")</f>
        <v/>
      </c>
      <c r="E133" t="str">
        <f>IF('Master Sheet'!C135="Area 3 (Saranya R)",'Master Sheet'!E135,"")</f>
        <v/>
      </c>
      <c r="F133" t="str">
        <f>IF('Master Sheet'!C135="Area 3 (Saranya R)",'Master Sheet'!F135,"")</f>
        <v/>
      </c>
      <c r="G133" t="str">
        <f>IF('Master Sheet'!C135="Area 3 (Saranya R)",'Master Sheet'!G135,"")</f>
        <v/>
      </c>
      <c r="H133" t="str">
        <f>IF('Master Sheet'!C135="Area 3 (Saranya R)",'Master Sheet'!H135,"")</f>
        <v/>
      </c>
      <c r="I133" t="str">
        <f>IF('Master Sheet'!C135="Area 3 (Saranya R)",'Master Sheet'!I135,"")</f>
        <v/>
      </c>
      <c r="J133" t="str">
        <f>IF('Master Sheet'!C135="Area 3 (Saranya R)",'Master Sheet'!J135,"")</f>
        <v/>
      </c>
      <c r="K133" t="str">
        <f>IF('Master Sheet'!C135="Area 3 (Saranya R)",'Master Sheet'!K135,"")</f>
        <v/>
      </c>
      <c r="L133" t="str">
        <f>IF('Master Sheet'!C135="Area 3 (Saranya R)",'Master Sheet'!L135,"")</f>
        <v/>
      </c>
      <c r="M133" t="str">
        <f>IF('Master Sheet'!C135="Area 3 (Saranya R)",'Master Sheet'!M135,"")</f>
        <v/>
      </c>
      <c r="N133" t="str">
        <f>IF('Master Sheet'!C135="Area 3 (Saranya R)",'Master Sheet'!N135,"")</f>
        <v/>
      </c>
      <c r="O133" t="str">
        <f>IF('Master Sheet'!C135="Area 3 (Saranya R)",'Master Sheet'!O135,"")</f>
        <v/>
      </c>
      <c r="P133" t="str">
        <f>IF('Master Sheet'!C135="Area 3 (Saranya R)",'Master Sheet'!P135,"")</f>
        <v/>
      </c>
    </row>
    <row r="134" spans="1:16" hidden="1" x14ac:dyDescent="0.25">
      <c r="A134" t="str">
        <f>IF('Master Sheet'!C136="Area 3 (Saranya R)",'Master Sheet'!A136,"")</f>
        <v/>
      </c>
      <c r="B134" t="str">
        <f>IF('Master Sheet'!C136="Area 3 (Saranya R)",'Master Sheet'!B136,"")</f>
        <v/>
      </c>
      <c r="C134" t="s">
        <v>6</v>
      </c>
      <c r="D134" t="str">
        <f>IF('Master Sheet'!C136="Area 3 (Saranya R)",'Master Sheet'!D136,"")</f>
        <v/>
      </c>
      <c r="E134" t="str">
        <f>IF('Master Sheet'!C136="Area 3 (Saranya R)",'Master Sheet'!E136,"")</f>
        <v/>
      </c>
      <c r="F134" t="str">
        <f>IF('Master Sheet'!C136="Area 3 (Saranya R)",'Master Sheet'!F136,"")</f>
        <v/>
      </c>
      <c r="G134" t="str">
        <f>IF('Master Sheet'!C136="Area 3 (Saranya R)",'Master Sheet'!G136,"")</f>
        <v/>
      </c>
      <c r="H134" t="str">
        <f>IF('Master Sheet'!C136="Area 3 (Saranya R)",'Master Sheet'!H136,"")</f>
        <v/>
      </c>
      <c r="I134" t="str">
        <f>IF('Master Sheet'!C136="Area 3 (Saranya R)",'Master Sheet'!I136,"")</f>
        <v/>
      </c>
      <c r="J134" t="str">
        <f>IF('Master Sheet'!C136="Area 3 (Saranya R)",'Master Sheet'!J136,"")</f>
        <v/>
      </c>
      <c r="K134" t="str">
        <f>IF('Master Sheet'!C136="Area 3 (Saranya R)",'Master Sheet'!K136,"")</f>
        <v/>
      </c>
      <c r="L134" t="str">
        <f>IF('Master Sheet'!C136="Area 3 (Saranya R)",'Master Sheet'!L136,"")</f>
        <v/>
      </c>
      <c r="M134" t="str">
        <f>IF('Master Sheet'!C136="Area 3 (Saranya R)",'Master Sheet'!M136,"")</f>
        <v/>
      </c>
      <c r="N134" t="str">
        <f>IF('Master Sheet'!C136="Area 3 (Saranya R)",'Master Sheet'!N136,"")</f>
        <v/>
      </c>
      <c r="O134" t="str">
        <f>IF('Master Sheet'!C136="Area 3 (Saranya R)",'Master Sheet'!O136,"")</f>
        <v/>
      </c>
      <c r="P134" t="str">
        <f>IF('Master Sheet'!C136="Area 3 (Saranya R)",'Master Sheet'!P136,"")</f>
        <v/>
      </c>
    </row>
    <row r="135" spans="1:16" hidden="1" x14ac:dyDescent="0.25">
      <c r="A135" t="str">
        <f>IF('Master Sheet'!C137="Area 3 (Saranya R)",'Master Sheet'!A137,"")</f>
        <v/>
      </c>
      <c r="B135" t="str">
        <f>IF('Master Sheet'!C137="Area 3 (Saranya R)",'Master Sheet'!B137,"")</f>
        <v/>
      </c>
      <c r="C135" t="s">
        <v>6</v>
      </c>
      <c r="D135" t="str">
        <f>IF('Master Sheet'!C137="Area 3 (Saranya R)",'Master Sheet'!D137,"")</f>
        <v/>
      </c>
      <c r="E135" t="str">
        <f>IF('Master Sheet'!C137="Area 3 (Saranya R)",'Master Sheet'!E137,"")</f>
        <v/>
      </c>
      <c r="F135" t="str">
        <f>IF('Master Sheet'!C137="Area 3 (Saranya R)",'Master Sheet'!F137,"")</f>
        <v/>
      </c>
      <c r="G135" t="str">
        <f>IF('Master Sheet'!C137="Area 3 (Saranya R)",'Master Sheet'!G137,"")</f>
        <v/>
      </c>
      <c r="H135" t="str">
        <f>IF('Master Sheet'!C137="Area 3 (Saranya R)",'Master Sheet'!H137,"")</f>
        <v/>
      </c>
      <c r="I135" t="str">
        <f>IF('Master Sheet'!C137="Area 3 (Saranya R)",'Master Sheet'!I137,"")</f>
        <v/>
      </c>
      <c r="J135" t="str">
        <f>IF('Master Sheet'!C137="Area 3 (Saranya R)",'Master Sheet'!J137,"")</f>
        <v/>
      </c>
      <c r="K135" t="str">
        <f>IF('Master Sheet'!C137="Area 3 (Saranya R)",'Master Sheet'!K137,"")</f>
        <v/>
      </c>
      <c r="L135" t="str">
        <f>IF('Master Sheet'!C137="Area 3 (Saranya R)",'Master Sheet'!L137,"")</f>
        <v/>
      </c>
      <c r="M135" t="str">
        <f>IF('Master Sheet'!C137="Area 3 (Saranya R)",'Master Sheet'!M137,"")</f>
        <v/>
      </c>
      <c r="N135" t="str">
        <f>IF('Master Sheet'!C137="Area 3 (Saranya R)",'Master Sheet'!N137,"")</f>
        <v/>
      </c>
      <c r="O135" t="str">
        <f>IF('Master Sheet'!C137="Area 3 (Saranya R)",'Master Sheet'!O137,"")</f>
        <v/>
      </c>
      <c r="P135" t="str">
        <f>IF('Master Sheet'!C137="Area 3 (Saranya R)",'Master Sheet'!P137,"")</f>
        <v/>
      </c>
    </row>
    <row r="136" spans="1:16" hidden="1" x14ac:dyDescent="0.25">
      <c r="A136" t="str">
        <f>IF('Master Sheet'!C138="Area 3 (Saranya R)",'Master Sheet'!A138,"")</f>
        <v/>
      </c>
      <c r="B136" t="str">
        <f>IF('Master Sheet'!C138="Area 3 (Saranya R)",'Master Sheet'!B138,"")</f>
        <v/>
      </c>
      <c r="C136" t="s">
        <v>6</v>
      </c>
      <c r="D136" t="str">
        <f>IF('Master Sheet'!C138="Area 3 (Saranya R)",'Master Sheet'!D138,"")</f>
        <v/>
      </c>
      <c r="E136" t="str">
        <f>IF('Master Sheet'!C138="Area 3 (Saranya R)",'Master Sheet'!E138,"")</f>
        <v/>
      </c>
      <c r="F136" t="str">
        <f>IF('Master Sheet'!C138="Area 3 (Saranya R)",'Master Sheet'!F138,"")</f>
        <v/>
      </c>
      <c r="G136" t="str">
        <f>IF('Master Sheet'!C138="Area 3 (Saranya R)",'Master Sheet'!G138,"")</f>
        <v/>
      </c>
      <c r="H136" t="str">
        <f>IF('Master Sheet'!C138="Area 3 (Saranya R)",'Master Sheet'!H138,"")</f>
        <v/>
      </c>
      <c r="I136" t="str">
        <f>IF('Master Sheet'!C138="Area 3 (Saranya R)",'Master Sheet'!I138,"")</f>
        <v/>
      </c>
      <c r="J136" t="str">
        <f>IF('Master Sheet'!C138="Area 3 (Saranya R)",'Master Sheet'!J138,"")</f>
        <v/>
      </c>
      <c r="K136" t="str">
        <f>IF('Master Sheet'!C138="Area 3 (Saranya R)",'Master Sheet'!K138,"")</f>
        <v/>
      </c>
      <c r="L136" t="str">
        <f>IF('Master Sheet'!C138="Area 3 (Saranya R)",'Master Sheet'!L138,"")</f>
        <v/>
      </c>
      <c r="M136" t="str">
        <f>IF('Master Sheet'!C138="Area 3 (Saranya R)",'Master Sheet'!M138,"")</f>
        <v/>
      </c>
      <c r="N136" t="str">
        <f>IF('Master Sheet'!C138="Area 3 (Saranya R)",'Master Sheet'!N138,"")</f>
        <v/>
      </c>
      <c r="O136" t="str">
        <f>IF('Master Sheet'!C138="Area 3 (Saranya R)",'Master Sheet'!O138,"")</f>
        <v/>
      </c>
      <c r="P136" t="str">
        <f>IF('Master Sheet'!C138="Area 3 (Saranya R)",'Master Sheet'!P138,"")</f>
        <v/>
      </c>
    </row>
    <row r="137" spans="1:16" hidden="1" x14ac:dyDescent="0.25">
      <c r="A137" t="str">
        <f>IF('Master Sheet'!C139="Area 3 (Saranya R)",'Master Sheet'!A139,"")</f>
        <v/>
      </c>
      <c r="B137" t="str">
        <f>IF('Master Sheet'!C139="Area 3 (Saranya R)",'Master Sheet'!B139,"")</f>
        <v/>
      </c>
      <c r="C137" t="s">
        <v>6</v>
      </c>
      <c r="D137" t="str">
        <f>IF('Master Sheet'!C139="Area 3 (Saranya R)",'Master Sheet'!D139,"")</f>
        <v/>
      </c>
      <c r="E137" t="str">
        <f>IF('Master Sheet'!C139="Area 3 (Saranya R)",'Master Sheet'!E139,"")</f>
        <v/>
      </c>
      <c r="F137" t="str">
        <f>IF('Master Sheet'!C139="Area 3 (Saranya R)",'Master Sheet'!F139,"")</f>
        <v/>
      </c>
      <c r="G137" t="str">
        <f>IF('Master Sheet'!C139="Area 3 (Saranya R)",'Master Sheet'!G139,"")</f>
        <v/>
      </c>
      <c r="H137" t="str">
        <f>IF('Master Sheet'!C139="Area 3 (Saranya R)",'Master Sheet'!H139,"")</f>
        <v/>
      </c>
      <c r="I137" t="str">
        <f>IF('Master Sheet'!C139="Area 3 (Saranya R)",'Master Sheet'!I139,"")</f>
        <v/>
      </c>
      <c r="J137" t="str">
        <f>IF('Master Sheet'!C139="Area 3 (Saranya R)",'Master Sheet'!J139,"")</f>
        <v/>
      </c>
      <c r="K137" t="str">
        <f>IF('Master Sheet'!C139="Area 3 (Saranya R)",'Master Sheet'!K139,"")</f>
        <v/>
      </c>
      <c r="L137" t="str">
        <f>IF('Master Sheet'!C139="Area 3 (Saranya R)",'Master Sheet'!L139,"")</f>
        <v/>
      </c>
      <c r="M137" t="str">
        <f>IF('Master Sheet'!C139="Area 3 (Saranya R)",'Master Sheet'!M139,"")</f>
        <v/>
      </c>
      <c r="N137" t="str">
        <f>IF('Master Sheet'!C139="Area 3 (Saranya R)",'Master Sheet'!N139,"")</f>
        <v/>
      </c>
      <c r="O137" t="str">
        <f>IF('Master Sheet'!C139="Area 3 (Saranya R)",'Master Sheet'!O139,"")</f>
        <v/>
      </c>
      <c r="P137" t="str">
        <f>IF('Master Sheet'!C139="Area 3 (Saranya R)",'Master Sheet'!P139,"")</f>
        <v/>
      </c>
    </row>
    <row r="138" spans="1:16" hidden="1" x14ac:dyDescent="0.25">
      <c r="A138" t="str">
        <f>IF('Master Sheet'!C140="Area 3 (Saranya R)",'Master Sheet'!A140,"")</f>
        <v/>
      </c>
      <c r="B138" t="str">
        <f>IF('Master Sheet'!C140="Area 3 (Saranya R)",'Master Sheet'!B140,"")</f>
        <v/>
      </c>
      <c r="C138" t="s">
        <v>6</v>
      </c>
      <c r="D138" t="str">
        <f>IF('Master Sheet'!C140="Area 3 (Saranya R)",'Master Sheet'!D140,"")</f>
        <v/>
      </c>
      <c r="E138" t="str">
        <f>IF('Master Sheet'!C140="Area 3 (Saranya R)",'Master Sheet'!E140,"")</f>
        <v/>
      </c>
      <c r="F138" t="str">
        <f>IF('Master Sheet'!C140="Area 3 (Saranya R)",'Master Sheet'!F140,"")</f>
        <v/>
      </c>
      <c r="G138" t="str">
        <f>IF('Master Sheet'!C140="Area 3 (Saranya R)",'Master Sheet'!G140,"")</f>
        <v/>
      </c>
      <c r="H138" t="str">
        <f>IF('Master Sheet'!C140="Area 3 (Saranya R)",'Master Sheet'!H140,"")</f>
        <v/>
      </c>
      <c r="I138" t="str">
        <f>IF('Master Sheet'!C140="Area 3 (Saranya R)",'Master Sheet'!I140,"")</f>
        <v/>
      </c>
      <c r="J138" t="str">
        <f>IF('Master Sheet'!C140="Area 3 (Saranya R)",'Master Sheet'!J140,"")</f>
        <v/>
      </c>
      <c r="K138" t="str">
        <f>IF('Master Sheet'!C140="Area 3 (Saranya R)",'Master Sheet'!K140,"")</f>
        <v/>
      </c>
      <c r="L138" t="str">
        <f>IF('Master Sheet'!C140="Area 3 (Saranya R)",'Master Sheet'!L140,"")</f>
        <v/>
      </c>
      <c r="M138" t="str">
        <f>IF('Master Sheet'!C140="Area 3 (Saranya R)",'Master Sheet'!M140,"")</f>
        <v/>
      </c>
      <c r="N138" t="str">
        <f>IF('Master Sheet'!C140="Area 3 (Saranya R)",'Master Sheet'!N140,"")</f>
        <v/>
      </c>
      <c r="O138" t="str">
        <f>IF('Master Sheet'!C140="Area 3 (Saranya R)",'Master Sheet'!O140,"")</f>
        <v/>
      </c>
      <c r="P138" t="str">
        <f>IF('Master Sheet'!C140="Area 3 (Saranya R)",'Master Sheet'!P140,"")</f>
        <v/>
      </c>
    </row>
    <row r="139" spans="1:16" hidden="1" x14ac:dyDescent="0.25">
      <c r="A139" t="str">
        <f>IF('Master Sheet'!C141="Area 3 (Saranya R)",'Master Sheet'!A141,"")</f>
        <v/>
      </c>
      <c r="B139" t="str">
        <f>IF('Master Sheet'!C141="Area 3 (Saranya R)",'Master Sheet'!B141,"")</f>
        <v/>
      </c>
      <c r="C139" t="s">
        <v>6</v>
      </c>
      <c r="D139" t="str">
        <f>IF('Master Sheet'!C141="Area 3 (Saranya R)",'Master Sheet'!D141,"")</f>
        <v/>
      </c>
      <c r="E139" t="str">
        <f>IF('Master Sheet'!C141="Area 3 (Saranya R)",'Master Sheet'!E141,"")</f>
        <v/>
      </c>
      <c r="F139" t="str">
        <f>IF('Master Sheet'!C141="Area 3 (Saranya R)",'Master Sheet'!F141,"")</f>
        <v/>
      </c>
      <c r="G139" t="str">
        <f>IF('Master Sheet'!C141="Area 3 (Saranya R)",'Master Sheet'!G141,"")</f>
        <v/>
      </c>
      <c r="H139" t="str">
        <f>IF('Master Sheet'!C141="Area 3 (Saranya R)",'Master Sheet'!H141,"")</f>
        <v/>
      </c>
      <c r="I139" t="str">
        <f>IF('Master Sheet'!C141="Area 3 (Saranya R)",'Master Sheet'!I141,"")</f>
        <v/>
      </c>
      <c r="J139" t="str">
        <f>IF('Master Sheet'!C141="Area 3 (Saranya R)",'Master Sheet'!J141,"")</f>
        <v/>
      </c>
      <c r="K139" t="str">
        <f>IF('Master Sheet'!C141="Area 3 (Saranya R)",'Master Sheet'!K141,"")</f>
        <v/>
      </c>
      <c r="L139" t="str">
        <f>IF('Master Sheet'!C141="Area 3 (Saranya R)",'Master Sheet'!L141,"")</f>
        <v/>
      </c>
      <c r="M139" t="str">
        <f>IF('Master Sheet'!C141="Area 3 (Saranya R)",'Master Sheet'!M141,"")</f>
        <v/>
      </c>
      <c r="N139" t="str">
        <f>IF('Master Sheet'!C141="Area 3 (Saranya R)",'Master Sheet'!N141,"")</f>
        <v/>
      </c>
      <c r="O139" t="str">
        <f>IF('Master Sheet'!C141="Area 3 (Saranya R)",'Master Sheet'!O141,"")</f>
        <v/>
      </c>
      <c r="P139" t="str">
        <f>IF('Master Sheet'!C141="Area 3 (Saranya R)",'Master Sheet'!P141,"")</f>
        <v/>
      </c>
    </row>
    <row r="140" spans="1:16" hidden="1" x14ac:dyDescent="0.25">
      <c r="A140" t="str">
        <f>IF('Master Sheet'!C142="Area 3 (Saranya R)",'Master Sheet'!A142,"")</f>
        <v/>
      </c>
      <c r="B140" t="str">
        <f>IF('Master Sheet'!C142="Area 3 (Saranya R)",'Master Sheet'!B142,"")</f>
        <v/>
      </c>
      <c r="C140" t="s">
        <v>6</v>
      </c>
      <c r="D140" t="str">
        <f>IF('Master Sheet'!C142="Area 3 (Saranya R)",'Master Sheet'!D142,"")</f>
        <v/>
      </c>
      <c r="E140" t="str">
        <f>IF('Master Sheet'!C142="Area 3 (Saranya R)",'Master Sheet'!E142,"")</f>
        <v/>
      </c>
      <c r="F140" t="str">
        <f>IF('Master Sheet'!C142="Area 3 (Saranya R)",'Master Sheet'!F142,"")</f>
        <v/>
      </c>
      <c r="G140" t="str">
        <f>IF('Master Sheet'!C142="Area 3 (Saranya R)",'Master Sheet'!G142,"")</f>
        <v/>
      </c>
      <c r="H140" t="str">
        <f>IF('Master Sheet'!C142="Area 3 (Saranya R)",'Master Sheet'!H142,"")</f>
        <v/>
      </c>
      <c r="I140" t="str">
        <f>IF('Master Sheet'!C142="Area 3 (Saranya R)",'Master Sheet'!I142,"")</f>
        <v/>
      </c>
      <c r="J140" t="str">
        <f>IF('Master Sheet'!C142="Area 3 (Saranya R)",'Master Sheet'!J142,"")</f>
        <v/>
      </c>
      <c r="K140" t="str">
        <f>IF('Master Sheet'!C142="Area 3 (Saranya R)",'Master Sheet'!K142,"")</f>
        <v/>
      </c>
      <c r="L140" t="str">
        <f>IF('Master Sheet'!C142="Area 3 (Saranya R)",'Master Sheet'!L142,"")</f>
        <v/>
      </c>
      <c r="M140" t="str">
        <f>IF('Master Sheet'!C142="Area 3 (Saranya R)",'Master Sheet'!M142,"")</f>
        <v/>
      </c>
      <c r="N140" t="str">
        <f>IF('Master Sheet'!C142="Area 3 (Saranya R)",'Master Sheet'!N142,"")</f>
        <v/>
      </c>
      <c r="O140" t="str">
        <f>IF('Master Sheet'!C142="Area 3 (Saranya R)",'Master Sheet'!O142,"")</f>
        <v/>
      </c>
      <c r="P140" t="str">
        <f>IF('Master Sheet'!C142="Area 3 (Saranya R)",'Master Sheet'!P142,"")</f>
        <v/>
      </c>
    </row>
    <row r="141" spans="1:16" hidden="1" x14ac:dyDescent="0.25">
      <c r="A141" t="str">
        <f>IF('Master Sheet'!C143="Area 3 (Saranya R)",'Master Sheet'!A143,"")</f>
        <v/>
      </c>
      <c r="B141" t="str">
        <f>IF('Master Sheet'!C143="Area 3 (Saranya R)",'Master Sheet'!B143,"")</f>
        <v/>
      </c>
      <c r="C141" t="s">
        <v>6</v>
      </c>
      <c r="D141" t="str">
        <f>IF('Master Sheet'!C143="Area 3 (Saranya R)",'Master Sheet'!D143,"")</f>
        <v/>
      </c>
      <c r="E141" t="str">
        <f>IF('Master Sheet'!C143="Area 3 (Saranya R)",'Master Sheet'!E143,"")</f>
        <v/>
      </c>
      <c r="F141" t="str">
        <f>IF('Master Sheet'!C143="Area 3 (Saranya R)",'Master Sheet'!F143,"")</f>
        <v/>
      </c>
      <c r="G141" t="str">
        <f>IF('Master Sheet'!C143="Area 3 (Saranya R)",'Master Sheet'!G143,"")</f>
        <v/>
      </c>
      <c r="H141" t="str">
        <f>IF('Master Sheet'!C143="Area 3 (Saranya R)",'Master Sheet'!H143,"")</f>
        <v/>
      </c>
      <c r="I141" t="str">
        <f>IF('Master Sheet'!C143="Area 3 (Saranya R)",'Master Sheet'!I143,"")</f>
        <v/>
      </c>
      <c r="J141" t="str">
        <f>IF('Master Sheet'!C143="Area 3 (Saranya R)",'Master Sheet'!J143,"")</f>
        <v/>
      </c>
      <c r="K141" t="str">
        <f>IF('Master Sheet'!C143="Area 3 (Saranya R)",'Master Sheet'!K143,"")</f>
        <v/>
      </c>
      <c r="L141" t="str">
        <f>IF('Master Sheet'!C143="Area 3 (Saranya R)",'Master Sheet'!L143,"")</f>
        <v/>
      </c>
      <c r="M141" t="str">
        <f>IF('Master Sheet'!C143="Area 3 (Saranya R)",'Master Sheet'!M143,"")</f>
        <v/>
      </c>
      <c r="N141" t="str">
        <f>IF('Master Sheet'!C143="Area 3 (Saranya R)",'Master Sheet'!N143,"")</f>
        <v/>
      </c>
      <c r="O141" t="str">
        <f>IF('Master Sheet'!C143="Area 3 (Saranya R)",'Master Sheet'!O143,"")</f>
        <v/>
      </c>
      <c r="P141" t="str">
        <f>IF('Master Sheet'!C143="Area 3 (Saranya R)",'Master Sheet'!P143,"")</f>
        <v/>
      </c>
    </row>
    <row r="142" spans="1:16" hidden="1" x14ac:dyDescent="0.25">
      <c r="A142" t="str">
        <f>IF('Master Sheet'!C144="Area 3 (Saranya R)",'Master Sheet'!A144,"")</f>
        <v/>
      </c>
      <c r="B142" t="str">
        <f>IF('Master Sheet'!C144="Area 3 (Saranya R)",'Master Sheet'!B144,"")</f>
        <v/>
      </c>
      <c r="C142" t="s">
        <v>6</v>
      </c>
      <c r="D142" t="str">
        <f>IF('Master Sheet'!C144="Area 3 (Saranya R)",'Master Sheet'!D144,"")</f>
        <v/>
      </c>
      <c r="E142" t="str">
        <f>IF('Master Sheet'!C144="Area 3 (Saranya R)",'Master Sheet'!E144,"")</f>
        <v/>
      </c>
      <c r="F142" t="str">
        <f>IF('Master Sheet'!C144="Area 3 (Saranya R)",'Master Sheet'!F144,"")</f>
        <v/>
      </c>
      <c r="G142" t="str">
        <f>IF('Master Sheet'!C144="Area 3 (Saranya R)",'Master Sheet'!G144,"")</f>
        <v/>
      </c>
      <c r="H142" t="str">
        <f>IF('Master Sheet'!C144="Area 3 (Saranya R)",'Master Sheet'!H144,"")</f>
        <v/>
      </c>
      <c r="I142" t="str">
        <f>IF('Master Sheet'!C144="Area 3 (Saranya R)",'Master Sheet'!I144,"")</f>
        <v/>
      </c>
      <c r="J142" t="str">
        <f>IF('Master Sheet'!C144="Area 3 (Saranya R)",'Master Sheet'!J144,"")</f>
        <v/>
      </c>
      <c r="K142" t="str">
        <f>IF('Master Sheet'!C144="Area 3 (Saranya R)",'Master Sheet'!K144,"")</f>
        <v/>
      </c>
      <c r="L142" t="str">
        <f>IF('Master Sheet'!C144="Area 3 (Saranya R)",'Master Sheet'!L144,"")</f>
        <v/>
      </c>
      <c r="M142" t="str">
        <f>IF('Master Sheet'!C144="Area 3 (Saranya R)",'Master Sheet'!M144,"")</f>
        <v/>
      </c>
      <c r="N142" t="str">
        <f>IF('Master Sheet'!C144="Area 3 (Saranya R)",'Master Sheet'!N144,"")</f>
        <v/>
      </c>
      <c r="O142" t="str">
        <f>IF('Master Sheet'!C144="Area 3 (Saranya R)",'Master Sheet'!O144,"")</f>
        <v/>
      </c>
      <c r="P142" t="str">
        <f>IF('Master Sheet'!C144="Area 3 (Saranya R)",'Master Sheet'!P144,"")</f>
        <v/>
      </c>
    </row>
    <row r="143" spans="1:16" hidden="1" x14ac:dyDescent="0.25">
      <c r="A143" t="str">
        <f>IF('Master Sheet'!C145="Area 3 (Saranya R)",'Master Sheet'!A145,"")</f>
        <v/>
      </c>
      <c r="B143" t="str">
        <f>IF('Master Sheet'!C145="Area 3 (Saranya R)",'Master Sheet'!B145,"")</f>
        <v/>
      </c>
      <c r="C143" t="s">
        <v>6</v>
      </c>
      <c r="D143" t="str">
        <f>IF('Master Sheet'!C145="Area 3 (Saranya R)",'Master Sheet'!D145,"")</f>
        <v/>
      </c>
      <c r="E143" t="str">
        <f>IF('Master Sheet'!C145="Area 3 (Saranya R)",'Master Sheet'!E145,"")</f>
        <v/>
      </c>
      <c r="F143" t="str">
        <f>IF('Master Sheet'!C145="Area 3 (Saranya R)",'Master Sheet'!F145,"")</f>
        <v/>
      </c>
      <c r="G143" t="str">
        <f>IF('Master Sheet'!C145="Area 3 (Saranya R)",'Master Sheet'!G145,"")</f>
        <v/>
      </c>
      <c r="H143" t="str">
        <f>IF('Master Sheet'!C145="Area 3 (Saranya R)",'Master Sheet'!H145,"")</f>
        <v/>
      </c>
      <c r="I143" t="str">
        <f>IF('Master Sheet'!C145="Area 3 (Saranya R)",'Master Sheet'!I145,"")</f>
        <v/>
      </c>
      <c r="J143" t="str">
        <f>IF('Master Sheet'!C145="Area 3 (Saranya R)",'Master Sheet'!J145,"")</f>
        <v/>
      </c>
      <c r="K143" t="str">
        <f>IF('Master Sheet'!C145="Area 3 (Saranya R)",'Master Sheet'!K145,"")</f>
        <v/>
      </c>
      <c r="L143" t="str">
        <f>IF('Master Sheet'!C145="Area 3 (Saranya R)",'Master Sheet'!L145,"")</f>
        <v/>
      </c>
      <c r="M143" t="str">
        <f>IF('Master Sheet'!C145="Area 3 (Saranya R)",'Master Sheet'!M145,"")</f>
        <v/>
      </c>
      <c r="N143" t="str">
        <f>IF('Master Sheet'!C145="Area 3 (Saranya R)",'Master Sheet'!N145,"")</f>
        <v/>
      </c>
      <c r="O143" t="str">
        <f>IF('Master Sheet'!C145="Area 3 (Saranya R)",'Master Sheet'!O145,"")</f>
        <v/>
      </c>
      <c r="P143" t="str">
        <f>IF('Master Sheet'!C145="Area 3 (Saranya R)",'Master Sheet'!P145,"")</f>
        <v/>
      </c>
    </row>
    <row r="144" spans="1:16" hidden="1" x14ac:dyDescent="0.25">
      <c r="A144" t="str">
        <f>IF('Master Sheet'!C146="Area 3 (Saranya R)",'Master Sheet'!A146,"")</f>
        <v/>
      </c>
      <c r="B144" t="str">
        <f>IF('Master Sheet'!C146="Area 3 (Saranya R)",'Master Sheet'!B146,"")</f>
        <v/>
      </c>
      <c r="C144" t="s">
        <v>6</v>
      </c>
      <c r="D144" t="str">
        <f>IF('Master Sheet'!C146="Area 3 (Saranya R)",'Master Sheet'!D146,"")</f>
        <v/>
      </c>
      <c r="E144" t="str">
        <f>IF('Master Sheet'!C146="Area 3 (Saranya R)",'Master Sheet'!E146,"")</f>
        <v/>
      </c>
      <c r="F144" t="str">
        <f>IF('Master Sheet'!C146="Area 3 (Saranya R)",'Master Sheet'!F146,"")</f>
        <v/>
      </c>
      <c r="G144" t="str">
        <f>IF('Master Sheet'!C146="Area 3 (Saranya R)",'Master Sheet'!G146,"")</f>
        <v/>
      </c>
      <c r="H144" t="str">
        <f>IF('Master Sheet'!C146="Area 3 (Saranya R)",'Master Sheet'!H146,"")</f>
        <v/>
      </c>
      <c r="I144" t="str">
        <f>IF('Master Sheet'!C146="Area 3 (Saranya R)",'Master Sheet'!I146,"")</f>
        <v/>
      </c>
      <c r="J144" t="str">
        <f>IF('Master Sheet'!C146="Area 3 (Saranya R)",'Master Sheet'!J146,"")</f>
        <v/>
      </c>
      <c r="K144" t="str">
        <f>IF('Master Sheet'!C146="Area 3 (Saranya R)",'Master Sheet'!K146,"")</f>
        <v/>
      </c>
      <c r="L144" t="str">
        <f>IF('Master Sheet'!C146="Area 3 (Saranya R)",'Master Sheet'!L146,"")</f>
        <v/>
      </c>
      <c r="M144" t="str">
        <f>IF('Master Sheet'!C146="Area 3 (Saranya R)",'Master Sheet'!M146,"")</f>
        <v/>
      </c>
      <c r="N144" t="str">
        <f>IF('Master Sheet'!C146="Area 3 (Saranya R)",'Master Sheet'!N146,"")</f>
        <v/>
      </c>
      <c r="O144" t="str">
        <f>IF('Master Sheet'!C146="Area 3 (Saranya R)",'Master Sheet'!O146,"")</f>
        <v/>
      </c>
      <c r="P144" t="str">
        <f>IF('Master Sheet'!C146="Area 3 (Saranya R)",'Master Sheet'!P146,"")</f>
        <v/>
      </c>
    </row>
    <row r="145" spans="1:16" hidden="1" x14ac:dyDescent="0.25">
      <c r="A145" t="str">
        <f>IF('Master Sheet'!C147="Area 3 (Saranya R)",'Master Sheet'!A147,"")</f>
        <v/>
      </c>
      <c r="B145" t="str">
        <f>IF('Master Sheet'!C147="Area 3 (Saranya R)",'Master Sheet'!B147,"")</f>
        <v/>
      </c>
      <c r="C145" t="s">
        <v>6</v>
      </c>
      <c r="D145" t="str">
        <f>IF('Master Sheet'!C147="Area 3 (Saranya R)",'Master Sheet'!D147,"")</f>
        <v/>
      </c>
      <c r="E145" t="str">
        <f>IF('Master Sheet'!C147="Area 3 (Saranya R)",'Master Sheet'!E147,"")</f>
        <v/>
      </c>
      <c r="F145" t="str">
        <f>IF('Master Sheet'!C147="Area 3 (Saranya R)",'Master Sheet'!F147,"")</f>
        <v/>
      </c>
      <c r="G145" t="str">
        <f>IF('Master Sheet'!C147="Area 3 (Saranya R)",'Master Sheet'!G147,"")</f>
        <v/>
      </c>
      <c r="H145" t="str">
        <f>IF('Master Sheet'!C147="Area 3 (Saranya R)",'Master Sheet'!H147,"")</f>
        <v/>
      </c>
      <c r="I145" t="str">
        <f>IF('Master Sheet'!C147="Area 3 (Saranya R)",'Master Sheet'!I147,"")</f>
        <v/>
      </c>
      <c r="J145" t="str">
        <f>IF('Master Sheet'!C147="Area 3 (Saranya R)",'Master Sheet'!J147,"")</f>
        <v/>
      </c>
      <c r="K145" t="str">
        <f>IF('Master Sheet'!C147="Area 3 (Saranya R)",'Master Sheet'!K147,"")</f>
        <v/>
      </c>
      <c r="L145" t="str">
        <f>IF('Master Sheet'!C147="Area 3 (Saranya R)",'Master Sheet'!L147,"")</f>
        <v/>
      </c>
      <c r="M145" t="str">
        <f>IF('Master Sheet'!C147="Area 3 (Saranya R)",'Master Sheet'!M147,"")</f>
        <v/>
      </c>
      <c r="N145" t="str">
        <f>IF('Master Sheet'!C147="Area 3 (Saranya R)",'Master Sheet'!N147,"")</f>
        <v/>
      </c>
      <c r="O145" t="str">
        <f>IF('Master Sheet'!C147="Area 3 (Saranya R)",'Master Sheet'!O147,"")</f>
        <v/>
      </c>
      <c r="P145" t="str">
        <f>IF('Master Sheet'!C147="Area 3 (Saranya R)",'Master Sheet'!P147,"")</f>
        <v/>
      </c>
    </row>
    <row r="146" spans="1:16" hidden="1" x14ac:dyDescent="0.25">
      <c r="A146" t="str">
        <f>IF('Master Sheet'!C148="Area 3 (Saranya R)",'Master Sheet'!A148,"")</f>
        <v/>
      </c>
      <c r="B146" t="str">
        <f>IF('Master Sheet'!C148="Area 3 (Saranya R)",'Master Sheet'!B148,"")</f>
        <v/>
      </c>
      <c r="C146" t="s">
        <v>6</v>
      </c>
      <c r="D146" t="str">
        <f>IF('Master Sheet'!C148="Area 3 (Saranya R)",'Master Sheet'!D148,"")</f>
        <v/>
      </c>
      <c r="E146" t="str">
        <f>IF('Master Sheet'!C148="Area 3 (Saranya R)",'Master Sheet'!E148,"")</f>
        <v/>
      </c>
      <c r="F146" t="str">
        <f>IF('Master Sheet'!C148="Area 3 (Saranya R)",'Master Sheet'!F148,"")</f>
        <v/>
      </c>
      <c r="G146" t="str">
        <f>IF('Master Sheet'!C148="Area 3 (Saranya R)",'Master Sheet'!G148,"")</f>
        <v/>
      </c>
      <c r="H146" t="str">
        <f>IF('Master Sheet'!C148="Area 3 (Saranya R)",'Master Sheet'!H148,"")</f>
        <v/>
      </c>
      <c r="I146" t="str">
        <f>IF('Master Sheet'!C148="Area 3 (Saranya R)",'Master Sheet'!I148,"")</f>
        <v/>
      </c>
      <c r="J146" t="str">
        <f>IF('Master Sheet'!C148="Area 3 (Saranya R)",'Master Sheet'!J148,"")</f>
        <v/>
      </c>
      <c r="K146" t="str">
        <f>IF('Master Sheet'!C148="Area 3 (Saranya R)",'Master Sheet'!K148,"")</f>
        <v/>
      </c>
      <c r="L146" t="str">
        <f>IF('Master Sheet'!C148="Area 3 (Saranya R)",'Master Sheet'!L148,"")</f>
        <v/>
      </c>
      <c r="M146" t="str">
        <f>IF('Master Sheet'!C148="Area 3 (Saranya R)",'Master Sheet'!M148,"")</f>
        <v/>
      </c>
      <c r="N146" t="str">
        <f>IF('Master Sheet'!C148="Area 3 (Saranya R)",'Master Sheet'!N148,"")</f>
        <v/>
      </c>
      <c r="O146" t="str">
        <f>IF('Master Sheet'!C148="Area 3 (Saranya R)",'Master Sheet'!O148,"")</f>
        <v/>
      </c>
      <c r="P146" t="str">
        <f>IF('Master Sheet'!C148="Area 3 (Saranya R)",'Master Sheet'!P148,"")</f>
        <v/>
      </c>
    </row>
    <row r="147" spans="1:16" hidden="1" x14ac:dyDescent="0.25">
      <c r="A147" t="str">
        <f>IF('Master Sheet'!C149="Area 3 (Saranya R)",'Master Sheet'!A149,"")</f>
        <v/>
      </c>
      <c r="B147" t="str">
        <f>IF('Master Sheet'!C149="Area 3 (Saranya R)",'Master Sheet'!B149,"")</f>
        <v/>
      </c>
      <c r="C147" t="s">
        <v>6</v>
      </c>
      <c r="D147" t="str">
        <f>IF('Master Sheet'!C149="Area 3 (Saranya R)",'Master Sheet'!D149,"")</f>
        <v/>
      </c>
      <c r="E147" t="str">
        <f>IF('Master Sheet'!C149="Area 3 (Saranya R)",'Master Sheet'!E149,"")</f>
        <v/>
      </c>
      <c r="F147" t="str">
        <f>IF('Master Sheet'!C149="Area 3 (Saranya R)",'Master Sheet'!F149,"")</f>
        <v/>
      </c>
      <c r="G147" t="str">
        <f>IF('Master Sheet'!C149="Area 3 (Saranya R)",'Master Sheet'!G149,"")</f>
        <v/>
      </c>
      <c r="H147" t="str">
        <f>IF('Master Sheet'!C149="Area 3 (Saranya R)",'Master Sheet'!H149,"")</f>
        <v/>
      </c>
      <c r="I147" t="str">
        <f>IF('Master Sheet'!C149="Area 3 (Saranya R)",'Master Sheet'!I149,"")</f>
        <v/>
      </c>
      <c r="J147" t="str">
        <f>IF('Master Sheet'!C149="Area 3 (Saranya R)",'Master Sheet'!J149,"")</f>
        <v/>
      </c>
      <c r="K147" t="str">
        <f>IF('Master Sheet'!C149="Area 3 (Saranya R)",'Master Sheet'!K149,"")</f>
        <v/>
      </c>
      <c r="L147" t="str">
        <f>IF('Master Sheet'!C149="Area 3 (Saranya R)",'Master Sheet'!L149,"")</f>
        <v/>
      </c>
      <c r="M147" t="str">
        <f>IF('Master Sheet'!C149="Area 3 (Saranya R)",'Master Sheet'!M149,"")</f>
        <v/>
      </c>
      <c r="N147" t="str">
        <f>IF('Master Sheet'!C149="Area 3 (Saranya R)",'Master Sheet'!N149,"")</f>
        <v/>
      </c>
      <c r="O147" t="str">
        <f>IF('Master Sheet'!C149="Area 3 (Saranya R)",'Master Sheet'!O149,"")</f>
        <v/>
      </c>
      <c r="P147" t="str">
        <f>IF('Master Sheet'!C149="Area 3 (Saranya R)",'Master Sheet'!P149,"")</f>
        <v/>
      </c>
    </row>
    <row r="148" spans="1:16" hidden="1" x14ac:dyDescent="0.25">
      <c r="A148" t="str">
        <f>IF('Master Sheet'!C150="Area 3 (Saranya R)",'Master Sheet'!A150,"")</f>
        <v/>
      </c>
      <c r="B148" t="str">
        <f>IF('Master Sheet'!C150="Area 3 (Saranya R)",'Master Sheet'!B150,"")</f>
        <v/>
      </c>
      <c r="C148" t="s">
        <v>6</v>
      </c>
      <c r="D148" t="str">
        <f>IF('Master Sheet'!C150="Area 3 (Saranya R)",'Master Sheet'!D150,"")</f>
        <v/>
      </c>
      <c r="E148" t="str">
        <f>IF('Master Sheet'!C150="Area 3 (Saranya R)",'Master Sheet'!E150,"")</f>
        <v/>
      </c>
      <c r="F148" t="str">
        <f>IF('Master Sheet'!C150="Area 3 (Saranya R)",'Master Sheet'!F150,"")</f>
        <v/>
      </c>
      <c r="G148" t="str">
        <f>IF('Master Sheet'!C150="Area 3 (Saranya R)",'Master Sheet'!G150,"")</f>
        <v/>
      </c>
      <c r="H148" t="str">
        <f>IF('Master Sheet'!C150="Area 3 (Saranya R)",'Master Sheet'!H150,"")</f>
        <v/>
      </c>
      <c r="I148" t="str">
        <f>IF('Master Sheet'!C150="Area 3 (Saranya R)",'Master Sheet'!I150,"")</f>
        <v/>
      </c>
      <c r="J148" t="str">
        <f>IF('Master Sheet'!C150="Area 3 (Saranya R)",'Master Sheet'!J150,"")</f>
        <v/>
      </c>
      <c r="K148" t="str">
        <f>IF('Master Sheet'!C150="Area 3 (Saranya R)",'Master Sheet'!K150,"")</f>
        <v/>
      </c>
      <c r="L148" t="str">
        <f>IF('Master Sheet'!C150="Area 3 (Saranya R)",'Master Sheet'!L150,"")</f>
        <v/>
      </c>
      <c r="M148" t="str">
        <f>IF('Master Sheet'!C150="Area 3 (Saranya R)",'Master Sheet'!M150,"")</f>
        <v/>
      </c>
      <c r="N148" t="str">
        <f>IF('Master Sheet'!C150="Area 3 (Saranya R)",'Master Sheet'!N150,"")</f>
        <v/>
      </c>
      <c r="O148" t="str">
        <f>IF('Master Sheet'!C150="Area 3 (Saranya R)",'Master Sheet'!O150,"")</f>
        <v/>
      </c>
      <c r="P148" t="str">
        <f>IF('Master Sheet'!C150="Area 3 (Saranya R)",'Master Sheet'!P150,"")</f>
        <v/>
      </c>
    </row>
    <row r="149" spans="1:16" hidden="1" x14ac:dyDescent="0.25">
      <c r="A149" t="str">
        <f>IF('Master Sheet'!C151="Area 3 (Saranya R)",'Master Sheet'!A151,"")</f>
        <v/>
      </c>
      <c r="B149" t="str">
        <f>IF('Master Sheet'!C151="Area 3 (Saranya R)",'Master Sheet'!B151,"")</f>
        <v/>
      </c>
      <c r="C149" t="s">
        <v>6</v>
      </c>
      <c r="D149" t="str">
        <f>IF('Master Sheet'!C151="Area 3 (Saranya R)",'Master Sheet'!D151,"")</f>
        <v/>
      </c>
      <c r="E149" t="str">
        <f>IF('Master Sheet'!C151="Area 3 (Saranya R)",'Master Sheet'!E151,"")</f>
        <v/>
      </c>
      <c r="F149" t="str">
        <f>IF('Master Sheet'!C151="Area 3 (Saranya R)",'Master Sheet'!F151,"")</f>
        <v/>
      </c>
      <c r="G149" t="str">
        <f>IF('Master Sheet'!C151="Area 3 (Saranya R)",'Master Sheet'!G151,"")</f>
        <v/>
      </c>
      <c r="H149" t="str">
        <f>IF('Master Sheet'!C151="Area 3 (Saranya R)",'Master Sheet'!H151,"")</f>
        <v/>
      </c>
      <c r="I149" t="str">
        <f>IF('Master Sheet'!C151="Area 3 (Saranya R)",'Master Sheet'!I151,"")</f>
        <v/>
      </c>
      <c r="J149" t="str">
        <f>IF('Master Sheet'!C151="Area 3 (Saranya R)",'Master Sheet'!J151,"")</f>
        <v/>
      </c>
      <c r="K149" t="str">
        <f>IF('Master Sheet'!C151="Area 3 (Saranya R)",'Master Sheet'!K151,"")</f>
        <v/>
      </c>
      <c r="L149" t="str">
        <f>IF('Master Sheet'!C151="Area 3 (Saranya R)",'Master Sheet'!L151,"")</f>
        <v/>
      </c>
      <c r="M149" t="str">
        <f>IF('Master Sheet'!C151="Area 3 (Saranya R)",'Master Sheet'!M151,"")</f>
        <v/>
      </c>
      <c r="N149" t="str">
        <f>IF('Master Sheet'!C151="Area 3 (Saranya R)",'Master Sheet'!N151,"")</f>
        <v/>
      </c>
      <c r="O149" t="str">
        <f>IF('Master Sheet'!C151="Area 3 (Saranya R)",'Master Sheet'!O151,"")</f>
        <v/>
      </c>
      <c r="P149" t="str">
        <f>IF('Master Sheet'!C151="Area 3 (Saranya R)",'Master Sheet'!P151,"")</f>
        <v/>
      </c>
    </row>
    <row r="150" spans="1:16" hidden="1" x14ac:dyDescent="0.25">
      <c r="A150" t="str">
        <f>IF('Master Sheet'!C152="Area 3 (Saranya R)",'Master Sheet'!A152,"")</f>
        <v/>
      </c>
      <c r="B150" t="str">
        <f>IF('Master Sheet'!C152="Area 3 (Saranya R)",'Master Sheet'!B152,"")</f>
        <v/>
      </c>
      <c r="C150" t="s">
        <v>6</v>
      </c>
      <c r="D150" t="str">
        <f>IF('Master Sheet'!C152="Area 3 (Saranya R)",'Master Sheet'!D152,"")</f>
        <v/>
      </c>
      <c r="E150" t="str">
        <f>IF('Master Sheet'!C152="Area 3 (Saranya R)",'Master Sheet'!E152,"")</f>
        <v/>
      </c>
      <c r="F150" t="str">
        <f>IF('Master Sheet'!C152="Area 3 (Saranya R)",'Master Sheet'!F152,"")</f>
        <v/>
      </c>
      <c r="G150" t="str">
        <f>IF('Master Sheet'!C152="Area 3 (Saranya R)",'Master Sheet'!G152,"")</f>
        <v/>
      </c>
      <c r="H150" t="str">
        <f>IF('Master Sheet'!C152="Area 3 (Saranya R)",'Master Sheet'!H152,"")</f>
        <v/>
      </c>
      <c r="I150" t="str">
        <f>IF('Master Sheet'!C152="Area 3 (Saranya R)",'Master Sheet'!I152,"")</f>
        <v/>
      </c>
      <c r="J150" t="str">
        <f>IF('Master Sheet'!C152="Area 3 (Saranya R)",'Master Sheet'!J152,"")</f>
        <v/>
      </c>
      <c r="K150" t="str">
        <f>IF('Master Sheet'!C152="Area 3 (Saranya R)",'Master Sheet'!K152,"")</f>
        <v/>
      </c>
      <c r="L150" t="str">
        <f>IF('Master Sheet'!C152="Area 3 (Saranya R)",'Master Sheet'!L152,"")</f>
        <v/>
      </c>
      <c r="M150" t="str">
        <f>IF('Master Sheet'!C152="Area 3 (Saranya R)",'Master Sheet'!M152,"")</f>
        <v/>
      </c>
      <c r="N150" t="str">
        <f>IF('Master Sheet'!C152="Area 3 (Saranya R)",'Master Sheet'!N152,"")</f>
        <v/>
      </c>
      <c r="O150" t="str">
        <f>IF('Master Sheet'!C152="Area 3 (Saranya R)",'Master Sheet'!O152,"")</f>
        <v/>
      </c>
      <c r="P150" t="str">
        <f>IF('Master Sheet'!C152="Area 3 (Saranya R)",'Master Sheet'!P152,"")</f>
        <v/>
      </c>
    </row>
    <row r="151" spans="1:16" ht="15.75" hidden="1" x14ac:dyDescent="0.25">
      <c r="A151" s="34" t="str">
        <f>IF('Master Sheet'!C152="Area 3 (Saranya R)",'Master Sheet'!A152,"")</f>
        <v/>
      </c>
      <c r="B151" s="35" t="str">
        <f>IF('Master Sheet'!C152="Area 3 (Saranya R)",'Master Sheet'!B152,"")</f>
        <v/>
      </c>
    </row>
    <row r="152" spans="1:16" ht="15.75" x14ac:dyDescent="0.25">
      <c r="A152" s="2"/>
      <c r="B152" s="32"/>
      <c r="D152" s="30">
        <f>SUBTOTAL(9,D43:D151)</f>
        <v>1400</v>
      </c>
      <c r="E152" s="30">
        <f t="shared" ref="E152:M152" si="0">SUBTOTAL(9,E43:E151)</f>
        <v>5000</v>
      </c>
      <c r="F152" s="30">
        <f t="shared" si="0"/>
        <v>2500</v>
      </c>
      <c r="G152" s="30">
        <f t="shared" si="0"/>
        <v>8800</v>
      </c>
      <c r="H152" s="30">
        <f t="shared" si="0"/>
        <v>0</v>
      </c>
      <c r="I152" s="30">
        <f t="shared" si="0"/>
        <v>0</v>
      </c>
      <c r="J152" s="30">
        <f t="shared" si="0"/>
        <v>0</v>
      </c>
      <c r="K152" s="30">
        <f t="shared" si="0"/>
        <v>0</v>
      </c>
      <c r="L152" s="30">
        <f t="shared" si="0"/>
        <v>0</v>
      </c>
      <c r="M152" s="30">
        <f t="shared" si="0"/>
        <v>0</v>
      </c>
      <c r="N152" s="30">
        <f>D152+E152+F152+G152+H152+I152+J152+K152+L152+M152</f>
        <v>17700</v>
      </c>
      <c r="O152" s="31"/>
      <c r="P152" s="31"/>
    </row>
  </sheetData>
  <autoFilter ref="A1:P151">
    <filterColumn colId="0">
      <customFilters>
        <customFilter operator="notEqual" val=" "/>
      </customFilters>
    </filterColumn>
  </autoFilter>
  <printOptions horizontalCentered="1"/>
  <pageMargins left="0.75" right="0.75" top="1" bottom="1" header="0.5" footer="0.5"/>
  <pageSetup paperSize="8" scale="11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52"/>
  <sheetViews>
    <sheetView zoomScale="85" zoomScaleNormal="85" workbookViewId="0">
      <pane ySplit="68" topLeftCell="A69" activePane="bottomLeft" state="frozen"/>
      <selection pane="bottomLeft" sqref="A1:O152"/>
    </sheetView>
  </sheetViews>
  <sheetFormatPr defaultRowHeight="15" x14ac:dyDescent="0.25"/>
  <cols>
    <col min="1" max="1" width="12.7109375" customWidth="1"/>
    <col min="2" max="2" width="30.28515625" customWidth="1"/>
    <col min="3" max="3" width="0" hidden="1" customWidth="1"/>
    <col min="4" max="13" width="8.85546875" style="1"/>
    <col min="14" max="14" width="13.28515625" style="1" customWidth="1"/>
    <col min="15" max="15" width="12.5703125" style="1" customWidth="1"/>
    <col min="16" max="16" width="9.7109375" style="1" customWidth="1"/>
  </cols>
  <sheetData>
    <row r="1" spans="1:16" s="8" customFormat="1" ht="19.899999999999999" customHeight="1" x14ac:dyDescent="0.25">
      <c r="A1" s="18" t="s">
        <v>11</v>
      </c>
      <c r="B1" s="18" t="s">
        <v>12</v>
      </c>
      <c r="C1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21" t="s">
        <v>23</v>
      </c>
      <c r="N1" s="21" t="s">
        <v>24</v>
      </c>
      <c r="O1" s="21" t="s">
        <v>25</v>
      </c>
      <c r="P1" s="21" t="s">
        <v>26</v>
      </c>
    </row>
    <row r="2" spans="1:16" hidden="1" x14ac:dyDescent="0.25">
      <c r="A2" t="str">
        <f>IF('Master Sheet'!C3="Area 4 (Anitha R)",'Master Sheet'!A3,"")</f>
        <v/>
      </c>
      <c r="B2" t="str">
        <f>IF('Master Sheet'!C3="Area 4 (Anitha R)",'Master Sheet'!B3,"")</f>
        <v/>
      </c>
      <c r="C2" t="s">
        <v>7</v>
      </c>
      <c r="D2" t="str">
        <f>IF('Master Sheet'!C3="Area 4 (Anitha R)",'Master Sheet'!D3,"")</f>
        <v/>
      </c>
      <c r="E2" t="str">
        <f>IF('Master Sheet'!C3="Area 4 (Anitha R)",'Master Sheet'!E3,"")</f>
        <v/>
      </c>
      <c r="F2" t="str">
        <f>IF('Master Sheet'!C3="Area 4 (Anitha R)",'Master Sheet'!F3,"")</f>
        <v/>
      </c>
      <c r="G2" t="str">
        <f>IF('Master Sheet'!C3="Area 4 (Anitha R)",'Master Sheet'!G3,"")</f>
        <v/>
      </c>
      <c r="H2" t="str">
        <f>IF('Master Sheet'!C3="Area 4 (Anitha R)",'Master Sheet'!H3,"")</f>
        <v/>
      </c>
      <c r="I2" t="str">
        <f>IF('Master Sheet'!C3="Area 4 (Anitha R)",'Master Sheet'!I3,"")</f>
        <v/>
      </c>
      <c r="J2" t="str">
        <f>IF('Master Sheet'!C3="Area 4 (Anitha R)",'Master Sheet'!J3,"")</f>
        <v/>
      </c>
      <c r="K2" t="str">
        <f>IF('Master Sheet'!C3="Area 4 (Anitha R)",'Master Sheet'!K3,"")</f>
        <v/>
      </c>
      <c r="L2" t="str">
        <f>IF('Master Sheet'!C3="Area 4 (Anitha R)",'Master Sheet'!L3,"")</f>
        <v/>
      </c>
      <c r="M2" t="str">
        <f>IF('Master Sheet'!C3="Area 4 (Anitha R)",'Master Sheet'!M3,"")</f>
        <v/>
      </c>
      <c r="N2" t="str">
        <f>IF('Master Sheet'!C3="Area 4 (Anitha R)",'Master Sheet'!N3,"")</f>
        <v/>
      </c>
      <c r="O2" t="str">
        <f>IF('Master Sheet'!C3="Area 4 (Anitha R)",'Master Sheet'!O3,"")</f>
        <v/>
      </c>
      <c r="P2" t="str">
        <f>IF('Master Sheet'!C3="Area 4 (Anitha R)",'Master Sheet'!P3,"")</f>
        <v/>
      </c>
    </row>
    <row r="3" spans="1:16" hidden="1" x14ac:dyDescent="0.25">
      <c r="A3" t="str">
        <f>IF('Master Sheet'!C4="Area 4 (Anitha R)",'Master Sheet'!A4,"")</f>
        <v/>
      </c>
      <c r="B3" t="str">
        <f>IF('Master Sheet'!C4="Area 4 (Anitha R)",'Master Sheet'!B4,"")</f>
        <v/>
      </c>
      <c r="C3" t="s">
        <v>7</v>
      </c>
      <c r="D3" t="str">
        <f>IF('Master Sheet'!C4="Area 4 (Anitha R)",'Master Sheet'!D4,"")</f>
        <v/>
      </c>
      <c r="E3" t="str">
        <f>IF('Master Sheet'!C4="Area 4 (Anitha R)",'Master Sheet'!E4,"")</f>
        <v/>
      </c>
      <c r="F3" t="str">
        <f>IF('Master Sheet'!C4="Area 4 (Anitha R)",'Master Sheet'!F4,"")</f>
        <v/>
      </c>
      <c r="G3" t="str">
        <f>IF('Master Sheet'!C4="Area 4 (Anitha R)",'Master Sheet'!G4,"")</f>
        <v/>
      </c>
      <c r="H3" t="str">
        <f>IF('Master Sheet'!C4="Area 4 (Anitha R)",'Master Sheet'!H4,"")</f>
        <v/>
      </c>
      <c r="I3" t="str">
        <f>IF('Master Sheet'!C4="Area 4 (Anitha R)",'Master Sheet'!I4,"")</f>
        <v/>
      </c>
      <c r="J3" t="str">
        <f>IF('Master Sheet'!C4="Area 4 (Anitha R)",'Master Sheet'!J4,"")</f>
        <v/>
      </c>
      <c r="K3" t="str">
        <f>IF('Master Sheet'!C4="Area 4 (Anitha R)",'Master Sheet'!K4,"")</f>
        <v/>
      </c>
      <c r="L3" t="str">
        <f>IF('Master Sheet'!C4="Area 4 (Anitha R)",'Master Sheet'!L4,"")</f>
        <v/>
      </c>
      <c r="M3" t="str">
        <f>IF('Master Sheet'!C4="Area 4 (Anitha R)",'Master Sheet'!M4,"")</f>
        <v/>
      </c>
      <c r="N3" t="str">
        <f>IF('Master Sheet'!C4="Area 4 (Anitha R)",'Master Sheet'!N4,"")</f>
        <v/>
      </c>
      <c r="O3" t="str">
        <f>IF('Master Sheet'!C4="Area 4 (Anitha R)",'Master Sheet'!O4,"")</f>
        <v/>
      </c>
      <c r="P3" t="str">
        <f>IF('Master Sheet'!C4="Area 4 (Anitha R)",'Master Sheet'!P4,"")</f>
        <v/>
      </c>
    </row>
    <row r="4" spans="1:16" hidden="1" x14ac:dyDescent="0.25">
      <c r="A4" t="str">
        <f>IF('Master Sheet'!C5="Area 4 (Anitha R)",'Master Sheet'!A5,"")</f>
        <v/>
      </c>
      <c r="B4" t="str">
        <f>IF('Master Sheet'!C5="Area 4 (Anitha R)",'Master Sheet'!B5,"")</f>
        <v/>
      </c>
      <c r="C4" t="s">
        <v>7</v>
      </c>
      <c r="D4" t="str">
        <f>IF('Master Sheet'!C5="Area 4 (Anitha R)",'Master Sheet'!D5,"")</f>
        <v/>
      </c>
      <c r="E4" t="str">
        <f>IF('Master Sheet'!C5="Area 4 (Anitha R)",'Master Sheet'!E5,"")</f>
        <v/>
      </c>
      <c r="F4" t="str">
        <f>IF('Master Sheet'!C5="Area 4 (Anitha R)",'Master Sheet'!F5,"")</f>
        <v/>
      </c>
      <c r="G4" t="str">
        <f>IF('Master Sheet'!C5="Area 4 (Anitha R)",'Master Sheet'!G5,"")</f>
        <v/>
      </c>
      <c r="H4" t="str">
        <f>IF('Master Sheet'!C5="Area 4 (Anitha R)",'Master Sheet'!H5,"")</f>
        <v/>
      </c>
      <c r="I4" t="str">
        <f>IF('Master Sheet'!C5="Area 4 (Anitha R)",'Master Sheet'!I5,"")</f>
        <v/>
      </c>
      <c r="J4" t="str">
        <f>IF('Master Sheet'!C5="Area 4 (Anitha R)",'Master Sheet'!J5,"")</f>
        <v/>
      </c>
      <c r="K4" t="str">
        <f>IF('Master Sheet'!C5="Area 4 (Anitha R)",'Master Sheet'!K5,"")</f>
        <v/>
      </c>
      <c r="L4" t="str">
        <f>IF('Master Sheet'!C5="Area 4 (Anitha R)",'Master Sheet'!L5,"")</f>
        <v/>
      </c>
      <c r="M4" t="str">
        <f>IF('Master Sheet'!C5="Area 4 (Anitha R)",'Master Sheet'!M5,"")</f>
        <v/>
      </c>
      <c r="N4" t="str">
        <f>IF('Master Sheet'!C5="Area 4 (Anitha R)",'Master Sheet'!N5,"")</f>
        <v/>
      </c>
      <c r="O4" t="str">
        <f>IF('Master Sheet'!C5="Area 4 (Anitha R)",'Master Sheet'!O5,"")</f>
        <v/>
      </c>
      <c r="P4" t="str">
        <f>IF('Master Sheet'!C5="Area 4 (Anitha R)",'Master Sheet'!P5,"")</f>
        <v/>
      </c>
    </row>
    <row r="5" spans="1:16" hidden="1" x14ac:dyDescent="0.25">
      <c r="A5" t="str">
        <f>IF('Master Sheet'!C6="Area 4 (Anitha R)",'Master Sheet'!A6,"")</f>
        <v/>
      </c>
      <c r="B5" t="str">
        <f>IF('Master Sheet'!C6="Area 4 (Anitha R)",'Master Sheet'!B6,"")</f>
        <v/>
      </c>
      <c r="C5" t="s">
        <v>7</v>
      </c>
      <c r="D5" t="str">
        <f>IF('Master Sheet'!C6="Area 4 (Anitha R)",'Master Sheet'!D6,"")</f>
        <v/>
      </c>
      <c r="E5" t="str">
        <f>IF('Master Sheet'!C6="Area 4 (Anitha R)",'Master Sheet'!E6,"")</f>
        <v/>
      </c>
      <c r="F5" t="str">
        <f>IF('Master Sheet'!C6="Area 4 (Anitha R)",'Master Sheet'!F6,"")</f>
        <v/>
      </c>
      <c r="G5" t="str">
        <f>IF('Master Sheet'!C6="Area 4 (Anitha R)",'Master Sheet'!G6,"")</f>
        <v/>
      </c>
      <c r="H5" t="str">
        <f>IF('Master Sheet'!C6="Area 4 (Anitha R)",'Master Sheet'!H6,"")</f>
        <v/>
      </c>
      <c r="I5" t="str">
        <f>IF('Master Sheet'!C6="Area 4 (Anitha R)",'Master Sheet'!I6,"")</f>
        <v/>
      </c>
      <c r="J5" t="str">
        <f>IF('Master Sheet'!C6="Area 4 (Anitha R)",'Master Sheet'!J6,"")</f>
        <v/>
      </c>
      <c r="K5" t="str">
        <f>IF('Master Sheet'!C6="Area 4 (Anitha R)",'Master Sheet'!K6,"")</f>
        <v/>
      </c>
      <c r="L5" t="str">
        <f>IF('Master Sheet'!C6="Area 4 (Anitha R)",'Master Sheet'!L6,"")</f>
        <v/>
      </c>
      <c r="M5" t="str">
        <f>IF('Master Sheet'!C6="Area 4 (Anitha R)",'Master Sheet'!M6,"")</f>
        <v/>
      </c>
      <c r="N5" t="str">
        <f>IF('Master Sheet'!C6="Area 4 (Anitha R)",'Master Sheet'!N6,"")</f>
        <v/>
      </c>
      <c r="O5" t="str">
        <f>IF('Master Sheet'!C6="Area 4 (Anitha R)",'Master Sheet'!O6,"")</f>
        <v/>
      </c>
      <c r="P5" t="str">
        <f>IF('Master Sheet'!C6="Area 4 (Anitha R)",'Master Sheet'!P6,"")</f>
        <v/>
      </c>
    </row>
    <row r="6" spans="1:16" hidden="1" x14ac:dyDescent="0.25">
      <c r="A6" t="str">
        <f>IF('Master Sheet'!C7="Area 4 (Anitha R)",'Master Sheet'!A7,"")</f>
        <v/>
      </c>
      <c r="B6" t="str">
        <f>IF('Master Sheet'!C7="Area 4 (Anitha R)",'Master Sheet'!B7,"")</f>
        <v/>
      </c>
      <c r="C6" t="s">
        <v>7</v>
      </c>
      <c r="D6" t="str">
        <f>IF('Master Sheet'!C7="Area 4 (Anitha R)",'Master Sheet'!D7,"")</f>
        <v/>
      </c>
      <c r="E6" t="str">
        <f>IF('Master Sheet'!C7="Area 4 (Anitha R)",'Master Sheet'!E7,"")</f>
        <v/>
      </c>
      <c r="F6" t="str">
        <f>IF('Master Sheet'!C7="Area 4 (Anitha R)",'Master Sheet'!F7,"")</f>
        <v/>
      </c>
      <c r="G6" t="str">
        <f>IF('Master Sheet'!C7="Area 4 (Anitha R)",'Master Sheet'!G7,"")</f>
        <v/>
      </c>
      <c r="H6" t="str">
        <f>IF('Master Sheet'!C7="Area 4 (Anitha R)",'Master Sheet'!H7,"")</f>
        <v/>
      </c>
      <c r="I6" t="str">
        <f>IF('Master Sheet'!C7="Area 4 (Anitha R)",'Master Sheet'!I7,"")</f>
        <v/>
      </c>
      <c r="J6" t="str">
        <f>IF('Master Sheet'!C7="Area 4 (Anitha R)",'Master Sheet'!J7,"")</f>
        <v/>
      </c>
      <c r="K6" t="str">
        <f>IF('Master Sheet'!C7="Area 4 (Anitha R)",'Master Sheet'!K7,"")</f>
        <v/>
      </c>
      <c r="L6" t="str">
        <f>IF('Master Sheet'!C7="Area 4 (Anitha R)",'Master Sheet'!L7,"")</f>
        <v/>
      </c>
      <c r="M6" t="str">
        <f>IF('Master Sheet'!C7="Area 4 (Anitha R)",'Master Sheet'!M7,"")</f>
        <v/>
      </c>
      <c r="N6" t="str">
        <f>IF('Master Sheet'!C7="Area 4 (Anitha R)",'Master Sheet'!N7,"")</f>
        <v/>
      </c>
      <c r="O6" t="str">
        <f>IF('Master Sheet'!C7="Area 4 (Anitha R)",'Master Sheet'!O7,"")</f>
        <v/>
      </c>
      <c r="P6" t="str">
        <f>IF('Master Sheet'!C7="Area 4 (Anitha R)",'Master Sheet'!P7,"")</f>
        <v/>
      </c>
    </row>
    <row r="7" spans="1:16" hidden="1" x14ac:dyDescent="0.25">
      <c r="A7" t="str">
        <f>IF('Master Sheet'!C8="Area 4 (Anitha R)",'Master Sheet'!A8,"")</f>
        <v/>
      </c>
      <c r="B7" t="str">
        <f>IF('Master Sheet'!C8="Area 4 (Anitha R)",'Master Sheet'!B8,"")</f>
        <v/>
      </c>
      <c r="C7" t="s">
        <v>7</v>
      </c>
      <c r="D7" t="str">
        <f>IF('Master Sheet'!C8="Area 4 (Anitha R)",'Master Sheet'!D8,"")</f>
        <v/>
      </c>
      <c r="E7" t="str">
        <f>IF('Master Sheet'!C8="Area 4 (Anitha R)",'Master Sheet'!E8,"")</f>
        <v/>
      </c>
      <c r="F7" t="str">
        <f>IF('Master Sheet'!C8="Area 4 (Anitha R)",'Master Sheet'!F8,"")</f>
        <v/>
      </c>
      <c r="G7" t="str">
        <f>IF('Master Sheet'!C8="Area 4 (Anitha R)",'Master Sheet'!G8,"")</f>
        <v/>
      </c>
      <c r="H7" t="str">
        <f>IF('Master Sheet'!C8="Area 4 (Anitha R)",'Master Sheet'!H8,"")</f>
        <v/>
      </c>
      <c r="I7" t="str">
        <f>IF('Master Sheet'!C8="Area 4 (Anitha R)",'Master Sheet'!I8,"")</f>
        <v/>
      </c>
      <c r="J7" t="str">
        <f>IF('Master Sheet'!C8="Area 4 (Anitha R)",'Master Sheet'!J8,"")</f>
        <v/>
      </c>
      <c r="K7" t="str">
        <f>IF('Master Sheet'!C8="Area 4 (Anitha R)",'Master Sheet'!K8,"")</f>
        <v/>
      </c>
      <c r="L7" t="str">
        <f>IF('Master Sheet'!C8="Area 4 (Anitha R)",'Master Sheet'!L8,"")</f>
        <v/>
      </c>
      <c r="M7" t="str">
        <f>IF('Master Sheet'!C8="Area 4 (Anitha R)",'Master Sheet'!M8,"")</f>
        <v/>
      </c>
      <c r="N7" t="str">
        <f>IF('Master Sheet'!C8="Area 4 (Anitha R)",'Master Sheet'!N8,"")</f>
        <v/>
      </c>
      <c r="O7" t="str">
        <f>IF('Master Sheet'!C8="Area 4 (Anitha R)",'Master Sheet'!O8,"")</f>
        <v/>
      </c>
      <c r="P7" t="str">
        <f>IF('Master Sheet'!C8="Area 4 (Anitha R)",'Master Sheet'!P8,"")</f>
        <v/>
      </c>
    </row>
    <row r="8" spans="1:16" hidden="1" x14ac:dyDescent="0.25">
      <c r="A8" t="str">
        <f>IF('Master Sheet'!C9="Area 4 (Anitha R)",'Master Sheet'!A9,"")</f>
        <v/>
      </c>
      <c r="B8" t="str">
        <f>IF('Master Sheet'!C9="Area 4 (Anitha R)",'Master Sheet'!B9,"")</f>
        <v/>
      </c>
      <c r="C8" t="s">
        <v>7</v>
      </c>
      <c r="D8" t="str">
        <f>IF('Master Sheet'!C9="Area 4 (Anitha R)",'Master Sheet'!D9,"")</f>
        <v/>
      </c>
      <c r="E8" t="str">
        <f>IF('Master Sheet'!C9="Area 4 (Anitha R)",'Master Sheet'!E9,"")</f>
        <v/>
      </c>
      <c r="F8" t="str">
        <f>IF('Master Sheet'!C9="Area 4 (Anitha R)",'Master Sheet'!F9,"")</f>
        <v/>
      </c>
      <c r="G8" t="str">
        <f>IF('Master Sheet'!C9="Area 4 (Anitha R)",'Master Sheet'!G9,"")</f>
        <v/>
      </c>
      <c r="H8" t="str">
        <f>IF('Master Sheet'!C9="Area 4 (Anitha R)",'Master Sheet'!H9,"")</f>
        <v/>
      </c>
      <c r="I8" t="str">
        <f>IF('Master Sheet'!C9="Area 4 (Anitha R)",'Master Sheet'!I9,"")</f>
        <v/>
      </c>
      <c r="J8" t="str">
        <f>IF('Master Sheet'!C9="Area 4 (Anitha R)",'Master Sheet'!J9,"")</f>
        <v/>
      </c>
      <c r="K8" t="str">
        <f>IF('Master Sheet'!C9="Area 4 (Anitha R)",'Master Sheet'!K9,"")</f>
        <v/>
      </c>
      <c r="L8" t="str">
        <f>IF('Master Sheet'!C9="Area 4 (Anitha R)",'Master Sheet'!L9,"")</f>
        <v/>
      </c>
      <c r="M8" t="str">
        <f>IF('Master Sheet'!C9="Area 4 (Anitha R)",'Master Sheet'!M9,"")</f>
        <v/>
      </c>
      <c r="N8" t="str">
        <f>IF('Master Sheet'!C9="Area 4 (Anitha R)",'Master Sheet'!N9,"")</f>
        <v/>
      </c>
      <c r="O8" t="str">
        <f>IF('Master Sheet'!C9="Area 4 (Anitha R)",'Master Sheet'!O9,"")</f>
        <v/>
      </c>
      <c r="P8" t="str">
        <f>IF('Master Sheet'!C9="Area 4 (Anitha R)",'Master Sheet'!P9,"")</f>
        <v/>
      </c>
    </row>
    <row r="9" spans="1:16" hidden="1" x14ac:dyDescent="0.25">
      <c r="A9" t="str">
        <f>IF('Master Sheet'!C10="Area 4 (Anitha R)",'Master Sheet'!A10,"")</f>
        <v/>
      </c>
      <c r="B9" t="str">
        <f>IF('Master Sheet'!C10="Area 4 (Anitha R)",'Master Sheet'!B10,"")</f>
        <v/>
      </c>
      <c r="C9" t="s">
        <v>7</v>
      </c>
      <c r="D9" t="str">
        <f>IF('Master Sheet'!C10="Area 4 (Anitha R)",'Master Sheet'!D10,"")</f>
        <v/>
      </c>
      <c r="E9" t="str">
        <f>IF('Master Sheet'!C10="Area 4 (Anitha R)",'Master Sheet'!E10,"")</f>
        <v/>
      </c>
      <c r="F9" t="str">
        <f>IF('Master Sheet'!C10="Area 4 (Anitha R)",'Master Sheet'!F10,"")</f>
        <v/>
      </c>
      <c r="G9" t="str">
        <f>IF('Master Sheet'!C10="Area 4 (Anitha R)",'Master Sheet'!G10,"")</f>
        <v/>
      </c>
      <c r="H9" t="str">
        <f>IF('Master Sheet'!C10="Area 4 (Anitha R)",'Master Sheet'!H10,"")</f>
        <v/>
      </c>
      <c r="I9" t="str">
        <f>IF('Master Sheet'!C10="Area 4 (Anitha R)",'Master Sheet'!I10,"")</f>
        <v/>
      </c>
      <c r="J9" t="str">
        <f>IF('Master Sheet'!C10="Area 4 (Anitha R)",'Master Sheet'!J10,"")</f>
        <v/>
      </c>
      <c r="K9" t="str">
        <f>IF('Master Sheet'!C10="Area 4 (Anitha R)",'Master Sheet'!K10,"")</f>
        <v/>
      </c>
      <c r="L9" t="str">
        <f>IF('Master Sheet'!C10="Area 4 (Anitha R)",'Master Sheet'!L10,"")</f>
        <v/>
      </c>
      <c r="M9" t="str">
        <f>IF('Master Sheet'!C10="Area 4 (Anitha R)",'Master Sheet'!M10,"")</f>
        <v/>
      </c>
      <c r="N9" t="str">
        <f>IF('Master Sheet'!C10="Area 4 (Anitha R)",'Master Sheet'!N10,"")</f>
        <v/>
      </c>
      <c r="O9" t="str">
        <f>IF('Master Sheet'!C10="Area 4 (Anitha R)",'Master Sheet'!O10,"")</f>
        <v/>
      </c>
      <c r="P9" t="str">
        <f>IF('Master Sheet'!C10="Area 4 (Anitha R)",'Master Sheet'!P10,"")</f>
        <v/>
      </c>
    </row>
    <row r="10" spans="1:16" hidden="1" x14ac:dyDescent="0.25">
      <c r="A10" t="str">
        <f>IF('Master Sheet'!C11="Area 4 (Anitha R)",'Master Sheet'!A11,"")</f>
        <v/>
      </c>
      <c r="B10" t="str">
        <f>IF('Master Sheet'!C11="Area 4 (Anitha R)",'Master Sheet'!B11,"")</f>
        <v/>
      </c>
      <c r="C10" t="s">
        <v>7</v>
      </c>
      <c r="D10" t="str">
        <f>IF('Master Sheet'!C11="Area 4 (Anitha R)",'Master Sheet'!D11,"")</f>
        <v/>
      </c>
      <c r="E10" t="str">
        <f>IF('Master Sheet'!C11="Area 4 (Anitha R)",'Master Sheet'!E11,"")</f>
        <v/>
      </c>
      <c r="F10" t="str">
        <f>IF('Master Sheet'!C11="Area 4 (Anitha R)",'Master Sheet'!F11,"")</f>
        <v/>
      </c>
      <c r="G10" t="str">
        <f>IF('Master Sheet'!C11="Area 4 (Anitha R)",'Master Sheet'!G11,"")</f>
        <v/>
      </c>
      <c r="H10" t="str">
        <f>IF('Master Sheet'!C11="Area 4 (Anitha R)",'Master Sheet'!H11,"")</f>
        <v/>
      </c>
      <c r="I10" t="str">
        <f>IF('Master Sheet'!C11="Area 4 (Anitha R)",'Master Sheet'!I11,"")</f>
        <v/>
      </c>
      <c r="J10" t="str">
        <f>IF('Master Sheet'!C11="Area 4 (Anitha R)",'Master Sheet'!J11,"")</f>
        <v/>
      </c>
      <c r="K10" t="str">
        <f>IF('Master Sheet'!C11="Area 4 (Anitha R)",'Master Sheet'!K11,"")</f>
        <v/>
      </c>
      <c r="L10" t="str">
        <f>IF('Master Sheet'!C11="Area 4 (Anitha R)",'Master Sheet'!L11,"")</f>
        <v/>
      </c>
      <c r="M10" t="str">
        <f>IF('Master Sheet'!C11="Area 4 (Anitha R)",'Master Sheet'!M11,"")</f>
        <v/>
      </c>
      <c r="N10" t="str">
        <f>IF('Master Sheet'!C11="Area 4 (Anitha R)",'Master Sheet'!N11,"")</f>
        <v/>
      </c>
      <c r="O10" t="str">
        <f>IF('Master Sheet'!C11="Area 4 (Anitha R)",'Master Sheet'!O11,"")</f>
        <v/>
      </c>
      <c r="P10" t="str">
        <f>IF('Master Sheet'!C11="Area 4 (Anitha R)",'Master Sheet'!P11,"")</f>
        <v/>
      </c>
    </row>
    <row r="11" spans="1:16" hidden="1" x14ac:dyDescent="0.25">
      <c r="A11" t="str">
        <f>IF('Master Sheet'!C12="Area 4 (Anitha R)",'Master Sheet'!A12,"")</f>
        <v/>
      </c>
      <c r="B11" t="str">
        <f>IF('Master Sheet'!C12="Area 4 (Anitha R)",'Master Sheet'!B12,"")</f>
        <v/>
      </c>
      <c r="C11" t="s">
        <v>7</v>
      </c>
      <c r="D11" t="str">
        <f>IF('Master Sheet'!C12="Area 4 (Anitha R)",'Master Sheet'!D12,"")</f>
        <v/>
      </c>
      <c r="E11" t="str">
        <f>IF('Master Sheet'!C12="Area 4 (Anitha R)",'Master Sheet'!E12,"")</f>
        <v/>
      </c>
      <c r="F11" t="str">
        <f>IF('Master Sheet'!C12="Area 4 (Anitha R)",'Master Sheet'!F12,"")</f>
        <v/>
      </c>
      <c r="G11" t="str">
        <f>IF('Master Sheet'!C12="Area 4 (Anitha R)",'Master Sheet'!G12,"")</f>
        <v/>
      </c>
      <c r="H11" t="str">
        <f>IF('Master Sheet'!C12="Area 4 (Anitha R)",'Master Sheet'!H12,"")</f>
        <v/>
      </c>
      <c r="I11" t="str">
        <f>IF('Master Sheet'!C12="Area 4 (Anitha R)",'Master Sheet'!I12,"")</f>
        <v/>
      </c>
      <c r="J11" t="str">
        <f>IF('Master Sheet'!C12="Area 4 (Anitha R)",'Master Sheet'!J12,"")</f>
        <v/>
      </c>
      <c r="K11" t="str">
        <f>IF('Master Sheet'!C12="Area 4 (Anitha R)",'Master Sheet'!K12,"")</f>
        <v/>
      </c>
      <c r="L11" t="str">
        <f>IF('Master Sheet'!C12="Area 4 (Anitha R)",'Master Sheet'!L12,"")</f>
        <v/>
      </c>
      <c r="M11" t="str">
        <f>IF('Master Sheet'!C12="Area 4 (Anitha R)",'Master Sheet'!M12,"")</f>
        <v/>
      </c>
      <c r="N11" t="str">
        <f>IF('Master Sheet'!C12="Area 4 (Anitha R)",'Master Sheet'!N12,"")</f>
        <v/>
      </c>
      <c r="O11" t="str">
        <f>IF('Master Sheet'!C12="Area 4 (Anitha R)",'Master Sheet'!O12,"")</f>
        <v/>
      </c>
      <c r="P11" t="str">
        <f>IF('Master Sheet'!C12="Area 4 (Anitha R)",'Master Sheet'!P12,"")</f>
        <v/>
      </c>
    </row>
    <row r="12" spans="1:16" hidden="1" x14ac:dyDescent="0.25">
      <c r="A12" t="str">
        <f>IF('Master Sheet'!C13="Area 4 (Anitha R)",'Master Sheet'!A13,"")</f>
        <v/>
      </c>
      <c r="B12" t="str">
        <f>IF('Master Sheet'!C13="Area 4 (Anitha R)",'Master Sheet'!B13,"")</f>
        <v/>
      </c>
      <c r="C12" t="s">
        <v>7</v>
      </c>
      <c r="D12" t="str">
        <f>IF('Master Sheet'!C13="Area 4 (Anitha R)",'Master Sheet'!D13,"")</f>
        <v/>
      </c>
      <c r="E12" t="str">
        <f>IF('Master Sheet'!C13="Area 4 (Anitha R)",'Master Sheet'!E13,"")</f>
        <v/>
      </c>
      <c r="F12" t="str">
        <f>IF('Master Sheet'!C13="Area 4 (Anitha R)",'Master Sheet'!F13,"")</f>
        <v/>
      </c>
      <c r="G12" t="str">
        <f>IF('Master Sheet'!C13="Area 4 (Anitha R)",'Master Sheet'!G13,"")</f>
        <v/>
      </c>
      <c r="H12" t="str">
        <f>IF('Master Sheet'!C13="Area 4 (Anitha R)",'Master Sheet'!H13,"")</f>
        <v/>
      </c>
      <c r="I12" t="str">
        <f>IF('Master Sheet'!C13="Area 4 (Anitha R)",'Master Sheet'!I13,"")</f>
        <v/>
      </c>
      <c r="J12" t="str">
        <f>IF('Master Sheet'!C13="Area 4 (Anitha R)",'Master Sheet'!J13,"")</f>
        <v/>
      </c>
      <c r="K12" t="str">
        <f>IF('Master Sheet'!C13="Area 4 (Anitha R)",'Master Sheet'!K13,"")</f>
        <v/>
      </c>
      <c r="L12" t="str">
        <f>IF('Master Sheet'!C13="Area 4 (Anitha R)",'Master Sheet'!L13,"")</f>
        <v/>
      </c>
      <c r="M12" t="str">
        <f>IF('Master Sheet'!C13="Area 4 (Anitha R)",'Master Sheet'!M13,"")</f>
        <v/>
      </c>
      <c r="N12" t="str">
        <f>IF('Master Sheet'!C13="Area 4 (Anitha R)",'Master Sheet'!N13,"")</f>
        <v/>
      </c>
      <c r="O12" t="str">
        <f>IF('Master Sheet'!C13="Area 4 (Anitha R)",'Master Sheet'!O13,"")</f>
        <v/>
      </c>
      <c r="P12" t="str">
        <f>IF('Master Sheet'!C13="Area 4 (Anitha R)",'Master Sheet'!P13,"")</f>
        <v/>
      </c>
    </row>
    <row r="13" spans="1:16" hidden="1" x14ac:dyDescent="0.25">
      <c r="A13" t="str">
        <f>IF('Master Sheet'!C14="Area 4 (Anitha R)",'Master Sheet'!A14,"")</f>
        <v/>
      </c>
      <c r="B13" t="str">
        <f>IF('Master Sheet'!C14="Area 4 (Anitha R)",'Master Sheet'!B14,"")</f>
        <v/>
      </c>
      <c r="C13" t="s">
        <v>7</v>
      </c>
      <c r="D13" t="str">
        <f>IF('Master Sheet'!C14="Area 4 (Anitha R)",'Master Sheet'!D14,"")</f>
        <v/>
      </c>
      <c r="E13" t="str">
        <f>IF('Master Sheet'!C14="Area 4 (Anitha R)",'Master Sheet'!E14,"")</f>
        <v/>
      </c>
      <c r="F13" t="str">
        <f>IF('Master Sheet'!C14="Area 4 (Anitha R)",'Master Sheet'!F14,"")</f>
        <v/>
      </c>
      <c r="G13" t="str">
        <f>IF('Master Sheet'!C14="Area 4 (Anitha R)",'Master Sheet'!G14,"")</f>
        <v/>
      </c>
      <c r="H13" t="str">
        <f>IF('Master Sheet'!C14="Area 4 (Anitha R)",'Master Sheet'!H14,"")</f>
        <v/>
      </c>
      <c r="I13" t="str">
        <f>IF('Master Sheet'!C14="Area 4 (Anitha R)",'Master Sheet'!I14,"")</f>
        <v/>
      </c>
      <c r="J13" t="str">
        <f>IF('Master Sheet'!C14="Area 4 (Anitha R)",'Master Sheet'!J14,"")</f>
        <v/>
      </c>
      <c r="K13" t="str">
        <f>IF('Master Sheet'!C14="Area 4 (Anitha R)",'Master Sheet'!K14,"")</f>
        <v/>
      </c>
      <c r="L13" t="str">
        <f>IF('Master Sheet'!C14="Area 4 (Anitha R)",'Master Sheet'!L14,"")</f>
        <v/>
      </c>
      <c r="M13" t="str">
        <f>IF('Master Sheet'!C14="Area 4 (Anitha R)",'Master Sheet'!M14,"")</f>
        <v/>
      </c>
      <c r="N13" t="str">
        <f>IF('Master Sheet'!C14="Area 4 (Anitha R)",'Master Sheet'!N14,"")</f>
        <v/>
      </c>
      <c r="O13" t="str">
        <f>IF('Master Sheet'!C14="Area 4 (Anitha R)",'Master Sheet'!O14,"")</f>
        <v/>
      </c>
      <c r="P13" t="str">
        <f>IF('Master Sheet'!C14="Area 4 (Anitha R)",'Master Sheet'!P14,"")</f>
        <v/>
      </c>
    </row>
    <row r="14" spans="1:16" hidden="1" x14ac:dyDescent="0.25">
      <c r="A14" t="str">
        <f>IF('Master Sheet'!C15="Area 4 (Anitha R)",'Master Sheet'!A15,"")</f>
        <v/>
      </c>
      <c r="B14" t="str">
        <f>IF('Master Sheet'!C15="Area 4 (Anitha R)",'Master Sheet'!B15,"")</f>
        <v/>
      </c>
      <c r="C14" t="s">
        <v>7</v>
      </c>
      <c r="D14" t="str">
        <f>IF('Master Sheet'!C15="Area 4 (Anitha R)",'Master Sheet'!D15,"")</f>
        <v/>
      </c>
      <c r="E14" t="str">
        <f>IF('Master Sheet'!C15="Area 4 (Anitha R)",'Master Sheet'!E15,"")</f>
        <v/>
      </c>
      <c r="F14" t="str">
        <f>IF('Master Sheet'!C15="Area 4 (Anitha R)",'Master Sheet'!F15,"")</f>
        <v/>
      </c>
      <c r="G14" t="str">
        <f>IF('Master Sheet'!C15="Area 4 (Anitha R)",'Master Sheet'!G15,"")</f>
        <v/>
      </c>
      <c r="H14" t="str">
        <f>IF('Master Sheet'!C15="Area 4 (Anitha R)",'Master Sheet'!H15,"")</f>
        <v/>
      </c>
      <c r="I14" t="str">
        <f>IF('Master Sheet'!C15="Area 4 (Anitha R)",'Master Sheet'!I15,"")</f>
        <v/>
      </c>
      <c r="J14" t="str">
        <f>IF('Master Sheet'!C15="Area 4 (Anitha R)",'Master Sheet'!J15,"")</f>
        <v/>
      </c>
      <c r="K14" t="str">
        <f>IF('Master Sheet'!C15="Area 4 (Anitha R)",'Master Sheet'!K15,"")</f>
        <v/>
      </c>
      <c r="L14" t="str">
        <f>IF('Master Sheet'!C15="Area 4 (Anitha R)",'Master Sheet'!L15,"")</f>
        <v/>
      </c>
      <c r="M14" t="str">
        <f>IF('Master Sheet'!C15="Area 4 (Anitha R)",'Master Sheet'!M15,"")</f>
        <v/>
      </c>
      <c r="N14" t="str">
        <f>IF('Master Sheet'!C15="Area 4 (Anitha R)",'Master Sheet'!N15,"")</f>
        <v/>
      </c>
      <c r="O14" t="str">
        <f>IF('Master Sheet'!C15="Area 4 (Anitha R)",'Master Sheet'!O15,"")</f>
        <v/>
      </c>
      <c r="P14" t="str">
        <f>IF('Master Sheet'!C15="Area 4 (Anitha R)",'Master Sheet'!P15,"")</f>
        <v/>
      </c>
    </row>
    <row r="15" spans="1:16" hidden="1" x14ac:dyDescent="0.25">
      <c r="A15" t="str">
        <f>IF('Master Sheet'!C16="Area 4 (Anitha R)",'Master Sheet'!A16,"")</f>
        <v/>
      </c>
      <c r="B15" t="str">
        <f>IF('Master Sheet'!C16="Area 4 (Anitha R)",'Master Sheet'!B16,"")</f>
        <v/>
      </c>
      <c r="C15" t="s">
        <v>7</v>
      </c>
      <c r="D15" t="str">
        <f>IF('Master Sheet'!C16="Area 4 (Anitha R)",'Master Sheet'!D16,"")</f>
        <v/>
      </c>
      <c r="E15" t="str">
        <f>IF('Master Sheet'!C16="Area 4 (Anitha R)",'Master Sheet'!E16,"")</f>
        <v/>
      </c>
      <c r="F15" t="str">
        <f>IF('Master Sheet'!C16="Area 4 (Anitha R)",'Master Sheet'!F16,"")</f>
        <v/>
      </c>
      <c r="G15" t="str">
        <f>IF('Master Sheet'!C16="Area 4 (Anitha R)",'Master Sheet'!G16,"")</f>
        <v/>
      </c>
      <c r="H15" t="str">
        <f>IF('Master Sheet'!C16="Area 4 (Anitha R)",'Master Sheet'!H16,"")</f>
        <v/>
      </c>
      <c r="I15" t="str">
        <f>IF('Master Sheet'!C16="Area 4 (Anitha R)",'Master Sheet'!I16,"")</f>
        <v/>
      </c>
      <c r="J15" t="str">
        <f>IF('Master Sheet'!C16="Area 4 (Anitha R)",'Master Sheet'!J16,"")</f>
        <v/>
      </c>
      <c r="K15" t="str">
        <f>IF('Master Sheet'!C16="Area 4 (Anitha R)",'Master Sheet'!K16,"")</f>
        <v/>
      </c>
      <c r="L15" t="str">
        <f>IF('Master Sheet'!C16="Area 4 (Anitha R)",'Master Sheet'!L16,"")</f>
        <v/>
      </c>
      <c r="M15" t="str">
        <f>IF('Master Sheet'!C16="Area 4 (Anitha R)",'Master Sheet'!M16,"")</f>
        <v/>
      </c>
      <c r="N15" t="str">
        <f>IF('Master Sheet'!C16="Area 4 (Anitha R)",'Master Sheet'!N16,"")</f>
        <v/>
      </c>
      <c r="O15" t="str">
        <f>IF('Master Sheet'!C16="Area 4 (Anitha R)",'Master Sheet'!O16,"")</f>
        <v/>
      </c>
      <c r="P15" t="str">
        <f>IF('Master Sheet'!C16="Area 4 (Anitha R)",'Master Sheet'!P16,"")</f>
        <v/>
      </c>
    </row>
    <row r="16" spans="1:16" hidden="1" x14ac:dyDescent="0.25">
      <c r="A16" t="str">
        <f>IF('Master Sheet'!C17="Area 4 (Anitha R)",'Master Sheet'!A17,"")</f>
        <v/>
      </c>
      <c r="B16" t="str">
        <f>IF('Master Sheet'!C17="Area 4 (Anitha R)",'Master Sheet'!B17,"")</f>
        <v/>
      </c>
      <c r="C16" t="s">
        <v>7</v>
      </c>
      <c r="D16" t="str">
        <f>IF('Master Sheet'!C17="Area 4 (Anitha R)",'Master Sheet'!D17,"")</f>
        <v/>
      </c>
      <c r="E16" t="str">
        <f>IF('Master Sheet'!C17="Area 4 (Anitha R)",'Master Sheet'!E17,"")</f>
        <v/>
      </c>
      <c r="F16" t="str">
        <f>IF('Master Sheet'!C17="Area 4 (Anitha R)",'Master Sheet'!F17,"")</f>
        <v/>
      </c>
      <c r="G16" t="str">
        <f>IF('Master Sheet'!C17="Area 4 (Anitha R)",'Master Sheet'!G17,"")</f>
        <v/>
      </c>
      <c r="H16" t="str">
        <f>IF('Master Sheet'!C17="Area 4 (Anitha R)",'Master Sheet'!H17,"")</f>
        <v/>
      </c>
      <c r="I16" t="str">
        <f>IF('Master Sheet'!C17="Area 4 (Anitha R)",'Master Sheet'!I17,"")</f>
        <v/>
      </c>
      <c r="J16" t="str">
        <f>IF('Master Sheet'!C17="Area 4 (Anitha R)",'Master Sheet'!J17,"")</f>
        <v/>
      </c>
      <c r="K16" t="str">
        <f>IF('Master Sheet'!C17="Area 4 (Anitha R)",'Master Sheet'!K17,"")</f>
        <v/>
      </c>
      <c r="L16" t="str">
        <f>IF('Master Sheet'!C17="Area 4 (Anitha R)",'Master Sheet'!L17,"")</f>
        <v/>
      </c>
      <c r="M16" t="str">
        <f>IF('Master Sheet'!C17="Area 4 (Anitha R)",'Master Sheet'!M17,"")</f>
        <v/>
      </c>
      <c r="N16" t="str">
        <f>IF('Master Sheet'!C17="Area 4 (Anitha R)",'Master Sheet'!N17,"")</f>
        <v/>
      </c>
      <c r="O16" t="str">
        <f>IF('Master Sheet'!C17="Area 4 (Anitha R)",'Master Sheet'!O17,"")</f>
        <v/>
      </c>
      <c r="P16" t="str">
        <f>IF('Master Sheet'!C17="Area 4 (Anitha R)",'Master Sheet'!P17,"")</f>
        <v/>
      </c>
    </row>
    <row r="17" spans="1:16" hidden="1" x14ac:dyDescent="0.25">
      <c r="A17" t="str">
        <f>IF('Master Sheet'!C18="Area 4 (Anitha R)",'Master Sheet'!A18,"")</f>
        <v/>
      </c>
      <c r="B17" t="str">
        <f>IF('Master Sheet'!C18="Area 4 (Anitha R)",'Master Sheet'!B18,"")</f>
        <v/>
      </c>
      <c r="C17" t="s">
        <v>7</v>
      </c>
      <c r="D17" t="str">
        <f>IF('Master Sheet'!C18="Area 4 (Anitha R)",'Master Sheet'!D18,"")</f>
        <v/>
      </c>
      <c r="E17" t="str">
        <f>IF('Master Sheet'!C18="Area 4 (Anitha R)",'Master Sheet'!E18,"")</f>
        <v/>
      </c>
      <c r="F17" t="str">
        <f>IF('Master Sheet'!C18="Area 4 (Anitha R)",'Master Sheet'!F18,"")</f>
        <v/>
      </c>
      <c r="G17" t="str">
        <f>IF('Master Sheet'!C18="Area 4 (Anitha R)",'Master Sheet'!G18,"")</f>
        <v/>
      </c>
      <c r="H17" t="str">
        <f>IF('Master Sheet'!C18="Area 4 (Anitha R)",'Master Sheet'!H18,"")</f>
        <v/>
      </c>
      <c r="I17" t="str">
        <f>IF('Master Sheet'!C18="Area 4 (Anitha R)",'Master Sheet'!I18,"")</f>
        <v/>
      </c>
      <c r="J17" t="str">
        <f>IF('Master Sheet'!C18="Area 4 (Anitha R)",'Master Sheet'!J18,"")</f>
        <v/>
      </c>
      <c r="K17" t="str">
        <f>IF('Master Sheet'!C18="Area 4 (Anitha R)",'Master Sheet'!K18,"")</f>
        <v/>
      </c>
      <c r="L17" t="str">
        <f>IF('Master Sheet'!C18="Area 4 (Anitha R)",'Master Sheet'!L18,"")</f>
        <v/>
      </c>
      <c r="M17" t="str">
        <f>IF('Master Sheet'!C18="Area 4 (Anitha R)",'Master Sheet'!M18,"")</f>
        <v/>
      </c>
      <c r="N17" t="str">
        <f>IF('Master Sheet'!C18="Area 4 (Anitha R)",'Master Sheet'!N18,"")</f>
        <v/>
      </c>
      <c r="O17" t="str">
        <f>IF('Master Sheet'!C18="Area 4 (Anitha R)",'Master Sheet'!O18,"")</f>
        <v/>
      </c>
      <c r="P17" t="str">
        <f>IF('Master Sheet'!C18="Area 4 (Anitha R)",'Master Sheet'!P18,"")</f>
        <v/>
      </c>
    </row>
    <row r="18" spans="1:16" hidden="1" x14ac:dyDescent="0.25">
      <c r="A18" t="str">
        <f>IF('Master Sheet'!C19="Area 4 (Anitha R)",'Master Sheet'!A19,"")</f>
        <v/>
      </c>
      <c r="B18" t="str">
        <f>IF('Master Sheet'!C19="Area 4 (Anitha R)",'Master Sheet'!B19,"")</f>
        <v/>
      </c>
      <c r="C18" t="s">
        <v>7</v>
      </c>
      <c r="D18" t="str">
        <f>IF('Master Sheet'!C19="Area 4 (Anitha R)",'Master Sheet'!D19,"")</f>
        <v/>
      </c>
      <c r="E18" t="str">
        <f>IF('Master Sheet'!C19="Area 4 (Anitha R)",'Master Sheet'!E19,"")</f>
        <v/>
      </c>
      <c r="F18" t="str">
        <f>IF('Master Sheet'!C19="Area 4 (Anitha R)",'Master Sheet'!F19,"")</f>
        <v/>
      </c>
      <c r="G18" t="str">
        <f>IF('Master Sheet'!C19="Area 4 (Anitha R)",'Master Sheet'!G19,"")</f>
        <v/>
      </c>
      <c r="H18" t="str">
        <f>IF('Master Sheet'!C19="Area 4 (Anitha R)",'Master Sheet'!H19,"")</f>
        <v/>
      </c>
      <c r="I18" t="str">
        <f>IF('Master Sheet'!C19="Area 4 (Anitha R)",'Master Sheet'!I19,"")</f>
        <v/>
      </c>
      <c r="J18" t="str">
        <f>IF('Master Sheet'!C19="Area 4 (Anitha R)",'Master Sheet'!J19,"")</f>
        <v/>
      </c>
      <c r="K18" t="str">
        <f>IF('Master Sheet'!C19="Area 4 (Anitha R)",'Master Sheet'!K19,"")</f>
        <v/>
      </c>
      <c r="L18" t="str">
        <f>IF('Master Sheet'!C19="Area 4 (Anitha R)",'Master Sheet'!L19,"")</f>
        <v/>
      </c>
      <c r="M18" t="str">
        <f>IF('Master Sheet'!C19="Area 4 (Anitha R)",'Master Sheet'!M19,"")</f>
        <v/>
      </c>
      <c r="N18" t="str">
        <f>IF('Master Sheet'!C19="Area 4 (Anitha R)",'Master Sheet'!N19,"")</f>
        <v/>
      </c>
      <c r="O18" t="str">
        <f>IF('Master Sheet'!C19="Area 4 (Anitha R)",'Master Sheet'!O19,"")</f>
        <v/>
      </c>
      <c r="P18" t="str">
        <f>IF('Master Sheet'!C19="Area 4 (Anitha R)",'Master Sheet'!P19,"")</f>
        <v/>
      </c>
    </row>
    <row r="19" spans="1:16" hidden="1" x14ac:dyDescent="0.25">
      <c r="A19" t="str">
        <f>IF('Master Sheet'!C20="Area 4 (Anitha R)",'Master Sheet'!A20,"")</f>
        <v/>
      </c>
      <c r="B19" t="str">
        <f>IF('Master Sheet'!C20="Area 4 (Anitha R)",'Master Sheet'!B20,"")</f>
        <v/>
      </c>
      <c r="C19" t="s">
        <v>7</v>
      </c>
      <c r="D19" t="str">
        <f>IF('Master Sheet'!C20="Area 4 (Anitha R)",'Master Sheet'!D20,"")</f>
        <v/>
      </c>
      <c r="E19" t="str">
        <f>IF('Master Sheet'!C20="Area 4 (Anitha R)",'Master Sheet'!E20,"")</f>
        <v/>
      </c>
      <c r="F19" t="str">
        <f>IF('Master Sheet'!C20="Area 4 (Anitha R)",'Master Sheet'!F20,"")</f>
        <v/>
      </c>
      <c r="G19" t="str">
        <f>IF('Master Sheet'!C20="Area 4 (Anitha R)",'Master Sheet'!G20,"")</f>
        <v/>
      </c>
      <c r="H19" t="str">
        <f>IF('Master Sheet'!C20="Area 4 (Anitha R)",'Master Sheet'!H20,"")</f>
        <v/>
      </c>
      <c r="I19" t="str">
        <f>IF('Master Sheet'!C20="Area 4 (Anitha R)",'Master Sheet'!I20,"")</f>
        <v/>
      </c>
      <c r="J19" t="str">
        <f>IF('Master Sheet'!C20="Area 4 (Anitha R)",'Master Sheet'!J20,"")</f>
        <v/>
      </c>
      <c r="K19" t="str">
        <f>IF('Master Sheet'!C20="Area 4 (Anitha R)",'Master Sheet'!K20,"")</f>
        <v/>
      </c>
      <c r="L19" t="str">
        <f>IF('Master Sheet'!C20="Area 4 (Anitha R)",'Master Sheet'!L20,"")</f>
        <v/>
      </c>
      <c r="M19" t="str">
        <f>IF('Master Sheet'!C20="Area 4 (Anitha R)",'Master Sheet'!M20,"")</f>
        <v/>
      </c>
      <c r="N19" t="str">
        <f>IF('Master Sheet'!C20="Area 4 (Anitha R)",'Master Sheet'!N20,"")</f>
        <v/>
      </c>
      <c r="O19" t="str">
        <f>IF('Master Sheet'!C20="Area 4 (Anitha R)",'Master Sheet'!O20,"")</f>
        <v/>
      </c>
      <c r="P19" t="str">
        <f>IF('Master Sheet'!C20="Area 4 (Anitha R)",'Master Sheet'!P20,"")</f>
        <v/>
      </c>
    </row>
    <row r="20" spans="1:16" hidden="1" x14ac:dyDescent="0.25">
      <c r="A20" t="str">
        <f>IF('Master Sheet'!C21="Area 4 (Anitha R)",'Master Sheet'!A21,"")</f>
        <v/>
      </c>
      <c r="B20" t="str">
        <f>IF('Master Sheet'!C21="Area 4 (Anitha R)",'Master Sheet'!B21,"")</f>
        <v/>
      </c>
      <c r="C20" t="s">
        <v>7</v>
      </c>
      <c r="D20" t="str">
        <f>IF('Master Sheet'!C21="Area 4 (Anitha R)",'Master Sheet'!D21,"")</f>
        <v/>
      </c>
      <c r="E20" t="str">
        <f>IF('Master Sheet'!C21="Area 4 (Anitha R)",'Master Sheet'!E21,"")</f>
        <v/>
      </c>
      <c r="F20" t="str">
        <f>IF('Master Sheet'!C21="Area 4 (Anitha R)",'Master Sheet'!F21,"")</f>
        <v/>
      </c>
      <c r="G20" t="str">
        <f>IF('Master Sheet'!C21="Area 4 (Anitha R)",'Master Sheet'!G21,"")</f>
        <v/>
      </c>
      <c r="H20" t="str">
        <f>IF('Master Sheet'!C21="Area 4 (Anitha R)",'Master Sheet'!H21,"")</f>
        <v/>
      </c>
      <c r="I20" t="str">
        <f>IF('Master Sheet'!C21="Area 4 (Anitha R)",'Master Sheet'!I21,"")</f>
        <v/>
      </c>
      <c r="J20" t="str">
        <f>IF('Master Sheet'!C21="Area 4 (Anitha R)",'Master Sheet'!J21,"")</f>
        <v/>
      </c>
      <c r="K20" t="str">
        <f>IF('Master Sheet'!C21="Area 4 (Anitha R)",'Master Sheet'!K21,"")</f>
        <v/>
      </c>
      <c r="L20" t="str">
        <f>IF('Master Sheet'!C21="Area 4 (Anitha R)",'Master Sheet'!L21,"")</f>
        <v/>
      </c>
      <c r="M20" t="str">
        <f>IF('Master Sheet'!C21="Area 4 (Anitha R)",'Master Sheet'!M21,"")</f>
        <v/>
      </c>
      <c r="N20" t="str">
        <f>IF('Master Sheet'!C21="Area 4 (Anitha R)",'Master Sheet'!N21,"")</f>
        <v/>
      </c>
      <c r="O20" t="str">
        <f>IF('Master Sheet'!C21="Area 4 (Anitha R)",'Master Sheet'!O21,"")</f>
        <v/>
      </c>
      <c r="P20" t="str">
        <f>IF('Master Sheet'!C21="Area 4 (Anitha R)",'Master Sheet'!P21,"")</f>
        <v/>
      </c>
    </row>
    <row r="21" spans="1:16" hidden="1" x14ac:dyDescent="0.25">
      <c r="A21" t="str">
        <f>IF('Master Sheet'!C22="Area 4 (Anitha R)",'Master Sheet'!A22,"")</f>
        <v/>
      </c>
      <c r="B21" t="str">
        <f>IF('Master Sheet'!C22="Area 4 (Anitha R)",'Master Sheet'!B22,"")</f>
        <v/>
      </c>
      <c r="C21" t="s">
        <v>7</v>
      </c>
      <c r="D21" t="str">
        <f>IF('Master Sheet'!C22="Area 4 (Anitha R)",'Master Sheet'!D22,"")</f>
        <v/>
      </c>
      <c r="E21" t="str">
        <f>IF('Master Sheet'!C22="Area 4 (Anitha R)",'Master Sheet'!E22,"")</f>
        <v/>
      </c>
      <c r="F21" t="str">
        <f>IF('Master Sheet'!C22="Area 4 (Anitha R)",'Master Sheet'!F22,"")</f>
        <v/>
      </c>
      <c r="G21" t="str">
        <f>IF('Master Sheet'!C22="Area 4 (Anitha R)",'Master Sheet'!G22,"")</f>
        <v/>
      </c>
      <c r="H21" t="str">
        <f>IF('Master Sheet'!C22="Area 4 (Anitha R)",'Master Sheet'!H22,"")</f>
        <v/>
      </c>
      <c r="I21" t="str">
        <f>IF('Master Sheet'!C22="Area 4 (Anitha R)",'Master Sheet'!I22,"")</f>
        <v/>
      </c>
      <c r="J21" t="str">
        <f>IF('Master Sheet'!C22="Area 4 (Anitha R)",'Master Sheet'!J22,"")</f>
        <v/>
      </c>
      <c r="K21" t="str">
        <f>IF('Master Sheet'!C22="Area 4 (Anitha R)",'Master Sheet'!K22,"")</f>
        <v/>
      </c>
      <c r="L21" t="str">
        <f>IF('Master Sheet'!C22="Area 4 (Anitha R)",'Master Sheet'!L22,"")</f>
        <v/>
      </c>
      <c r="M21" t="str">
        <f>IF('Master Sheet'!C22="Area 4 (Anitha R)",'Master Sheet'!M22,"")</f>
        <v/>
      </c>
      <c r="N21" t="str">
        <f>IF('Master Sheet'!C22="Area 4 (Anitha R)",'Master Sheet'!N22,"")</f>
        <v/>
      </c>
      <c r="O21" t="str">
        <f>IF('Master Sheet'!C22="Area 4 (Anitha R)",'Master Sheet'!O22,"")</f>
        <v/>
      </c>
      <c r="P21" t="str">
        <f>IF('Master Sheet'!C22="Area 4 (Anitha R)",'Master Sheet'!P22,"")</f>
        <v/>
      </c>
    </row>
    <row r="22" spans="1:16" hidden="1" x14ac:dyDescent="0.25">
      <c r="A22" t="str">
        <f>IF('Master Sheet'!C23="Area 4 (Anitha R)",'Master Sheet'!A23,"")</f>
        <v/>
      </c>
      <c r="B22" t="str">
        <f>IF('Master Sheet'!C23="Area 4 (Anitha R)",'Master Sheet'!B23,"")</f>
        <v/>
      </c>
      <c r="C22" t="s">
        <v>7</v>
      </c>
      <c r="D22" t="str">
        <f>IF('Master Sheet'!C23="Area 4 (Anitha R)",'Master Sheet'!D23,"")</f>
        <v/>
      </c>
      <c r="E22" t="str">
        <f>IF('Master Sheet'!C23="Area 4 (Anitha R)",'Master Sheet'!E23,"")</f>
        <v/>
      </c>
      <c r="F22" t="str">
        <f>IF('Master Sheet'!C23="Area 4 (Anitha R)",'Master Sheet'!F23,"")</f>
        <v/>
      </c>
      <c r="G22" t="str">
        <f>IF('Master Sheet'!C23="Area 4 (Anitha R)",'Master Sheet'!G23,"")</f>
        <v/>
      </c>
      <c r="H22" t="str">
        <f>IF('Master Sheet'!C23="Area 4 (Anitha R)",'Master Sheet'!H23,"")</f>
        <v/>
      </c>
      <c r="I22" t="str">
        <f>IF('Master Sheet'!C23="Area 4 (Anitha R)",'Master Sheet'!I23,"")</f>
        <v/>
      </c>
      <c r="J22" t="str">
        <f>IF('Master Sheet'!C23="Area 4 (Anitha R)",'Master Sheet'!J23,"")</f>
        <v/>
      </c>
      <c r="K22" t="str">
        <f>IF('Master Sheet'!C23="Area 4 (Anitha R)",'Master Sheet'!K23,"")</f>
        <v/>
      </c>
      <c r="L22" t="str">
        <f>IF('Master Sheet'!C23="Area 4 (Anitha R)",'Master Sheet'!L23,"")</f>
        <v/>
      </c>
      <c r="M22" t="str">
        <f>IF('Master Sheet'!C23="Area 4 (Anitha R)",'Master Sheet'!M23,"")</f>
        <v/>
      </c>
      <c r="N22" t="str">
        <f>IF('Master Sheet'!C23="Area 4 (Anitha R)",'Master Sheet'!N23,"")</f>
        <v/>
      </c>
      <c r="O22" t="str">
        <f>IF('Master Sheet'!C23="Area 4 (Anitha R)",'Master Sheet'!O23,"")</f>
        <v/>
      </c>
      <c r="P22" t="str">
        <f>IF('Master Sheet'!C23="Area 4 (Anitha R)",'Master Sheet'!P23,"")</f>
        <v/>
      </c>
    </row>
    <row r="23" spans="1:16" hidden="1" x14ac:dyDescent="0.25">
      <c r="A23" t="str">
        <f>IF('Master Sheet'!C24="Area 4 (Anitha R)",'Master Sheet'!A24,"")</f>
        <v/>
      </c>
      <c r="B23" t="str">
        <f>IF('Master Sheet'!C24="Area 4 (Anitha R)",'Master Sheet'!B24,"")</f>
        <v/>
      </c>
      <c r="C23" t="s">
        <v>7</v>
      </c>
      <c r="D23" t="str">
        <f>IF('Master Sheet'!C24="Area 4 (Anitha R)",'Master Sheet'!D24,"")</f>
        <v/>
      </c>
      <c r="E23" t="str">
        <f>IF('Master Sheet'!C24="Area 4 (Anitha R)",'Master Sheet'!E24,"")</f>
        <v/>
      </c>
      <c r="F23" t="str">
        <f>IF('Master Sheet'!C24="Area 4 (Anitha R)",'Master Sheet'!F24,"")</f>
        <v/>
      </c>
      <c r="G23" t="str">
        <f>IF('Master Sheet'!C24="Area 4 (Anitha R)",'Master Sheet'!G24,"")</f>
        <v/>
      </c>
      <c r="H23" t="str">
        <f>IF('Master Sheet'!C24="Area 4 (Anitha R)",'Master Sheet'!H24,"")</f>
        <v/>
      </c>
      <c r="I23" t="str">
        <f>IF('Master Sheet'!C24="Area 4 (Anitha R)",'Master Sheet'!I24,"")</f>
        <v/>
      </c>
      <c r="J23" t="str">
        <f>IF('Master Sheet'!C24="Area 4 (Anitha R)",'Master Sheet'!J24,"")</f>
        <v/>
      </c>
      <c r="K23" t="str">
        <f>IF('Master Sheet'!C24="Area 4 (Anitha R)",'Master Sheet'!K24,"")</f>
        <v/>
      </c>
      <c r="L23" t="str">
        <f>IF('Master Sheet'!C24="Area 4 (Anitha R)",'Master Sheet'!L24,"")</f>
        <v/>
      </c>
      <c r="M23" t="str">
        <f>IF('Master Sheet'!C24="Area 4 (Anitha R)",'Master Sheet'!M24,"")</f>
        <v/>
      </c>
      <c r="N23" t="str">
        <f>IF('Master Sheet'!C24="Area 4 (Anitha R)",'Master Sheet'!N24,"")</f>
        <v/>
      </c>
      <c r="O23" t="str">
        <f>IF('Master Sheet'!C24="Area 4 (Anitha R)",'Master Sheet'!O24,"")</f>
        <v/>
      </c>
      <c r="P23" t="str">
        <f>IF('Master Sheet'!C24="Area 4 (Anitha R)",'Master Sheet'!P24,"")</f>
        <v/>
      </c>
    </row>
    <row r="24" spans="1:16" hidden="1" x14ac:dyDescent="0.25">
      <c r="A24" t="str">
        <f>IF('Master Sheet'!C25="Area 4 (Anitha R)",'Master Sheet'!A25,"")</f>
        <v/>
      </c>
      <c r="B24" t="str">
        <f>IF('Master Sheet'!C25="Area 4 (Anitha R)",'Master Sheet'!B25,"")</f>
        <v/>
      </c>
      <c r="C24" t="s">
        <v>7</v>
      </c>
      <c r="D24" t="str">
        <f>IF('Master Sheet'!C25="Area 4 (Anitha R)",'Master Sheet'!D25,"")</f>
        <v/>
      </c>
      <c r="E24" t="str">
        <f>IF('Master Sheet'!C25="Area 4 (Anitha R)",'Master Sheet'!E25,"")</f>
        <v/>
      </c>
      <c r="F24" t="str">
        <f>IF('Master Sheet'!C25="Area 4 (Anitha R)",'Master Sheet'!F25,"")</f>
        <v/>
      </c>
      <c r="G24" t="str">
        <f>IF('Master Sheet'!C25="Area 4 (Anitha R)",'Master Sheet'!G25,"")</f>
        <v/>
      </c>
      <c r="H24" t="str">
        <f>IF('Master Sheet'!C25="Area 4 (Anitha R)",'Master Sheet'!H25,"")</f>
        <v/>
      </c>
      <c r="I24" t="str">
        <f>IF('Master Sheet'!C25="Area 4 (Anitha R)",'Master Sheet'!I25,"")</f>
        <v/>
      </c>
      <c r="J24" t="str">
        <f>IF('Master Sheet'!C25="Area 4 (Anitha R)",'Master Sheet'!J25,"")</f>
        <v/>
      </c>
      <c r="K24" t="str">
        <f>IF('Master Sheet'!C25="Area 4 (Anitha R)",'Master Sheet'!K25,"")</f>
        <v/>
      </c>
      <c r="L24" t="str">
        <f>IF('Master Sheet'!C25="Area 4 (Anitha R)",'Master Sheet'!L25,"")</f>
        <v/>
      </c>
      <c r="M24" t="str">
        <f>IF('Master Sheet'!C25="Area 4 (Anitha R)",'Master Sheet'!M25,"")</f>
        <v/>
      </c>
      <c r="N24" t="str">
        <f>IF('Master Sheet'!C25="Area 4 (Anitha R)",'Master Sheet'!N25,"")</f>
        <v/>
      </c>
      <c r="O24" t="str">
        <f>IF('Master Sheet'!C25="Area 4 (Anitha R)",'Master Sheet'!O25,"")</f>
        <v/>
      </c>
      <c r="P24" t="str">
        <f>IF('Master Sheet'!C25="Area 4 (Anitha R)",'Master Sheet'!P25,"")</f>
        <v/>
      </c>
    </row>
    <row r="25" spans="1:16" hidden="1" x14ac:dyDescent="0.25">
      <c r="A25" t="str">
        <f>IF('Master Sheet'!C26="Area 4 (Anitha R)",'Master Sheet'!A26,"")</f>
        <v/>
      </c>
      <c r="B25" t="str">
        <f>IF('Master Sheet'!C26="Area 4 (Anitha R)",'Master Sheet'!B26,"")</f>
        <v/>
      </c>
      <c r="C25" t="s">
        <v>7</v>
      </c>
      <c r="D25" t="str">
        <f>IF('Master Sheet'!C26="Area 4 (Anitha R)",'Master Sheet'!D26,"")</f>
        <v/>
      </c>
      <c r="E25" t="str">
        <f>IF('Master Sheet'!C26="Area 4 (Anitha R)",'Master Sheet'!E26,"")</f>
        <v/>
      </c>
      <c r="F25" t="str">
        <f>IF('Master Sheet'!C26="Area 4 (Anitha R)",'Master Sheet'!F26,"")</f>
        <v/>
      </c>
      <c r="G25" t="str">
        <f>IF('Master Sheet'!C26="Area 4 (Anitha R)",'Master Sheet'!G26,"")</f>
        <v/>
      </c>
      <c r="H25" t="str">
        <f>IF('Master Sheet'!C26="Area 4 (Anitha R)",'Master Sheet'!H26,"")</f>
        <v/>
      </c>
      <c r="I25" t="str">
        <f>IF('Master Sheet'!C26="Area 4 (Anitha R)",'Master Sheet'!I26,"")</f>
        <v/>
      </c>
      <c r="J25" t="str">
        <f>IF('Master Sheet'!C26="Area 4 (Anitha R)",'Master Sheet'!J26,"")</f>
        <v/>
      </c>
      <c r="K25" t="str">
        <f>IF('Master Sheet'!C26="Area 4 (Anitha R)",'Master Sheet'!K26,"")</f>
        <v/>
      </c>
      <c r="L25" t="str">
        <f>IF('Master Sheet'!C26="Area 4 (Anitha R)",'Master Sheet'!L26,"")</f>
        <v/>
      </c>
      <c r="M25" t="str">
        <f>IF('Master Sheet'!C26="Area 4 (Anitha R)",'Master Sheet'!M26,"")</f>
        <v/>
      </c>
      <c r="N25" t="str">
        <f>IF('Master Sheet'!C26="Area 4 (Anitha R)",'Master Sheet'!N26,"")</f>
        <v/>
      </c>
      <c r="O25" t="str">
        <f>IF('Master Sheet'!C26="Area 4 (Anitha R)",'Master Sheet'!O26,"")</f>
        <v/>
      </c>
      <c r="P25" t="str">
        <f>IF('Master Sheet'!C26="Area 4 (Anitha R)",'Master Sheet'!P26,"")</f>
        <v/>
      </c>
    </row>
    <row r="26" spans="1:16" hidden="1" x14ac:dyDescent="0.25">
      <c r="A26" t="str">
        <f>IF('Master Sheet'!C27="Area 4 (Anitha R)",'Master Sheet'!A27,"")</f>
        <v/>
      </c>
      <c r="B26" t="str">
        <f>IF('Master Sheet'!C27="Area 4 (Anitha R)",'Master Sheet'!B27,"")</f>
        <v/>
      </c>
      <c r="C26" t="s">
        <v>7</v>
      </c>
      <c r="D26" t="str">
        <f>IF('Master Sheet'!C27="Area 4 (Anitha R)",'Master Sheet'!D27,"")</f>
        <v/>
      </c>
      <c r="E26" t="str">
        <f>IF('Master Sheet'!C27="Area 4 (Anitha R)",'Master Sheet'!E27,"")</f>
        <v/>
      </c>
      <c r="F26" t="str">
        <f>IF('Master Sheet'!C27="Area 4 (Anitha R)",'Master Sheet'!F27,"")</f>
        <v/>
      </c>
      <c r="G26" t="str">
        <f>IF('Master Sheet'!C27="Area 4 (Anitha R)",'Master Sheet'!G27,"")</f>
        <v/>
      </c>
      <c r="H26" t="str">
        <f>IF('Master Sheet'!C27="Area 4 (Anitha R)",'Master Sheet'!H27,"")</f>
        <v/>
      </c>
      <c r="I26" t="str">
        <f>IF('Master Sheet'!C27="Area 4 (Anitha R)",'Master Sheet'!I27,"")</f>
        <v/>
      </c>
      <c r="J26" t="str">
        <f>IF('Master Sheet'!C27="Area 4 (Anitha R)",'Master Sheet'!J27,"")</f>
        <v/>
      </c>
      <c r="K26" t="str">
        <f>IF('Master Sheet'!C27="Area 4 (Anitha R)",'Master Sheet'!K27,"")</f>
        <v/>
      </c>
      <c r="L26" t="str">
        <f>IF('Master Sheet'!C27="Area 4 (Anitha R)",'Master Sheet'!L27,"")</f>
        <v/>
      </c>
      <c r="M26" t="str">
        <f>IF('Master Sheet'!C27="Area 4 (Anitha R)",'Master Sheet'!M27,"")</f>
        <v/>
      </c>
      <c r="N26" t="str">
        <f>IF('Master Sheet'!C27="Area 4 (Anitha R)",'Master Sheet'!N27,"")</f>
        <v/>
      </c>
      <c r="O26" t="str">
        <f>IF('Master Sheet'!C27="Area 4 (Anitha R)",'Master Sheet'!O27,"")</f>
        <v/>
      </c>
      <c r="P26" t="str">
        <f>IF('Master Sheet'!C27="Area 4 (Anitha R)",'Master Sheet'!P27,"")</f>
        <v/>
      </c>
    </row>
    <row r="27" spans="1:16" hidden="1" x14ac:dyDescent="0.25">
      <c r="A27" t="str">
        <f>IF('Master Sheet'!C28="Area 4 (Anitha R)",'Master Sheet'!A28,"")</f>
        <v/>
      </c>
      <c r="B27" t="str">
        <f>IF('Master Sheet'!C28="Area 4 (Anitha R)",'Master Sheet'!B28,"")</f>
        <v/>
      </c>
      <c r="C27" t="s">
        <v>7</v>
      </c>
      <c r="D27" t="str">
        <f>IF('Master Sheet'!C28="Area 4 (Anitha R)",'Master Sheet'!D28,"")</f>
        <v/>
      </c>
      <c r="E27" t="str">
        <f>IF('Master Sheet'!C28="Area 4 (Anitha R)",'Master Sheet'!E28,"")</f>
        <v/>
      </c>
      <c r="F27" t="str">
        <f>IF('Master Sheet'!C28="Area 4 (Anitha R)",'Master Sheet'!F28,"")</f>
        <v/>
      </c>
      <c r="G27" t="str">
        <f>IF('Master Sheet'!C28="Area 4 (Anitha R)",'Master Sheet'!G28,"")</f>
        <v/>
      </c>
      <c r="H27" t="str">
        <f>IF('Master Sheet'!C28="Area 4 (Anitha R)",'Master Sheet'!H28,"")</f>
        <v/>
      </c>
      <c r="I27" t="str">
        <f>IF('Master Sheet'!C28="Area 4 (Anitha R)",'Master Sheet'!I28,"")</f>
        <v/>
      </c>
      <c r="J27" t="str">
        <f>IF('Master Sheet'!C28="Area 4 (Anitha R)",'Master Sheet'!J28,"")</f>
        <v/>
      </c>
      <c r="K27" t="str">
        <f>IF('Master Sheet'!C28="Area 4 (Anitha R)",'Master Sheet'!K28,"")</f>
        <v/>
      </c>
      <c r="L27" t="str">
        <f>IF('Master Sheet'!C28="Area 4 (Anitha R)",'Master Sheet'!L28,"")</f>
        <v/>
      </c>
      <c r="M27" t="str">
        <f>IF('Master Sheet'!C28="Area 4 (Anitha R)",'Master Sheet'!M28,"")</f>
        <v/>
      </c>
      <c r="N27" t="str">
        <f>IF('Master Sheet'!C28="Area 4 (Anitha R)",'Master Sheet'!N28,"")</f>
        <v/>
      </c>
      <c r="O27" t="str">
        <f>IF('Master Sheet'!C28="Area 4 (Anitha R)",'Master Sheet'!O28,"")</f>
        <v/>
      </c>
      <c r="P27" t="str">
        <f>IF('Master Sheet'!C28="Area 4 (Anitha R)",'Master Sheet'!P28,"")</f>
        <v/>
      </c>
    </row>
    <row r="28" spans="1:16" hidden="1" x14ac:dyDescent="0.25">
      <c r="A28" t="str">
        <f>IF('Master Sheet'!C29="Area 4 (Anitha R)",'Master Sheet'!A29,"")</f>
        <v/>
      </c>
      <c r="B28" t="str">
        <f>IF('Master Sheet'!C29="Area 4 (Anitha R)",'Master Sheet'!B29,"")</f>
        <v/>
      </c>
      <c r="C28" t="s">
        <v>7</v>
      </c>
      <c r="D28" t="str">
        <f>IF('Master Sheet'!C29="Area 4 (Anitha R)",'Master Sheet'!D29,"")</f>
        <v/>
      </c>
      <c r="E28" t="str">
        <f>IF('Master Sheet'!C29="Area 4 (Anitha R)",'Master Sheet'!E29,"")</f>
        <v/>
      </c>
      <c r="F28" t="str">
        <f>IF('Master Sheet'!C29="Area 4 (Anitha R)",'Master Sheet'!F29,"")</f>
        <v/>
      </c>
      <c r="G28" t="str">
        <f>IF('Master Sheet'!C29="Area 4 (Anitha R)",'Master Sheet'!G29,"")</f>
        <v/>
      </c>
      <c r="H28" t="str">
        <f>IF('Master Sheet'!C29="Area 4 (Anitha R)",'Master Sheet'!H29,"")</f>
        <v/>
      </c>
      <c r="I28" t="str">
        <f>IF('Master Sheet'!C29="Area 4 (Anitha R)",'Master Sheet'!I29,"")</f>
        <v/>
      </c>
      <c r="J28" t="str">
        <f>IF('Master Sheet'!C29="Area 4 (Anitha R)",'Master Sheet'!J29,"")</f>
        <v/>
      </c>
      <c r="K28" t="str">
        <f>IF('Master Sheet'!C29="Area 4 (Anitha R)",'Master Sheet'!K29,"")</f>
        <v/>
      </c>
      <c r="L28" t="str">
        <f>IF('Master Sheet'!C29="Area 4 (Anitha R)",'Master Sheet'!L29,"")</f>
        <v/>
      </c>
      <c r="M28" t="str">
        <f>IF('Master Sheet'!C29="Area 4 (Anitha R)",'Master Sheet'!M29,"")</f>
        <v/>
      </c>
      <c r="N28" t="str">
        <f>IF('Master Sheet'!C29="Area 4 (Anitha R)",'Master Sheet'!N29,"")</f>
        <v/>
      </c>
      <c r="O28" t="str">
        <f>IF('Master Sheet'!C29="Area 4 (Anitha R)",'Master Sheet'!O29,"")</f>
        <v/>
      </c>
      <c r="P28" t="str">
        <f>IF('Master Sheet'!C29="Area 4 (Anitha R)",'Master Sheet'!P29,"")</f>
        <v/>
      </c>
    </row>
    <row r="29" spans="1:16" hidden="1" x14ac:dyDescent="0.25">
      <c r="A29" t="str">
        <f>IF('Master Sheet'!C30="Area 4 (Anitha R)",'Master Sheet'!A30,"")</f>
        <v/>
      </c>
      <c r="B29" t="str">
        <f>IF('Master Sheet'!C30="Area 4 (Anitha R)",'Master Sheet'!B30,"")</f>
        <v/>
      </c>
      <c r="C29" t="s">
        <v>7</v>
      </c>
      <c r="D29" t="str">
        <f>IF('Master Sheet'!C30="Area 4 (Anitha R)",'Master Sheet'!D30,"")</f>
        <v/>
      </c>
      <c r="E29" t="str">
        <f>IF('Master Sheet'!C30="Area 4 (Anitha R)",'Master Sheet'!E30,"")</f>
        <v/>
      </c>
      <c r="F29" t="str">
        <f>IF('Master Sheet'!C30="Area 4 (Anitha R)",'Master Sheet'!F30,"")</f>
        <v/>
      </c>
      <c r="G29" t="str">
        <f>IF('Master Sheet'!C30="Area 4 (Anitha R)",'Master Sheet'!G30,"")</f>
        <v/>
      </c>
      <c r="H29" t="str">
        <f>IF('Master Sheet'!C30="Area 4 (Anitha R)",'Master Sheet'!H30,"")</f>
        <v/>
      </c>
      <c r="I29" t="str">
        <f>IF('Master Sheet'!C30="Area 4 (Anitha R)",'Master Sheet'!I30,"")</f>
        <v/>
      </c>
      <c r="J29" t="str">
        <f>IF('Master Sheet'!C30="Area 4 (Anitha R)",'Master Sheet'!J30,"")</f>
        <v/>
      </c>
      <c r="K29" t="str">
        <f>IF('Master Sheet'!C30="Area 4 (Anitha R)",'Master Sheet'!K30,"")</f>
        <v/>
      </c>
      <c r="L29" t="str">
        <f>IF('Master Sheet'!C30="Area 4 (Anitha R)",'Master Sheet'!L30,"")</f>
        <v/>
      </c>
      <c r="M29" t="str">
        <f>IF('Master Sheet'!C30="Area 4 (Anitha R)",'Master Sheet'!M30,"")</f>
        <v/>
      </c>
      <c r="N29" t="str">
        <f>IF('Master Sheet'!C30="Area 4 (Anitha R)",'Master Sheet'!N30,"")</f>
        <v/>
      </c>
      <c r="O29" t="str">
        <f>IF('Master Sheet'!C30="Area 4 (Anitha R)",'Master Sheet'!O30,"")</f>
        <v/>
      </c>
      <c r="P29" t="str">
        <f>IF('Master Sheet'!C30="Area 4 (Anitha R)",'Master Sheet'!P30,"")</f>
        <v/>
      </c>
    </row>
    <row r="30" spans="1:16" hidden="1" x14ac:dyDescent="0.25">
      <c r="A30" t="str">
        <f>IF('Master Sheet'!C31="Area 4 (Anitha R)",'Master Sheet'!A31,"")</f>
        <v/>
      </c>
      <c r="B30" t="str">
        <f>IF('Master Sheet'!C31="Area 4 (Anitha R)",'Master Sheet'!B31,"")</f>
        <v/>
      </c>
      <c r="C30" t="s">
        <v>7</v>
      </c>
      <c r="D30" t="str">
        <f>IF('Master Sheet'!C31="Area 4 (Anitha R)",'Master Sheet'!D31,"")</f>
        <v/>
      </c>
      <c r="E30" t="str">
        <f>IF('Master Sheet'!C31="Area 4 (Anitha R)",'Master Sheet'!E31,"")</f>
        <v/>
      </c>
      <c r="F30" t="str">
        <f>IF('Master Sheet'!C31="Area 4 (Anitha R)",'Master Sheet'!F31,"")</f>
        <v/>
      </c>
      <c r="G30" t="str">
        <f>IF('Master Sheet'!C31="Area 4 (Anitha R)",'Master Sheet'!G31,"")</f>
        <v/>
      </c>
      <c r="H30" t="str">
        <f>IF('Master Sheet'!C31="Area 4 (Anitha R)",'Master Sheet'!H31,"")</f>
        <v/>
      </c>
      <c r="I30" t="str">
        <f>IF('Master Sheet'!C31="Area 4 (Anitha R)",'Master Sheet'!I31,"")</f>
        <v/>
      </c>
      <c r="J30" t="str">
        <f>IF('Master Sheet'!C31="Area 4 (Anitha R)",'Master Sheet'!J31,"")</f>
        <v/>
      </c>
      <c r="K30" t="str">
        <f>IF('Master Sheet'!C31="Area 4 (Anitha R)",'Master Sheet'!K31,"")</f>
        <v/>
      </c>
      <c r="L30" t="str">
        <f>IF('Master Sheet'!C31="Area 4 (Anitha R)",'Master Sheet'!L31,"")</f>
        <v/>
      </c>
      <c r="M30" t="str">
        <f>IF('Master Sheet'!C31="Area 4 (Anitha R)",'Master Sheet'!M31,"")</f>
        <v/>
      </c>
      <c r="N30" t="str">
        <f>IF('Master Sheet'!C31="Area 4 (Anitha R)",'Master Sheet'!N31,"")</f>
        <v/>
      </c>
      <c r="O30" t="str">
        <f>IF('Master Sheet'!C31="Area 4 (Anitha R)",'Master Sheet'!O31,"")</f>
        <v/>
      </c>
      <c r="P30" t="str">
        <f>IF('Master Sheet'!C31="Area 4 (Anitha R)",'Master Sheet'!P31,"")</f>
        <v/>
      </c>
    </row>
    <row r="31" spans="1:16" hidden="1" x14ac:dyDescent="0.25">
      <c r="A31" t="str">
        <f>IF('Master Sheet'!C32="Area 4 (Anitha R)",'Master Sheet'!A32,"")</f>
        <v/>
      </c>
      <c r="B31" t="str">
        <f>IF('Master Sheet'!C32="Area 4 (Anitha R)",'Master Sheet'!B32,"")</f>
        <v/>
      </c>
      <c r="C31" t="s">
        <v>7</v>
      </c>
      <c r="D31" t="str">
        <f>IF('Master Sheet'!C32="Area 4 (Anitha R)",'Master Sheet'!D32,"")</f>
        <v/>
      </c>
      <c r="E31" t="str">
        <f>IF('Master Sheet'!C32="Area 4 (Anitha R)",'Master Sheet'!E32,"")</f>
        <v/>
      </c>
      <c r="F31" t="str">
        <f>IF('Master Sheet'!C32="Area 4 (Anitha R)",'Master Sheet'!F32,"")</f>
        <v/>
      </c>
      <c r="G31" t="str">
        <f>IF('Master Sheet'!C32="Area 4 (Anitha R)",'Master Sheet'!G32,"")</f>
        <v/>
      </c>
      <c r="H31" t="str">
        <f>IF('Master Sheet'!C32="Area 4 (Anitha R)",'Master Sheet'!H32,"")</f>
        <v/>
      </c>
      <c r="I31" t="str">
        <f>IF('Master Sheet'!C32="Area 4 (Anitha R)",'Master Sheet'!I32,"")</f>
        <v/>
      </c>
      <c r="J31" t="str">
        <f>IF('Master Sheet'!C32="Area 4 (Anitha R)",'Master Sheet'!J32,"")</f>
        <v/>
      </c>
      <c r="K31" t="str">
        <f>IF('Master Sheet'!C32="Area 4 (Anitha R)",'Master Sheet'!K32,"")</f>
        <v/>
      </c>
      <c r="L31" t="str">
        <f>IF('Master Sheet'!C32="Area 4 (Anitha R)",'Master Sheet'!L32,"")</f>
        <v/>
      </c>
      <c r="M31" t="str">
        <f>IF('Master Sheet'!C32="Area 4 (Anitha R)",'Master Sheet'!M32,"")</f>
        <v/>
      </c>
      <c r="N31" t="str">
        <f>IF('Master Sheet'!C32="Area 4 (Anitha R)",'Master Sheet'!N32,"")</f>
        <v/>
      </c>
      <c r="O31" t="str">
        <f>IF('Master Sheet'!C32="Area 4 (Anitha R)",'Master Sheet'!O32,"")</f>
        <v/>
      </c>
      <c r="P31" t="str">
        <f>IF('Master Sheet'!C32="Area 4 (Anitha R)",'Master Sheet'!P32,"")</f>
        <v/>
      </c>
    </row>
    <row r="32" spans="1:16" hidden="1" x14ac:dyDescent="0.25">
      <c r="A32" t="str">
        <f>IF('Master Sheet'!C33="Area 4 (Anitha R)",'Master Sheet'!A33,"")</f>
        <v/>
      </c>
      <c r="B32" t="str">
        <f>IF('Master Sheet'!C33="Area 4 (Anitha R)",'Master Sheet'!B33,"")</f>
        <v/>
      </c>
      <c r="C32" t="s">
        <v>7</v>
      </c>
      <c r="D32" t="str">
        <f>IF('Master Sheet'!C33="Area 4 (Anitha R)",'Master Sheet'!D33,"")</f>
        <v/>
      </c>
      <c r="E32" t="str">
        <f>IF('Master Sheet'!C33="Area 4 (Anitha R)",'Master Sheet'!E33,"")</f>
        <v/>
      </c>
      <c r="F32" t="str">
        <f>IF('Master Sheet'!C33="Area 4 (Anitha R)",'Master Sheet'!F33,"")</f>
        <v/>
      </c>
      <c r="G32" t="str">
        <f>IF('Master Sheet'!C33="Area 4 (Anitha R)",'Master Sheet'!G33,"")</f>
        <v/>
      </c>
      <c r="H32" t="str">
        <f>IF('Master Sheet'!C33="Area 4 (Anitha R)",'Master Sheet'!H33,"")</f>
        <v/>
      </c>
      <c r="I32" t="str">
        <f>IF('Master Sheet'!C33="Area 4 (Anitha R)",'Master Sheet'!I33,"")</f>
        <v/>
      </c>
      <c r="J32" t="str">
        <f>IF('Master Sheet'!C33="Area 4 (Anitha R)",'Master Sheet'!J33,"")</f>
        <v/>
      </c>
      <c r="K32" t="str">
        <f>IF('Master Sheet'!C33="Area 4 (Anitha R)",'Master Sheet'!K33,"")</f>
        <v/>
      </c>
      <c r="L32" t="str">
        <f>IF('Master Sheet'!C33="Area 4 (Anitha R)",'Master Sheet'!L33,"")</f>
        <v/>
      </c>
      <c r="M32" t="str">
        <f>IF('Master Sheet'!C33="Area 4 (Anitha R)",'Master Sheet'!M33,"")</f>
        <v/>
      </c>
      <c r="N32" t="str">
        <f>IF('Master Sheet'!C33="Area 4 (Anitha R)",'Master Sheet'!N33,"")</f>
        <v/>
      </c>
      <c r="O32" t="str">
        <f>IF('Master Sheet'!C33="Area 4 (Anitha R)",'Master Sheet'!O33,"")</f>
        <v/>
      </c>
      <c r="P32" t="str">
        <f>IF('Master Sheet'!C33="Area 4 (Anitha R)",'Master Sheet'!P33,"")</f>
        <v/>
      </c>
    </row>
    <row r="33" spans="1:16" hidden="1" x14ac:dyDescent="0.25">
      <c r="A33" t="str">
        <f>IF('Master Sheet'!C34="Area 4 (Anitha R)",'Master Sheet'!A34,"")</f>
        <v/>
      </c>
      <c r="B33" t="str">
        <f>IF('Master Sheet'!C34="Area 4 (Anitha R)",'Master Sheet'!B34,"")</f>
        <v/>
      </c>
      <c r="C33" t="s">
        <v>7</v>
      </c>
      <c r="D33" t="str">
        <f>IF('Master Sheet'!C34="Area 4 (Anitha R)",'Master Sheet'!D34,"")</f>
        <v/>
      </c>
      <c r="E33" t="str">
        <f>IF('Master Sheet'!C34="Area 4 (Anitha R)",'Master Sheet'!E34,"")</f>
        <v/>
      </c>
      <c r="F33" t="str">
        <f>IF('Master Sheet'!C34="Area 4 (Anitha R)",'Master Sheet'!F34,"")</f>
        <v/>
      </c>
      <c r="G33" t="str">
        <f>IF('Master Sheet'!C34="Area 4 (Anitha R)",'Master Sheet'!G34,"")</f>
        <v/>
      </c>
      <c r="H33" t="str">
        <f>IF('Master Sheet'!C34="Area 4 (Anitha R)",'Master Sheet'!H34,"")</f>
        <v/>
      </c>
      <c r="I33" t="str">
        <f>IF('Master Sheet'!C34="Area 4 (Anitha R)",'Master Sheet'!I34,"")</f>
        <v/>
      </c>
      <c r="J33" t="str">
        <f>IF('Master Sheet'!C34="Area 4 (Anitha R)",'Master Sheet'!J34,"")</f>
        <v/>
      </c>
      <c r="K33" t="str">
        <f>IF('Master Sheet'!C34="Area 4 (Anitha R)",'Master Sheet'!K34,"")</f>
        <v/>
      </c>
      <c r="L33" t="str">
        <f>IF('Master Sheet'!C34="Area 4 (Anitha R)",'Master Sheet'!L34,"")</f>
        <v/>
      </c>
      <c r="M33" t="str">
        <f>IF('Master Sheet'!C34="Area 4 (Anitha R)",'Master Sheet'!M34,"")</f>
        <v/>
      </c>
      <c r="N33" t="str">
        <f>IF('Master Sheet'!C34="Area 4 (Anitha R)",'Master Sheet'!N34,"")</f>
        <v/>
      </c>
      <c r="O33" t="str">
        <f>IF('Master Sheet'!C34="Area 4 (Anitha R)",'Master Sheet'!O34,"")</f>
        <v/>
      </c>
      <c r="P33" t="str">
        <f>IF('Master Sheet'!C34="Area 4 (Anitha R)",'Master Sheet'!P34,"")</f>
        <v/>
      </c>
    </row>
    <row r="34" spans="1:16" hidden="1" x14ac:dyDescent="0.25">
      <c r="A34" t="str">
        <f>IF('Master Sheet'!C35="Area 4 (Anitha R)",'Master Sheet'!A35,"")</f>
        <v/>
      </c>
      <c r="B34" t="str">
        <f>IF('Master Sheet'!C35="Area 4 (Anitha R)",'Master Sheet'!B35,"")</f>
        <v/>
      </c>
      <c r="C34" t="s">
        <v>7</v>
      </c>
      <c r="D34" t="str">
        <f>IF('Master Sheet'!C35="Area 4 (Anitha R)",'Master Sheet'!D35,"")</f>
        <v/>
      </c>
      <c r="E34" t="str">
        <f>IF('Master Sheet'!C35="Area 4 (Anitha R)",'Master Sheet'!E35,"")</f>
        <v/>
      </c>
      <c r="F34" t="str">
        <f>IF('Master Sheet'!C35="Area 4 (Anitha R)",'Master Sheet'!F35,"")</f>
        <v/>
      </c>
      <c r="G34" t="str">
        <f>IF('Master Sheet'!C35="Area 4 (Anitha R)",'Master Sheet'!G35,"")</f>
        <v/>
      </c>
      <c r="H34" t="str">
        <f>IF('Master Sheet'!C35="Area 4 (Anitha R)",'Master Sheet'!H35,"")</f>
        <v/>
      </c>
      <c r="I34" t="str">
        <f>IF('Master Sheet'!C35="Area 4 (Anitha R)",'Master Sheet'!I35,"")</f>
        <v/>
      </c>
      <c r="J34" t="str">
        <f>IF('Master Sheet'!C35="Area 4 (Anitha R)",'Master Sheet'!J35,"")</f>
        <v/>
      </c>
      <c r="K34" t="str">
        <f>IF('Master Sheet'!C35="Area 4 (Anitha R)",'Master Sheet'!K35,"")</f>
        <v/>
      </c>
      <c r="L34" t="str">
        <f>IF('Master Sheet'!C35="Area 4 (Anitha R)",'Master Sheet'!L35,"")</f>
        <v/>
      </c>
      <c r="M34" t="str">
        <f>IF('Master Sheet'!C35="Area 4 (Anitha R)",'Master Sheet'!M35,"")</f>
        <v/>
      </c>
      <c r="N34" t="str">
        <f>IF('Master Sheet'!C35="Area 4 (Anitha R)",'Master Sheet'!N35,"")</f>
        <v/>
      </c>
      <c r="O34" t="str">
        <f>IF('Master Sheet'!C35="Area 4 (Anitha R)",'Master Sheet'!O35,"")</f>
        <v/>
      </c>
      <c r="P34" t="str">
        <f>IF('Master Sheet'!C35="Area 4 (Anitha R)",'Master Sheet'!P35,"")</f>
        <v/>
      </c>
    </row>
    <row r="35" spans="1:16" hidden="1" x14ac:dyDescent="0.25">
      <c r="A35" t="str">
        <f>IF('Master Sheet'!C36="Area 4 (Anitha R)",'Master Sheet'!A36,"")</f>
        <v/>
      </c>
      <c r="B35" t="str">
        <f>IF('Master Sheet'!C36="Area 4 (Anitha R)",'Master Sheet'!B36,"")</f>
        <v/>
      </c>
      <c r="C35" t="s">
        <v>7</v>
      </c>
      <c r="D35" t="str">
        <f>IF('Master Sheet'!C36="Area 4 (Anitha R)",'Master Sheet'!D36,"")</f>
        <v/>
      </c>
      <c r="E35" t="str">
        <f>IF('Master Sheet'!C36="Area 4 (Anitha R)",'Master Sheet'!E36,"")</f>
        <v/>
      </c>
      <c r="F35" t="str">
        <f>IF('Master Sheet'!C36="Area 4 (Anitha R)",'Master Sheet'!F36,"")</f>
        <v/>
      </c>
      <c r="G35" t="str">
        <f>IF('Master Sheet'!C36="Area 4 (Anitha R)",'Master Sheet'!G36,"")</f>
        <v/>
      </c>
      <c r="H35" t="str">
        <f>IF('Master Sheet'!C36="Area 4 (Anitha R)",'Master Sheet'!H36,"")</f>
        <v/>
      </c>
      <c r="I35" t="str">
        <f>IF('Master Sheet'!C36="Area 4 (Anitha R)",'Master Sheet'!I36,"")</f>
        <v/>
      </c>
      <c r="J35" t="str">
        <f>IF('Master Sheet'!C36="Area 4 (Anitha R)",'Master Sheet'!J36,"")</f>
        <v/>
      </c>
      <c r="K35" t="str">
        <f>IF('Master Sheet'!C36="Area 4 (Anitha R)",'Master Sheet'!K36,"")</f>
        <v/>
      </c>
      <c r="L35" t="str">
        <f>IF('Master Sheet'!C36="Area 4 (Anitha R)",'Master Sheet'!L36,"")</f>
        <v/>
      </c>
      <c r="M35" t="str">
        <f>IF('Master Sheet'!C36="Area 4 (Anitha R)",'Master Sheet'!M36,"")</f>
        <v/>
      </c>
      <c r="N35" t="str">
        <f>IF('Master Sheet'!C36="Area 4 (Anitha R)",'Master Sheet'!N36,"")</f>
        <v/>
      </c>
      <c r="O35" t="str">
        <f>IF('Master Sheet'!C36="Area 4 (Anitha R)",'Master Sheet'!O36,"")</f>
        <v/>
      </c>
      <c r="P35" t="str">
        <f>IF('Master Sheet'!C36="Area 4 (Anitha R)",'Master Sheet'!P36,"")</f>
        <v/>
      </c>
    </row>
    <row r="36" spans="1:16" hidden="1" x14ac:dyDescent="0.25">
      <c r="A36" t="str">
        <f>IF('Master Sheet'!C37="Area 4 (Anitha R)",'Master Sheet'!A37,"")</f>
        <v/>
      </c>
      <c r="B36" t="str">
        <f>IF('Master Sheet'!C37="Area 4 (Anitha R)",'Master Sheet'!B37,"")</f>
        <v/>
      </c>
      <c r="C36" t="s">
        <v>7</v>
      </c>
      <c r="D36" t="str">
        <f>IF('Master Sheet'!C37="Area 4 (Anitha R)",'Master Sheet'!D37,"")</f>
        <v/>
      </c>
      <c r="E36" t="str">
        <f>IF('Master Sheet'!C37="Area 4 (Anitha R)",'Master Sheet'!E37,"")</f>
        <v/>
      </c>
      <c r="F36" t="str">
        <f>IF('Master Sheet'!C37="Area 4 (Anitha R)",'Master Sheet'!F37,"")</f>
        <v/>
      </c>
      <c r="G36" t="str">
        <f>IF('Master Sheet'!C37="Area 4 (Anitha R)",'Master Sheet'!G37,"")</f>
        <v/>
      </c>
      <c r="H36" t="str">
        <f>IF('Master Sheet'!C37="Area 4 (Anitha R)",'Master Sheet'!H37,"")</f>
        <v/>
      </c>
      <c r="I36" t="str">
        <f>IF('Master Sheet'!C37="Area 4 (Anitha R)",'Master Sheet'!I37,"")</f>
        <v/>
      </c>
      <c r="J36" t="str">
        <f>IF('Master Sheet'!C37="Area 4 (Anitha R)",'Master Sheet'!J37,"")</f>
        <v/>
      </c>
      <c r="K36" t="str">
        <f>IF('Master Sheet'!C37="Area 4 (Anitha R)",'Master Sheet'!K37,"")</f>
        <v/>
      </c>
      <c r="L36" t="str">
        <f>IF('Master Sheet'!C37="Area 4 (Anitha R)",'Master Sheet'!L37,"")</f>
        <v/>
      </c>
      <c r="M36" t="str">
        <f>IF('Master Sheet'!C37="Area 4 (Anitha R)",'Master Sheet'!M37,"")</f>
        <v/>
      </c>
      <c r="N36" t="str">
        <f>IF('Master Sheet'!C37="Area 4 (Anitha R)",'Master Sheet'!N37,"")</f>
        <v/>
      </c>
      <c r="O36" t="str">
        <f>IF('Master Sheet'!C37="Area 4 (Anitha R)",'Master Sheet'!O37,"")</f>
        <v/>
      </c>
      <c r="P36" t="str">
        <f>IF('Master Sheet'!C37="Area 4 (Anitha R)",'Master Sheet'!P37,"")</f>
        <v/>
      </c>
    </row>
    <row r="37" spans="1:16" hidden="1" x14ac:dyDescent="0.25">
      <c r="A37" t="str">
        <f>IF('Master Sheet'!C38="Area 4 (Anitha R)",'Master Sheet'!A38,"")</f>
        <v/>
      </c>
      <c r="B37" t="str">
        <f>IF('Master Sheet'!C38="Area 4 (Anitha R)",'Master Sheet'!B38,"")</f>
        <v/>
      </c>
      <c r="C37" t="s">
        <v>7</v>
      </c>
      <c r="D37" t="str">
        <f>IF('Master Sheet'!C38="Area 4 (Anitha R)",'Master Sheet'!D38,"")</f>
        <v/>
      </c>
      <c r="E37" t="str">
        <f>IF('Master Sheet'!C38="Area 4 (Anitha R)",'Master Sheet'!E38,"")</f>
        <v/>
      </c>
      <c r="F37" t="str">
        <f>IF('Master Sheet'!C38="Area 4 (Anitha R)",'Master Sheet'!F38,"")</f>
        <v/>
      </c>
      <c r="G37" t="str">
        <f>IF('Master Sheet'!C38="Area 4 (Anitha R)",'Master Sheet'!G38,"")</f>
        <v/>
      </c>
      <c r="H37" t="str">
        <f>IF('Master Sheet'!C38="Area 4 (Anitha R)",'Master Sheet'!H38,"")</f>
        <v/>
      </c>
      <c r="I37" t="str">
        <f>IF('Master Sheet'!C38="Area 4 (Anitha R)",'Master Sheet'!I38,"")</f>
        <v/>
      </c>
      <c r="J37" t="str">
        <f>IF('Master Sheet'!C38="Area 4 (Anitha R)",'Master Sheet'!J38,"")</f>
        <v/>
      </c>
      <c r="K37" t="str">
        <f>IF('Master Sheet'!C38="Area 4 (Anitha R)",'Master Sheet'!K38,"")</f>
        <v/>
      </c>
      <c r="L37" t="str">
        <f>IF('Master Sheet'!C38="Area 4 (Anitha R)",'Master Sheet'!L38,"")</f>
        <v/>
      </c>
      <c r="M37" t="str">
        <f>IF('Master Sheet'!C38="Area 4 (Anitha R)",'Master Sheet'!M38,"")</f>
        <v/>
      </c>
      <c r="N37" t="str">
        <f>IF('Master Sheet'!C38="Area 4 (Anitha R)",'Master Sheet'!N38,"")</f>
        <v/>
      </c>
      <c r="O37" t="str">
        <f>IF('Master Sheet'!C38="Area 4 (Anitha R)",'Master Sheet'!O38,"")</f>
        <v/>
      </c>
      <c r="P37" t="str">
        <f>IF('Master Sheet'!C38="Area 4 (Anitha R)",'Master Sheet'!P38,"")</f>
        <v/>
      </c>
    </row>
    <row r="38" spans="1:16" hidden="1" x14ac:dyDescent="0.25">
      <c r="A38" t="str">
        <f>IF('Master Sheet'!C39="Area 4 (Anitha R)",'Master Sheet'!A39,"")</f>
        <v/>
      </c>
      <c r="B38" t="str">
        <f>IF('Master Sheet'!C39="Area 4 (Anitha R)",'Master Sheet'!B39,"")</f>
        <v/>
      </c>
      <c r="C38" t="s">
        <v>7</v>
      </c>
      <c r="D38" t="str">
        <f>IF('Master Sheet'!C39="Area 4 (Anitha R)",'Master Sheet'!D39,"")</f>
        <v/>
      </c>
      <c r="E38" t="str">
        <f>IF('Master Sheet'!C39="Area 4 (Anitha R)",'Master Sheet'!E39,"")</f>
        <v/>
      </c>
      <c r="F38" t="str">
        <f>IF('Master Sheet'!C39="Area 4 (Anitha R)",'Master Sheet'!F39,"")</f>
        <v/>
      </c>
      <c r="G38" t="str">
        <f>IF('Master Sheet'!C39="Area 4 (Anitha R)",'Master Sheet'!G39,"")</f>
        <v/>
      </c>
      <c r="H38" t="str">
        <f>IF('Master Sheet'!C39="Area 4 (Anitha R)",'Master Sheet'!H39,"")</f>
        <v/>
      </c>
      <c r="I38" t="str">
        <f>IF('Master Sheet'!C39="Area 4 (Anitha R)",'Master Sheet'!I39,"")</f>
        <v/>
      </c>
      <c r="J38" t="str">
        <f>IF('Master Sheet'!C39="Area 4 (Anitha R)",'Master Sheet'!J39,"")</f>
        <v/>
      </c>
      <c r="K38" t="str">
        <f>IF('Master Sheet'!C39="Area 4 (Anitha R)",'Master Sheet'!K39,"")</f>
        <v/>
      </c>
      <c r="L38" t="str">
        <f>IF('Master Sheet'!C39="Area 4 (Anitha R)",'Master Sheet'!L39,"")</f>
        <v/>
      </c>
      <c r="M38" t="str">
        <f>IF('Master Sheet'!C39="Area 4 (Anitha R)",'Master Sheet'!M39,"")</f>
        <v/>
      </c>
      <c r="N38" t="str">
        <f>IF('Master Sheet'!C39="Area 4 (Anitha R)",'Master Sheet'!N39,"")</f>
        <v/>
      </c>
      <c r="O38" t="str">
        <f>IF('Master Sheet'!C39="Area 4 (Anitha R)",'Master Sheet'!O39,"")</f>
        <v/>
      </c>
      <c r="P38" t="str">
        <f>IF('Master Sheet'!C39="Area 4 (Anitha R)",'Master Sheet'!P39,"")</f>
        <v/>
      </c>
    </row>
    <row r="39" spans="1:16" hidden="1" x14ac:dyDescent="0.25">
      <c r="A39" t="str">
        <f>IF('Master Sheet'!C40="Area 4 (Anitha R)",'Master Sheet'!A40,"")</f>
        <v/>
      </c>
      <c r="B39" t="str">
        <f>IF('Master Sheet'!C40="Area 4 (Anitha R)",'Master Sheet'!B40,"")</f>
        <v/>
      </c>
      <c r="C39" t="s">
        <v>7</v>
      </c>
      <c r="D39" t="str">
        <f>IF('Master Sheet'!C40="Area 4 (Anitha R)",'Master Sheet'!D40,"")</f>
        <v/>
      </c>
      <c r="E39" t="str">
        <f>IF('Master Sheet'!C40="Area 4 (Anitha R)",'Master Sheet'!E40,"")</f>
        <v/>
      </c>
      <c r="F39" t="str">
        <f>IF('Master Sheet'!C40="Area 4 (Anitha R)",'Master Sheet'!F40,"")</f>
        <v/>
      </c>
      <c r="G39" t="str">
        <f>IF('Master Sheet'!C40="Area 4 (Anitha R)",'Master Sheet'!G40,"")</f>
        <v/>
      </c>
      <c r="H39" t="str">
        <f>IF('Master Sheet'!C40="Area 4 (Anitha R)",'Master Sheet'!H40,"")</f>
        <v/>
      </c>
      <c r="I39" t="str">
        <f>IF('Master Sheet'!C40="Area 4 (Anitha R)",'Master Sheet'!I40,"")</f>
        <v/>
      </c>
      <c r="J39" t="str">
        <f>IF('Master Sheet'!C40="Area 4 (Anitha R)",'Master Sheet'!J40,"")</f>
        <v/>
      </c>
      <c r="K39" t="str">
        <f>IF('Master Sheet'!C40="Area 4 (Anitha R)",'Master Sheet'!K40,"")</f>
        <v/>
      </c>
      <c r="L39" t="str">
        <f>IF('Master Sheet'!C40="Area 4 (Anitha R)",'Master Sheet'!L40,"")</f>
        <v/>
      </c>
      <c r="M39" t="str">
        <f>IF('Master Sheet'!C40="Area 4 (Anitha R)",'Master Sheet'!M40,"")</f>
        <v/>
      </c>
      <c r="N39" t="str">
        <f>IF('Master Sheet'!C40="Area 4 (Anitha R)",'Master Sheet'!N40,"")</f>
        <v/>
      </c>
      <c r="O39" t="str">
        <f>IF('Master Sheet'!C40="Area 4 (Anitha R)",'Master Sheet'!O40,"")</f>
        <v/>
      </c>
      <c r="P39" t="str">
        <f>IF('Master Sheet'!C40="Area 4 (Anitha R)",'Master Sheet'!P40,"")</f>
        <v/>
      </c>
    </row>
    <row r="40" spans="1:16" hidden="1" x14ac:dyDescent="0.25">
      <c r="A40" t="str">
        <f>IF('Master Sheet'!C41="Area 4 (Anitha R)",'Master Sheet'!A41,"")</f>
        <v/>
      </c>
      <c r="B40" t="str">
        <f>IF('Master Sheet'!C41="Area 4 (Anitha R)",'Master Sheet'!B41,"")</f>
        <v/>
      </c>
      <c r="C40" t="s">
        <v>7</v>
      </c>
      <c r="D40" t="str">
        <f>IF('Master Sheet'!C41="Area 4 (Anitha R)",'Master Sheet'!D41,"")</f>
        <v/>
      </c>
      <c r="E40" t="str">
        <f>IF('Master Sheet'!C41="Area 4 (Anitha R)",'Master Sheet'!E41,"")</f>
        <v/>
      </c>
      <c r="F40" t="str">
        <f>IF('Master Sheet'!C41="Area 4 (Anitha R)",'Master Sheet'!F41,"")</f>
        <v/>
      </c>
      <c r="G40" t="str">
        <f>IF('Master Sheet'!C41="Area 4 (Anitha R)",'Master Sheet'!G41,"")</f>
        <v/>
      </c>
      <c r="H40" t="str">
        <f>IF('Master Sheet'!C41="Area 4 (Anitha R)",'Master Sheet'!H41,"")</f>
        <v/>
      </c>
      <c r="I40" t="str">
        <f>IF('Master Sheet'!C41="Area 4 (Anitha R)",'Master Sheet'!I41,"")</f>
        <v/>
      </c>
      <c r="J40" t="str">
        <f>IF('Master Sheet'!C41="Area 4 (Anitha R)",'Master Sheet'!J41,"")</f>
        <v/>
      </c>
      <c r="K40" t="str">
        <f>IF('Master Sheet'!C41="Area 4 (Anitha R)",'Master Sheet'!K41,"")</f>
        <v/>
      </c>
      <c r="L40" t="str">
        <f>IF('Master Sheet'!C41="Area 4 (Anitha R)",'Master Sheet'!L41,"")</f>
        <v/>
      </c>
      <c r="M40" t="str">
        <f>IF('Master Sheet'!C41="Area 4 (Anitha R)",'Master Sheet'!M41,"")</f>
        <v/>
      </c>
      <c r="N40" t="str">
        <f>IF('Master Sheet'!C41="Area 4 (Anitha R)",'Master Sheet'!N41,"")</f>
        <v/>
      </c>
      <c r="O40" t="str">
        <f>IF('Master Sheet'!C41="Area 4 (Anitha R)",'Master Sheet'!O41,"")</f>
        <v/>
      </c>
      <c r="P40" t="str">
        <f>IF('Master Sheet'!C41="Area 4 (Anitha R)",'Master Sheet'!P41,"")</f>
        <v/>
      </c>
    </row>
    <row r="41" spans="1:16" hidden="1" x14ac:dyDescent="0.25">
      <c r="A41" t="str">
        <f>IF('Master Sheet'!C42="Area 4 (Anitha R)",'Master Sheet'!A42,"")</f>
        <v/>
      </c>
      <c r="B41" t="str">
        <f>IF('Master Sheet'!C42="Area 4 (Anitha R)",'Master Sheet'!B42,"")</f>
        <v/>
      </c>
      <c r="C41" t="s">
        <v>7</v>
      </c>
      <c r="D41" t="str">
        <f>IF('Master Sheet'!C42="Area 4 (Anitha R)",'Master Sheet'!D42,"")</f>
        <v/>
      </c>
      <c r="E41" t="str">
        <f>IF('Master Sheet'!C42="Area 4 (Anitha R)",'Master Sheet'!E42,"")</f>
        <v/>
      </c>
      <c r="F41" t="str">
        <f>IF('Master Sheet'!C42="Area 4 (Anitha R)",'Master Sheet'!F42,"")</f>
        <v/>
      </c>
      <c r="G41" t="str">
        <f>IF('Master Sheet'!C42="Area 4 (Anitha R)",'Master Sheet'!G42,"")</f>
        <v/>
      </c>
      <c r="H41" t="str">
        <f>IF('Master Sheet'!C42="Area 4 (Anitha R)",'Master Sheet'!H42,"")</f>
        <v/>
      </c>
      <c r="I41" t="str">
        <f>IF('Master Sheet'!C42="Area 4 (Anitha R)",'Master Sheet'!I42,"")</f>
        <v/>
      </c>
      <c r="J41" t="str">
        <f>IF('Master Sheet'!C42="Area 4 (Anitha R)",'Master Sheet'!J42,"")</f>
        <v/>
      </c>
      <c r="K41" t="str">
        <f>IF('Master Sheet'!C42="Area 4 (Anitha R)",'Master Sheet'!K42,"")</f>
        <v/>
      </c>
      <c r="L41" t="str">
        <f>IF('Master Sheet'!C42="Area 4 (Anitha R)",'Master Sheet'!L42,"")</f>
        <v/>
      </c>
      <c r="M41" t="str">
        <f>IF('Master Sheet'!C42="Area 4 (Anitha R)",'Master Sheet'!M42,"")</f>
        <v/>
      </c>
      <c r="N41" t="str">
        <f>IF('Master Sheet'!C42="Area 4 (Anitha R)",'Master Sheet'!N42,"")</f>
        <v/>
      </c>
      <c r="O41" t="str">
        <f>IF('Master Sheet'!C42="Area 4 (Anitha R)",'Master Sheet'!O42,"")</f>
        <v/>
      </c>
      <c r="P41" t="str">
        <f>IF('Master Sheet'!C42="Area 4 (Anitha R)",'Master Sheet'!P42,"")</f>
        <v/>
      </c>
    </row>
    <row r="42" spans="1:16" hidden="1" x14ac:dyDescent="0.25">
      <c r="A42" t="str">
        <f>IF('Master Sheet'!C43="Area 4 (Anitha R)",'Master Sheet'!A43,"")</f>
        <v/>
      </c>
      <c r="B42" t="str">
        <f>IF('Master Sheet'!C43="Area 4 (Anitha R)",'Master Sheet'!B43,"")</f>
        <v/>
      </c>
      <c r="C42" t="s">
        <v>7</v>
      </c>
      <c r="D42" t="str">
        <f>IF('Master Sheet'!C43="Area 4 (Anitha R)",'Master Sheet'!D43,"")</f>
        <v/>
      </c>
      <c r="E42" t="str">
        <f>IF('Master Sheet'!C43="Area 4 (Anitha R)",'Master Sheet'!E43,"")</f>
        <v/>
      </c>
      <c r="F42" t="str">
        <f>IF('Master Sheet'!C43="Area 4 (Anitha R)",'Master Sheet'!F43,"")</f>
        <v/>
      </c>
      <c r="G42" t="str">
        <f>IF('Master Sheet'!C43="Area 4 (Anitha R)",'Master Sheet'!G43,"")</f>
        <v/>
      </c>
      <c r="H42" t="str">
        <f>IF('Master Sheet'!C43="Area 4 (Anitha R)",'Master Sheet'!H43,"")</f>
        <v/>
      </c>
      <c r="I42" t="str">
        <f>IF('Master Sheet'!C43="Area 4 (Anitha R)",'Master Sheet'!I43,"")</f>
        <v/>
      </c>
      <c r="J42" t="str">
        <f>IF('Master Sheet'!C43="Area 4 (Anitha R)",'Master Sheet'!J43,"")</f>
        <v/>
      </c>
      <c r="K42" t="str">
        <f>IF('Master Sheet'!C43="Area 4 (Anitha R)",'Master Sheet'!K43,"")</f>
        <v/>
      </c>
      <c r="L42" t="str">
        <f>IF('Master Sheet'!C43="Area 4 (Anitha R)",'Master Sheet'!L43,"")</f>
        <v/>
      </c>
      <c r="M42" t="str">
        <f>IF('Master Sheet'!C43="Area 4 (Anitha R)",'Master Sheet'!M43,"")</f>
        <v/>
      </c>
      <c r="N42" t="str">
        <f>IF('Master Sheet'!C43="Area 4 (Anitha R)",'Master Sheet'!N43,"")</f>
        <v/>
      </c>
      <c r="O42" t="str">
        <f>IF('Master Sheet'!C43="Area 4 (Anitha R)",'Master Sheet'!O43,"")</f>
        <v/>
      </c>
      <c r="P42" t="str">
        <f>IF('Master Sheet'!C43="Area 4 (Anitha R)",'Master Sheet'!P43,"")</f>
        <v/>
      </c>
    </row>
    <row r="43" spans="1:16" hidden="1" x14ac:dyDescent="0.25">
      <c r="A43" t="str">
        <f>IF('Master Sheet'!C44="Area 4 (Anitha R)",'Master Sheet'!A44,"")</f>
        <v/>
      </c>
      <c r="B43" t="str">
        <f>IF('Master Sheet'!C44="Area 4 (Anitha R)",'Master Sheet'!B44,"")</f>
        <v/>
      </c>
      <c r="C43" t="s">
        <v>7</v>
      </c>
      <c r="D43" t="str">
        <f>IF('Master Sheet'!C44="Area 4 (Anitha R)",'Master Sheet'!D44,"")</f>
        <v/>
      </c>
      <c r="E43" t="str">
        <f>IF('Master Sheet'!C44="Area 4 (Anitha R)",'Master Sheet'!E44,"")</f>
        <v/>
      </c>
      <c r="F43" t="str">
        <f>IF('Master Sheet'!C44="Area 4 (Anitha R)",'Master Sheet'!F44,"")</f>
        <v/>
      </c>
      <c r="G43" t="str">
        <f>IF('Master Sheet'!C44="Area 4 (Anitha R)",'Master Sheet'!G44,"")</f>
        <v/>
      </c>
      <c r="H43" t="str">
        <f>IF('Master Sheet'!C44="Area 4 (Anitha R)",'Master Sheet'!H44,"")</f>
        <v/>
      </c>
      <c r="I43" t="str">
        <f>IF('Master Sheet'!C44="Area 4 (Anitha R)",'Master Sheet'!I44,"")</f>
        <v/>
      </c>
      <c r="J43" t="str">
        <f>IF('Master Sheet'!C44="Area 4 (Anitha R)",'Master Sheet'!J44,"")</f>
        <v/>
      </c>
      <c r="K43" t="str">
        <f>IF('Master Sheet'!C44="Area 4 (Anitha R)",'Master Sheet'!K44,"")</f>
        <v/>
      </c>
      <c r="L43" t="str">
        <f>IF('Master Sheet'!C44="Area 4 (Anitha R)",'Master Sheet'!L44,"")</f>
        <v/>
      </c>
      <c r="M43" t="str">
        <f>IF('Master Sheet'!C44="Area 4 (Anitha R)",'Master Sheet'!M44,"")</f>
        <v/>
      </c>
      <c r="N43" t="str">
        <f>IF('Master Sheet'!C44="Area 4 (Anitha R)",'Master Sheet'!N44,"")</f>
        <v/>
      </c>
      <c r="O43" t="str">
        <f>IF('Master Sheet'!C44="Area 4 (Anitha R)",'Master Sheet'!O44,"")</f>
        <v/>
      </c>
      <c r="P43" t="str">
        <f>IF('Master Sheet'!C44="Area 4 (Anitha R)",'Master Sheet'!P44,"")</f>
        <v/>
      </c>
    </row>
    <row r="44" spans="1:16" hidden="1" x14ac:dyDescent="0.25">
      <c r="A44" t="str">
        <f>IF('Master Sheet'!C45="Area 4 (Anitha R)",'Master Sheet'!A45,"")</f>
        <v/>
      </c>
      <c r="B44" t="str">
        <f>IF('Master Sheet'!C45="Area 4 (Anitha R)",'Master Sheet'!B45,"")</f>
        <v/>
      </c>
      <c r="C44" t="s">
        <v>7</v>
      </c>
      <c r="D44" t="str">
        <f>IF('Master Sheet'!C45="Area 4 (Anitha R)",'Master Sheet'!D45,"")</f>
        <v/>
      </c>
      <c r="E44" t="str">
        <f>IF('Master Sheet'!C45="Area 4 (Anitha R)",'Master Sheet'!E45,"")</f>
        <v/>
      </c>
      <c r="F44" t="str">
        <f>IF('Master Sheet'!C45="Area 4 (Anitha R)",'Master Sheet'!F45,"")</f>
        <v/>
      </c>
      <c r="G44" t="str">
        <f>IF('Master Sheet'!C45="Area 4 (Anitha R)",'Master Sheet'!G45,"")</f>
        <v/>
      </c>
      <c r="H44" t="str">
        <f>IF('Master Sheet'!C45="Area 4 (Anitha R)",'Master Sheet'!H45,"")</f>
        <v/>
      </c>
      <c r="I44" t="str">
        <f>IF('Master Sheet'!C45="Area 4 (Anitha R)",'Master Sheet'!I45,"")</f>
        <v/>
      </c>
      <c r="J44" t="str">
        <f>IF('Master Sheet'!C45="Area 4 (Anitha R)",'Master Sheet'!J45,"")</f>
        <v/>
      </c>
      <c r="K44" t="str">
        <f>IF('Master Sheet'!C45="Area 4 (Anitha R)",'Master Sheet'!K45,"")</f>
        <v/>
      </c>
      <c r="L44" t="str">
        <f>IF('Master Sheet'!C45="Area 4 (Anitha R)",'Master Sheet'!L45,"")</f>
        <v/>
      </c>
      <c r="M44" t="str">
        <f>IF('Master Sheet'!C45="Area 4 (Anitha R)",'Master Sheet'!M45,"")</f>
        <v/>
      </c>
      <c r="N44" t="str">
        <f>IF('Master Sheet'!C45="Area 4 (Anitha R)",'Master Sheet'!N45,"")</f>
        <v/>
      </c>
      <c r="O44" t="str">
        <f>IF('Master Sheet'!C45="Area 4 (Anitha R)",'Master Sheet'!O45,"")</f>
        <v/>
      </c>
      <c r="P44" t="str">
        <f>IF('Master Sheet'!C45="Area 4 (Anitha R)",'Master Sheet'!P45,"")</f>
        <v/>
      </c>
    </row>
    <row r="45" spans="1:16" hidden="1" x14ac:dyDescent="0.25">
      <c r="A45" t="str">
        <f>IF('Master Sheet'!C46="Area 4 (Anitha R)",'Master Sheet'!A46,"")</f>
        <v/>
      </c>
      <c r="B45" t="str">
        <f>IF('Master Sheet'!C46="Area 4 (Anitha R)",'Master Sheet'!B46,"")</f>
        <v/>
      </c>
      <c r="C45" t="s">
        <v>7</v>
      </c>
      <c r="D45" t="str">
        <f>IF('Master Sheet'!C46="Area 4 (Anitha R)",'Master Sheet'!D46,"")</f>
        <v/>
      </c>
      <c r="E45" t="str">
        <f>IF('Master Sheet'!C46="Area 4 (Anitha R)",'Master Sheet'!E46,"")</f>
        <v/>
      </c>
      <c r="F45" t="str">
        <f>IF('Master Sheet'!C46="Area 4 (Anitha R)",'Master Sheet'!F46,"")</f>
        <v/>
      </c>
      <c r="G45" t="str">
        <f>IF('Master Sheet'!C46="Area 4 (Anitha R)",'Master Sheet'!G46,"")</f>
        <v/>
      </c>
      <c r="H45" t="str">
        <f>IF('Master Sheet'!C46="Area 4 (Anitha R)",'Master Sheet'!H46,"")</f>
        <v/>
      </c>
      <c r="I45" t="str">
        <f>IF('Master Sheet'!C46="Area 4 (Anitha R)",'Master Sheet'!I46,"")</f>
        <v/>
      </c>
      <c r="J45" t="str">
        <f>IF('Master Sheet'!C46="Area 4 (Anitha R)",'Master Sheet'!J46,"")</f>
        <v/>
      </c>
      <c r="K45" t="str">
        <f>IF('Master Sheet'!C46="Area 4 (Anitha R)",'Master Sheet'!K46,"")</f>
        <v/>
      </c>
      <c r="L45" t="str">
        <f>IF('Master Sheet'!C46="Area 4 (Anitha R)",'Master Sheet'!L46,"")</f>
        <v/>
      </c>
      <c r="M45" t="str">
        <f>IF('Master Sheet'!C46="Area 4 (Anitha R)",'Master Sheet'!M46,"")</f>
        <v/>
      </c>
      <c r="N45" t="str">
        <f>IF('Master Sheet'!C46="Area 4 (Anitha R)",'Master Sheet'!N46,"")</f>
        <v/>
      </c>
      <c r="O45" t="str">
        <f>IF('Master Sheet'!C46="Area 4 (Anitha R)",'Master Sheet'!O46,"")</f>
        <v/>
      </c>
      <c r="P45" t="str">
        <f>IF('Master Sheet'!C46="Area 4 (Anitha R)",'Master Sheet'!P46,"")</f>
        <v/>
      </c>
    </row>
    <row r="46" spans="1:16" hidden="1" x14ac:dyDescent="0.25">
      <c r="A46" t="str">
        <f>IF('Master Sheet'!C47="Area 4 (Anitha R)",'Master Sheet'!A47,"")</f>
        <v/>
      </c>
      <c r="B46" t="str">
        <f>IF('Master Sheet'!C47="Area 4 (Anitha R)",'Master Sheet'!B47,"")</f>
        <v/>
      </c>
      <c r="C46" t="s">
        <v>7</v>
      </c>
      <c r="D46" t="str">
        <f>IF('Master Sheet'!C47="Area 4 (Anitha R)",'Master Sheet'!D47,"")</f>
        <v/>
      </c>
      <c r="E46" t="str">
        <f>IF('Master Sheet'!C47="Area 4 (Anitha R)",'Master Sheet'!E47,"")</f>
        <v/>
      </c>
      <c r="F46" t="str">
        <f>IF('Master Sheet'!C47="Area 4 (Anitha R)",'Master Sheet'!F47,"")</f>
        <v/>
      </c>
      <c r="G46" t="str">
        <f>IF('Master Sheet'!C47="Area 4 (Anitha R)",'Master Sheet'!G47,"")</f>
        <v/>
      </c>
      <c r="H46" t="str">
        <f>IF('Master Sheet'!C47="Area 4 (Anitha R)",'Master Sheet'!H47,"")</f>
        <v/>
      </c>
      <c r="I46" t="str">
        <f>IF('Master Sheet'!C47="Area 4 (Anitha R)",'Master Sheet'!I47,"")</f>
        <v/>
      </c>
      <c r="J46" t="str">
        <f>IF('Master Sheet'!C47="Area 4 (Anitha R)",'Master Sheet'!J47,"")</f>
        <v/>
      </c>
      <c r="K46" t="str">
        <f>IF('Master Sheet'!C47="Area 4 (Anitha R)",'Master Sheet'!K47,"")</f>
        <v/>
      </c>
      <c r="L46" t="str">
        <f>IF('Master Sheet'!C47="Area 4 (Anitha R)",'Master Sheet'!L47,"")</f>
        <v/>
      </c>
      <c r="M46" t="str">
        <f>IF('Master Sheet'!C47="Area 4 (Anitha R)",'Master Sheet'!M47,"")</f>
        <v/>
      </c>
      <c r="N46" t="str">
        <f>IF('Master Sheet'!C47="Area 4 (Anitha R)",'Master Sheet'!N47,"")</f>
        <v/>
      </c>
      <c r="O46" t="str">
        <f>IF('Master Sheet'!C47="Area 4 (Anitha R)",'Master Sheet'!O47,"")</f>
        <v/>
      </c>
      <c r="P46" t="str">
        <f>IF('Master Sheet'!C47="Area 4 (Anitha R)",'Master Sheet'!P47,"")</f>
        <v/>
      </c>
    </row>
    <row r="47" spans="1:16" hidden="1" x14ac:dyDescent="0.25">
      <c r="A47" t="str">
        <f>IF('Master Sheet'!C48="Area 4 (Anitha R)",'Master Sheet'!A48,"")</f>
        <v/>
      </c>
      <c r="B47" t="str">
        <f>IF('Master Sheet'!C48="Area 4 (Anitha R)",'Master Sheet'!B48,"")</f>
        <v/>
      </c>
      <c r="C47" t="s">
        <v>7</v>
      </c>
      <c r="D47" t="str">
        <f>IF('Master Sheet'!C48="Area 4 (Anitha R)",'Master Sheet'!D48,"")</f>
        <v/>
      </c>
      <c r="E47" t="str">
        <f>IF('Master Sheet'!C48="Area 4 (Anitha R)",'Master Sheet'!E48,"")</f>
        <v/>
      </c>
      <c r="F47" t="str">
        <f>IF('Master Sheet'!C48="Area 4 (Anitha R)",'Master Sheet'!F48,"")</f>
        <v/>
      </c>
      <c r="G47" t="str">
        <f>IF('Master Sheet'!C48="Area 4 (Anitha R)",'Master Sheet'!G48,"")</f>
        <v/>
      </c>
      <c r="H47" t="str">
        <f>IF('Master Sheet'!C48="Area 4 (Anitha R)",'Master Sheet'!H48,"")</f>
        <v/>
      </c>
      <c r="I47" t="str">
        <f>IF('Master Sheet'!C48="Area 4 (Anitha R)",'Master Sheet'!I48,"")</f>
        <v/>
      </c>
      <c r="J47" t="str">
        <f>IF('Master Sheet'!C48="Area 4 (Anitha R)",'Master Sheet'!J48,"")</f>
        <v/>
      </c>
      <c r="K47" t="str">
        <f>IF('Master Sheet'!C48="Area 4 (Anitha R)",'Master Sheet'!K48,"")</f>
        <v/>
      </c>
      <c r="L47" t="str">
        <f>IF('Master Sheet'!C48="Area 4 (Anitha R)",'Master Sheet'!L48,"")</f>
        <v/>
      </c>
      <c r="M47" t="str">
        <f>IF('Master Sheet'!C48="Area 4 (Anitha R)",'Master Sheet'!M48,"")</f>
        <v/>
      </c>
      <c r="N47" t="str">
        <f>IF('Master Sheet'!C48="Area 4 (Anitha R)",'Master Sheet'!N48,"")</f>
        <v/>
      </c>
      <c r="O47" t="str">
        <f>IF('Master Sheet'!C48="Area 4 (Anitha R)",'Master Sheet'!O48,"")</f>
        <v/>
      </c>
      <c r="P47" t="str">
        <f>IF('Master Sheet'!C48="Area 4 (Anitha R)",'Master Sheet'!P48,"")</f>
        <v/>
      </c>
    </row>
    <row r="48" spans="1:16" hidden="1" x14ac:dyDescent="0.25">
      <c r="A48" t="str">
        <f>IF('Master Sheet'!C49="Area 4 (Anitha R)",'Master Sheet'!A49,"")</f>
        <v/>
      </c>
      <c r="B48" t="str">
        <f>IF('Master Sheet'!C49="Area 4 (Anitha R)",'Master Sheet'!B49,"")</f>
        <v/>
      </c>
      <c r="C48" t="s">
        <v>7</v>
      </c>
      <c r="D48" t="str">
        <f>IF('Master Sheet'!C49="Area 4 (Anitha R)",'Master Sheet'!D49,"")</f>
        <v/>
      </c>
      <c r="E48" t="str">
        <f>IF('Master Sheet'!C49="Area 4 (Anitha R)",'Master Sheet'!E49,"")</f>
        <v/>
      </c>
      <c r="F48" t="str">
        <f>IF('Master Sheet'!C49="Area 4 (Anitha R)",'Master Sheet'!F49,"")</f>
        <v/>
      </c>
      <c r="G48" t="str">
        <f>IF('Master Sheet'!C49="Area 4 (Anitha R)",'Master Sheet'!G49,"")</f>
        <v/>
      </c>
      <c r="H48" t="str">
        <f>IF('Master Sheet'!C49="Area 4 (Anitha R)",'Master Sheet'!H49,"")</f>
        <v/>
      </c>
      <c r="I48" t="str">
        <f>IF('Master Sheet'!C49="Area 4 (Anitha R)",'Master Sheet'!I49,"")</f>
        <v/>
      </c>
      <c r="J48" t="str">
        <f>IF('Master Sheet'!C49="Area 4 (Anitha R)",'Master Sheet'!J49,"")</f>
        <v/>
      </c>
      <c r="K48" t="str">
        <f>IF('Master Sheet'!C49="Area 4 (Anitha R)",'Master Sheet'!K49,"")</f>
        <v/>
      </c>
      <c r="L48" t="str">
        <f>IF('Master Sheet'!C49="Area 4 (Anitha R)",'Master Sheet'!L49,"")</f>
        <v/>
      </c>
      <c r="M48" t="str">
        <f>IF('Master Sheet'!C49="Area 4 (Anitha R)",'Master Sheet'!M49,"")</f>
        <v/>
      </c>
      <c r="N48" t="str">
        <f>IF('Master Sheet'!C49="Area 4 (Anitha R)",'Master Sheet'!N49,"")</f>
        <v/>
      </c>
      <c r="O48" t="str">
        <f>IF('Master Sheet'!C49="Area 4 (Anitha R)",'Master Sheet'!O49,"")</f>
        <v/>
      </c>
      <c r="P48" t="str">
        <f>IF('Master Sheet'!C49="Area 4 (Anitha R)",'Master Sheet'!P49,"")</f>
        <v/>
      </c>
    </row>
    <row r="49" spans="1:16" hidden="1" x14ac:dyDescent="0.25">
      <c r="A49" t="str">
        <f>IF('Master Sheet'!C50="Area 4 (Anitha R)",'Master Sheet'!A50,"")</f>
        <v/>
      </c>
      <c r="B49" t="str">
        <f>IF('Master Sheet'!C50="Area 4 (Anitha R)",'Master Sheet'!B50,"")</f>
        <v/>
      </c>
      <c r="C49" t="s">
        <v>7</v>
      </c>
      <c r="D49" t="str">
        <f>IF('Master Sheet'!C50="Area 4 (Anitha R)",'Master Sheet'!D50,"")</f>
        <v/>
      </c>
      <c r="E49" t="str">
        <f>IF('Master Sheet'!C50="Area 4 (Anitha R)",'Master Sheet'!E50,"")</f>
        <v/>
      </c>
      <c r="F49" t="str">
        <f>IF('Master Sheet'!C50="Area 4 (Anitha R)",'Master Sheet'!F50,"")</f>
        <v/>
      </c>
      <c r="G49" t="str">
        <f>IF('Master Sheet'!C50="Area 4 (Anitha R)",'Master Sheet'!G50,"")</f>
        <v/>
      </c>
      <c r="H49" t="str">
        <f>IF('Master Sheet'!C50="Area 4 (Anitha R)",'Master Sheet'!H50,"")</f>
        <v/>
      </c>
      <c r="I49" t="str">
        <f>IF('Master Sheet'!C50="Area 4 (Anitha R)",'Master Sheet'!I50,"")</f>
        <v/>
      </c>
      <c r="J49" t="str">
        <f>IF('Master Sheet'!C50="Area 4 (Anitha R)",'Master Sheet'!J50,"")</f>
        <v/>
      </c>
      <c r="K49" t="str">
        <f>IF('Master Sheet'!C50="Area 4 (Anitha R)",'Master Sheet'!K50,"")</f>
        <v/>
      </c>
      <c r="L49" t="str">
        <f>IF('Master Sheet'!C50="Area 4 (Anitha R)",'Master Sheet'!L50,"")</f>
        <v/>
      </c>
      <c r="M49" t="str">
        <f>IF('Master Sheet'!C50="Area 4 (Anitha R)",'Master Sheet'!M50,"")</f>
        <v/>
      </c>
      <c r="N49" t="str">
        <f>IF('Master Sheet'!C50="Area 4 (Anitha R)",'Master Sheet'!N50,"")</f>
        <v/>
      </c>
      <c r="O49" t="str">
        <f>IF('Master Sheet'!C50="Area 4 (Anitha R)",'Master Sheet'!O50,"")</f>
        <v/>
      </c>
      <c r="P49" t="str">
        <f>IF('Master Sheet'!C50="Area 4 (Anitha R)",'Master Sheet'!P50,"")</f>
        <v/>
      </c>
    </row>
    <row r="50" spans="1:16" hidden="1" x14ac:dyDescent="0.25">
      <c r="A50" t="str">
        <f>IF('Master Sheet'!C51="Area 4 (Anitha R)",'Master Sheet'!A51,"")</f>
        <v/>
      </c>
      <c r="B50" t="str">
        <f>IF('Master Sheet'!C51="Area 4 (Anitha R)",'Master Sheet'!B51,"")</f>
        <v/>
      </c>
      <c r="C50" t="s">
        <v>7</v>
      </c>
      <c r="D50" t="str">
        <f>IF('Master Sheet'!C51="Area 4 (Anitha R)",'Master Sheet'!D51,"")</f>
        <v/>
      </c>
      <c r="E50" t="str">
        <f>IF('Master Sheet'!C51="Area 4 (Anitha R)",'Master Sheet'!E51,"")</f>
        <v/>
      </c>
      <c r="F50" t="str">
        <f>IF('Master Sheet'!C51="Area 4 (Anitha R)",'Master Sheet'!F51,"")</f>
        <v/>
      </c>
      <c r="G50" t="str">
        <f>IF('Master Sheet'!C51="Area 4 (Anitha R)",'Master Sheet'!G51,"")</f>
        <v/>
      </c>
      <c r="H50" t="str">
        <f>IF('Master Sheet'!C51="Area 4 (Anitha R)",'Master Sheet'!H51,"")</f>
        <v/>
      </c>
      <c r="I50" t="str">
        <f>IF('Master Sheet'!C51="Area 4 (Anitha R)",'Master Sheet'!I51,"")</f>
        <v/>
      </c>
      <c r="J50" t="str">
        <f>IF('Master Sheet'!C51="Area 4 (Anitha R)",'Master Sheet'!J51,"")</f>
        <v/>
      </c>
      <c r="K50" t="str">
        <f>IF('Master Sheet'!C51="Area 4 (Anitha R)",'Master Sheet'!K51,"")</f>
        <v/>
      </c>
      <c r="L50" t="str">
        <f>IF('Master Sheet'!C51="Area 4 (Anitha R)",'Master Sheet'!L51,"")</f>
        <v/>
      </c>
      <c r="M50" t="str">
        <f>IF('Master Sheet'!C51="Area 4 (Anitha R)",'Master Sheet'!M51,"")</f>
        <v/>
      </c>
      <c r="N50" t="str">
        <f>IF('Master Sheet'!C51="Area 4 (Anitha R)",'Master Sheet'!N51,"")</f>
        <v/>
      </c>
      <c r="O50" t="str">
        <f>IF('Master Sheet'!C51="Area 4 (Anitha R)",'Master Sheet'!O51,"")</f>
        <v/>
      </c>
      <c r="P50" t="str">
        <f>IF('Master Sheet'!C51="Area 4 (Anitha R)",'Master Sheet'!P51,"")</f>
        <v/>
      </c>
    </row>
    <row r="51" spans="1:16" hidden="1" x14ac:dyDescent="0.25">
      <c r="A51" t="str">
        <f>IF('Master Sheet'!C52="Area 4 (Anitha R)",'Master Sheet'!A52,"")</f>
        <v/>
      </c>
      <c r="B51" t="str">
        <f>IF('Master Sheet'!C52="Area 4 (Anitha R)",'Master Sheet'!B52,"")</f>
        <v/>
      </c>
      <c r="C51" t="s">
        <v>7</v>
      </c>
      <c r="D51" t="str">
        <f>IF('Master Sheet'!C52="Area 4 (Anitha R)",'Master Sheet'!D52,"")</f>
        <v/>
      </c>
      <c r="E51" t="str">
        <f>IF('Master Sheet'!C52="Area 4 (Anitha R)",'Master Sheet'!E52,"")</f>
        <v/>
      </c>
      <c r="F51" t="str">
        <f>IF('Master Sheet'!C52="Area 4 (Anitha R)",'Master Sheet'!F52,"")</f>
        <v/>
      </c>
      <c r="G51" t="str">
        <f>IF('Master Sheet'!C52="Area 4 (Anitha R)",'Master Sheet'!G52,"")</f>
        <v/>
      </c>
      <c r="H51" t="str">
        <f>IF('Master Sheet'!C52="Area 4 (Anitha R)",'Master Sheet'!H52,"")</f>
        <v/>
      </c>
      <c r="I51" t="str">
        <f>IF('Master Sheet'!C52="Area 4 (Anitha R)",'Master Sheet'!I52,"")</f>
        <v/>
      </c>
      <c r="J51" t="str">
        <f>IF('Master Sheet'!C52="Area 4 (Anitha R)",'Master Sheet'!J52,"")</f>
        <v/>
      </c>
      <c r="K51" t="str">
        <f>IF('Master Sheet'!C52="Area 4 (Anitha R)",'Master Sheet'!K52,"")</f>
        <v/>
      </c>
      <c r="L51" t="str">
        <f>IF('Master Sheet'!C52="Area 4 (Anitha R)",'Master Sheet'!L52,"")</f>
        <v/>
      </c>
      <c r="M51" t="str">
        <f>IF('Master Sheet'!C52="Area 4 (Anitha R)",'Master Sheet'!M52,"")</f>
        <v/>
      </c>
      <c r="N51" t="str">
        <f>IF('Master Sheet'!C52="Area 4 (Anitha R)",'Master Sheet'!N52,"")</f>
        <v/>
      </c>
      <c r="O51" t="str">
        <f>IF('Master Sheet'!C52="Area 4 (Anitha R)",'Master Sheet'!O52,"")</f>
        <v/>
      </c>
      <c r="P51" t="str">
        <f>IF('Master Sheet'!C52="Area 4 (Anitha R)",'Master Sheet'!P52,"")</f>
        <v/>
      </c>
    </row>
    <row r="52" spans="1:16" hidden="1" x14ac:dyDescent="0.25">
      <c r="A52" t="str">
        <f>IF('Master Sheet'!C53="Area 4 (Anitha R)",'Master Sheet'!A53,"")</f>
        <v/>
      </c>
      <c r="B52" t="str">
        <f>IF('Master Sheet'!C53="Area 4 (Anitha R)",'Master Sheet'!B53,"")</f>
        <v/>
      </c>
      <c r="C52" t="s">
        <v>7</v>
      </c>
      <c r="D52" t="str">
        <f>IF('Master Sheet'!C53="Area 4 (Anitha R)",'Master Sheet'!D53,"")</f>
        <v/>
      </c>
      <c r="E52" t="str">
        <f>IF('Master Sheet'!C53="Area 4 (Anitha R)",'Master Sheet'!E53,"")</f>
        <v/>
      </c>
      <c r="F52" t="str">
        <f>IF('Master Sheet'!C53="Area 4 (Anitha R)",'Master Sheet'!F53,"")</f>
        <v/>
      </c>
      <c r="G52" t="str">
        <f>IF('Master Sheet'!C53="Area 4 (Anitha R)",'Master Sheet'!G53,"")</f>
        <v/>
      </c>
      <c r="H52" t="str">
        <f>IF('Master Sheet'!C53="Area 4 (Anitha R)",'Master Sheet'!H53,"")</f>
        <v/>
      </c>
      <c r="I52" t="str">
        <f>IF('Master Sheet'!C53="Area 4 (Anitha R)",'Master Sheet'!I53,"")</f>
        <v/>
      </c>
      <c r="J52" t="str">
        <f>IF('Master Sheet'!C53="Area 4 (Anitha R)",'Master Sheet'!J53,"")</f>
        <v/>
      </c>
      <c r="K52" t="str">
        <f>IF('Master Sheet'!C53="Area 4 (Anitha R)",'Master Sheet'!K53,"")</f>
        <v/>
      </c>
      <c r="L52" t="str">
        <f>IF('Master Sheet'!C53="Area 4 (Anitha R)",'Master Sheet'!L53,"")</f>
        <v/>
      </c>
      <c r="M52" t="str">
        <f>IF('Master Sheet'!C53="Area 4 (Anitha R)",'Master Sheet'!M53,"")</f>
        <v/>
      </c>
      <c r="N52" t="str">
        <f>IF('Master Sheet'!C53="Area 4 (Anitha R)",'Master Sheet'!N53,"")</f>
        <v/>
      </c>
      <c r="O52" t="str">
        <f>IF('Master Sheet'!C53="Area 4 (Anitha R)",'Master Sheet'!O53,"")</f>
        <v/>
      </c>
      <c r="P52" t="str">
        <f>IF('Master Sheet'!C53="Area 4 (Anitha R)",'Master Sheet'!P53,"")</f>
        <v/>
      </c>
    </row>
    <row r="53" spans="1:16" hidden="1" x14ac:dyDescent="0.25">
      <c r="A53" t="str">
        <f>IF('Master Sheet'!C54="Area 4 (Anitha R)",'Master Sheet'!A54,"")</f>
        <v/>
      </c>
      <c r="B53" t="str">
        <f>IF('Master Sheet'!C54="Area 4 (Anitha R)",'Master Sheet'!B54,"")</f>
        <v/>
      </c>
      <c r="C53" t="s">
        <v>7</v>
      </c>
      <c r="D53" t="str">
        <f>IF('Master Sheet'!C54="Area 4 (Anitha R)",'Master Sheet'!D54,"")</f>
        <v/>
      </c>
      <c r="E53" t="str">
        <f>IF('Master Sheet'!C54="Area 4 (Anitha R)",'Master Sheet'!E54,"")</f>
        <v/>
      </c>
      <c r="F53" t="str">
        <f>IF('Master Sheet'!C54="Area 4 (Anitha R)",'Master Sheet'!F54,"")</f>
        <v/>
      </c>
      <c r="G53" t="str">
        <f>IF('Master Sheet'!C54="Area 4 (Anitha R)",'Master Sheet'!G54,"")</f>
        <v/>
      </c>
      <c r="H53" t="str">
        <f>IF('Master Sheet'!C54="Area 4 (Anitha R)",'Master Sheet'!H54,"")</f>
        <v/>
      </c>
      <c r="I53" t="str">
        <f>IF('Master Sheet'!C54="Area 4 (Anitha R)",'Master Sheet'!I54,"")</f>
        <v/>
      </c>
      <c r="J53" t="str">
        <f>IF('Master Sheet'!C54="Area 4 (Anitha R)",'Master Sheet'!J54,"")</f>
        <v/>
      </c>
      <c r="K53" t="str">
        <f>IF('Master Sheet'!C54="Area 4 (Anitha R)",'Master Sheet'!K54,"")</f>
        <v/>
      </c>
      <c r="L53" t="str">
        <f>IF('Master Sheet'!C54="Area 4 (Anitha R)",'Master Sheet'!L54,"")</f>
        <v/>
      </c>
      <c r="M53" t="str">
        <f>IF('Master Sheet'!C54="Area 4 (Anitha R)",'Master Sheet'!M54,"")</f>
        <v/>
      </c>
      <c r="N53" t="str">
        <f>IF('Master Sheet'!C54="Area 4 (Anitha R)",'Master Sheet'!N54,"")</f>
        <v/>
      </c>
      <c r="O53" t="str">
        <f>IF('Master Sheet'!C54="Area 4 (Anitha R)",'Master Sheet'!O54,"")</f>
        <v/>
      </c>
      <c r="P53" t="str">
        <f>IF('Master Sheet'!C54="Area 4 (Anitha R)",'Master Sheet'!P54,"")</f>
        <v/>
      </c>
    </row>
    <row r="54" spans="1:16" hidden="1" x14ac:dyDescent="0.25">
      <c r="A54" t="str">
        <f>IF('Master Sheet'!C55="Area 4 (Anitha R)",'Master Sheet'!A55,"")</f>
        <v/>
      </c>
      <c r="B54" t="str">
        <f>IF('Master Sheet'!C55="Area 4 (Anitha R)",'Master Sheet'!B55,"")</f>
        <v/>
      </c>
      <c r="C54" t="s">
        <v>7</v>
      </c>
      <c r="D54" t="str">
        <f>IF('Master Sheet'!C55="Area 4 (Anitha R)",'Master Sheet'!D55,"")</f>
        <v/>
      </c>
      <c r="E54" t="str">
        <f>IF('Master Sheet'!C55="Area 4 (Anitha R)",'Master Sheet'!E55,"")</f>
        <v/>
      </c>
      <c r="F54" t="str">
        <f>IF('Master Sheet'!C55="Area 4 (Anitha R)",'Master Sheet'!F55,"")</f>
        <v/>
      </c>
      <c r="G54" t="str">
        <f>IF('Master Sheet'!C55="Area 4 (Anitha R)",'Master Sheet'!G55,"")</f>
        <v/>
      </c>
      <c r="H54" t="str">
        <f>IF('Master Sheet'!C55="Area 4 (Anitha R)",'Master Sheet'!H55,"")</f>
        <v/>
      </c>
      <c r="I54" t="str">
        <f>IF('Master Sheet'!C55="Area 4 (Anitha R)",'Master Sheet'!I55,"")</f>
        <v/>
      </c>
      <c r="J54" t="str">
        <f>IF('Master Sheet'!C55="Area 4 (Anitha R)",'Master Sheet'!J55,"")</f>
        <v/>
      </c>
      <c r="K54" t="str">
        <f>IF('Master Sheet'!C55="Area 4 (Anitha R)",'Master Sheet'!K55,"")</f>
        <v/>
      </c>
      <c r="L54" t="str">
        <f>IF('Master Sheet'!C55="Area 4 (Anitha R)",'Master Sheet'!L55,"")</f>
        <v/>
      </c>
      <c r="M54" t="str">
        <f>IF('Master Sheet'!C55="Area 4 (Anitha R)",'Master Sheet'!M55,"")</f>
        <v/>
      </c>
      <c r="N54" t="str">
        <f>IF('Master Sheet'!C55="Area 4 (Anitha R)",'Master Sheet'!N55,"")</f>
        <v/>
      </c>
      <c r="O54" t="str">
        <f>IF('Master Sheet'!C55="Area 4 (Anitha R)",'Master Sheet'!O55,"")</f>
        <v/>
      </c>
      <c r="P54" t="str">
        <f>IF('Master Sheet'!C55="Area 4 (Anitha R)",'Master Sheet'!P55,"")</f>
        <v/>
      </c>
    </row>
    <row r="55" spans="1:16" hidden="1" x14ac:dyDescent="0.25">
      <c r="A55" t="str">
        <f>IF('Master Sheet'!C56="Area 4 (Anitha R)",'Master Sheet'!A56,"")</f>
        <v/>
      </c>
      <c r="B55" t="str">
        <f>IF('Master Sheet'!C56="Area 4 (Anitha R)",'Master Sheet'!B56,"")</f>
        <v/>
      </c>
      <c r="C55" t="s">
        <v>7</v>
      </c>
      <c r="D55" t="str">
        <f>IF('Master Sheet'!C56="Area 4 (Anitha R)",'Master Sheet'!D56,"")</f>
        <v/>
      </c>
      <c r="E55" t="str">
        <f>IF('Master Sheet'!C56="Area 4 (Anitha R)",'Master Sheet'!E56,"")</f>
        <v/>
      </c>
      <c r="F55" t="str">
        <f>IF('Master Sheet'!C56="Area 4 (Anitha R)",'Master Sheet'!F56,"")</f>
        <v/>
      </c>
      <c r="G55" t="str">
        <f>IF('Master Sheet'!C56="Area 4 (Anitha R)",'Master Sheet'!G56,"")</f>
        <v/>
      </c>
      <c r="H55" t="str">
        <f>IF('Master Sheet'!C56="Area 4 (Anitha R)",'Master Sheet'!H56,"")</f>
        <v/>
      </c>
      <c r="I55" t="str">
        <f>IF('Master Sheet'!C56="Area 4 (Anitha R)",'Master Sheet'!I56,"")</f>
        <v/>
      </c>
      <c r="J55" t="str">
        <f>IF('Master Sheet'!C56="Area 4 (Anitha R)",'Master Sheet'!J56,"")</f>
        <v/>
      </c>
      <c r="K55" t="str">
        <f>IF('Master Sheet'!C56="Area 4 (Anitha R)",'Master Sheet'!K56,"")</f>
        <v/>
      </c>
      <c r="L55" t="str">
        <f>IF('Master Sheet'!C56="Area 4 (Anitha R)",'Master Sheet'!L56,"")</f>
        <v/>
      </c>
      <c r="M55" t="str">
        <f>IF('Master Sheet'!C56="Area 4 (Anitha R)",'Master Sheet'!M56,"")</f>
        <v/>
      </c>
      <c r="N55" t="str">
        <f>IF('Master Sheet'!C56="Area 4 (Anitha R)",'Master Sheet'!N56,"")</f>
        <v/>
      </c>
      <c r="O55" t="str">
        <f>IF('Master Sheet'!C56="Area 4 (Anitha R)",'Master Sheet'!O56,"")</f>
        <v/>
      </c>
      <c r="P55" t="str">
        <f>IF('Master Sheet'!C56="Area 4 (Anitha R)",'Master Sheet'!P56,"")</f>
        <v/>
      </c>
    </row>
    <row r="56" spans="1:16" hidden="1" x14ac:dyDescent="0.25">
      <c r="A56" t="str">
        <f>IF('Master Sheet'!C57="Area 4 (Anitha R)",'Master Sheet'!A57,"")</f>
        <v/>
      </c>
      <c r="B56" t="str">
        <f>IF('Master Sheet'!C57="Area 4 (Anitha R)",'Master Sheet'!B57,"")</f>
        <v/>
      </c>
      <c r="C56" t="s">
        <v>7</v>
      </c>
      <c r="D56" t="str">
        <f>IF('Master Sheet'!C57="Area 4 (Anitha R)",'Master Sheet'!D57,"")</f>
        <v/>
      </c>
      <c r="E56" t="str">
        <f>IF('Master Sheet'!C57="Area 4 (Anitha R)",'Master Sheet'!E57,"")</f>
        <v/>
      </c>
      <c r="F56" t="str">
        <f>IF('Master Sheet'!C57="Area 4 (Anitha R)",'Master Sheet'!F57,"")</f>
        <v/>
      </c>
      <c r="G56" t="str">
        <f>IF('Master Sheet'!C57="Area 4 (Anitha R)",'Master Sheet'!G57,"")</f>
        <v/>
      </c>
      <c r="H56" t="str">
        <f>IF('Master Sheet'!C57="Area 4 (Anitha R)",'Master Sheet'!H57,"")</f>
        <v/>
      </c>
      <c r="I56" t="str">
        <f>IF('Master Sheet'!C57="Area 4 (Anitha R)",'Master Sheet'!I57,"")</f>
        <v/>
      </c>
      <c r="J56" t="str">
        <f>IF('Master Sheet'!C57="Area 4 (Anitha R)",'Master Sheet'!J57,"")</f>
        <v/>
      </c>
      <c r="K56" t="str">
        <f>IF('Master Sheet'!C57="Area 4 (Anitha R)",'Master Sheet'!K57,"")</f>
        <v/>
      </c>
      <c r="L56" t="str">
        <f>IF('Master Sheet'!C57="Area 4 (Anitha R)",'Master Sheet'!L57,"")</f>
        <v/>
      </c>
      <c r="M56" t="str">
        <f>IF('Master Sheet'!C57="Area 4 (Anitha R)",'Master Sheet'!M57,"")</f>
        <v/>
      </c>
      <c r="N56" t="str">
        <f>IF('Master Sheet'!C57="Area 4 (Anitha R)",'Master Sheet'!N57,"")</f>
        <v/>
      </c>
      <c r="O56" t="str">
        <f>IF('Master Sheet'!C57="Area 4 (Anitha R)",'Master Sheet'!O57,"")</f>
        <v/>
      </c>
      <c r="P56" t="str">
        <f>IF('Master Sheet'!C57="Area 4 (Anitha R)",'Master Sheet'!P57,"")</f>
        <v/>
      </c>
    </row>
    <row r="57" spans="1:16" hidden="1" x14ac:dyDescent="0.25">
      <c r="A57" t="str">
        <f>IF('Master Sheet'!C58="Area 4 (Anitha R)",'Master Sheet'!A58,"")</f>
        <v/>
      </c>
      <c r="B57" t="str">
        <f>IF('Master Sheet'!C58="Area 4 (Anitha R)",'Master Sheet'!B58,"")</f>
        <v/>
      </c>
      <c r="C57" t="s">
        <v>7</v>
      </c>
      <c r="D57" t="str">
        <f>IF('Master Sheet'!C58="Area 4 (Anitha R)",'Master Sheet'!D58,"")</f>
        <v/>
      </c>
      <c r="E57" t="str">
        <f>IF('Master Sheet'!C58="Area 4 (Anitha R)",'Master Sheet'!E58,"")</f>
        <v/>
      </c>
      <c r="F57" t="str">
        <f>IF('Master Sheet'!C58="Area 4 (Anitha R)",'Master Sheet'!F58,"")</f>
        <v/>
      </c>
      <c r="G57" t="str">
        <f>IF('Master Sheet'!C58="Area 4 (Anitha R)",'Master Sheet'!G58,"")</f>
        <v/>
      </c>
      <c r="H57" t="str">
        <f>IF('Master Sheet'!C58="Area 4 (Anitha R)",'Master Sheet'!H58,"")</f>
        <v/>
      </c>
      <c r="I57" t="str">
        <f>IF('Master Sheet'!C58="Area 4 (Anitha R)",'Master Sheet'!I58,"")</f>
        <v/>
      </c>
      <c r="J57" t="str">
        <f>IF('Master Sheet'!C58="Area 4 (Anitha R)",'Master Sheet'!J58,"")</f>
        <v/>
      </c>
      <c r="K57" t="str">
        <f>IF('Master Sheet'!C58="Area 4 (Anitha R)",'Master Sheet'!K58,"")</f>
        <v/>
      </c>
      <c r="L57" t="str">
        <f>IF('Master Sheet'!C58="Area 4 (Anitha R)",'Master Sheet'!L58,"")</f>
        <v/>
      </c>
      <c r="M57" t="str">
        <f>IF('Master Sheet'!C58="Area 4 (Anitha R)",'Master Sheet'!M58,"")</f>
        <v/>
      </c>
      <c r="N57" t="str">
        <f>IF('Master Sheet'!C58="Area 4 (Anitha R)",'Master Sheet'!N58,"")</f>
        <v/>
      </c>
      <c r="O57" t="str">
        <f>IF('Master Sheet'!C58="Area 4 (Anitha R)",'Master Sheet'!O58,"")</f>
        <v/>
      </c>
      <c r="P57" t="str">
        <f>IF('Master Sheet'!C58="Area 4 (Anitha R)",'Master Sheet'!P58,"")</f>
        <v/>
      </c>
    </row>
    <row r="58" spans="1:16" hidden="1" x14ac:dyDescent="0.25">
      <c r="A58" t="str">
        <f>IF('Master Sheet'!C59="Area 4 (Anitha R)",'Master Sheet'!A59,"")</f>
        <v/>
      </c>
      <c r="B58" t="str">
        <f>IF('Master Sheet'!C59="Area 4 (Anitha R)",'Master Sheet'!B59,"")</f>
        <v/>
      </c>
      <c r="C58" t="s">
        <v>7</v>
      </c>
      <c r="D58" t="str">
        <f>IF('Master Sheet'!C59="Area 4 (Anitha R)",'Master Sheet'!D59,"")</f>
        <v/>
      </c>
      <c r="E58" t="str">
        <f>IF('Master Sheet'!C59="Area 4 (Anitha R)",'Master Sheet'!E59,"")</f>
        <v/>
      </c>
      <c r="F58" t="str">
        <f>IF('Master Sheet'!C59="Area 4 (Anitha R)",'Master Sheet'!F59,"")</f>
        <v/>
      </c>
      <c r="G58" t="str">
        <f>IF('Master Sheet'!C59="Area 4 (Anitha R)",'Master Sheet'!G59,"")</f>
        <v/>
      </c>
      <c r="H58" t="str">
        <f>IF('Master Sheet'!C59="Area 4 (Anitha R)",'Master Sheet'!H59,"")</f>
        <v/>
      </c>
      <c r="I58" t="str">
        <f>IF('Master Sheet'!C59="Area 4 (Anitha R)",'Master Sheet'!I59,"")</f>
        <v/>
      </c>
      <c r="J58" t="str">
        <f>IF('Master Sheet'!C59="Area 4 (Anitha R)",'Master Sheet'!J59,"")</f>
        <v/>
      </c>
      <c r="K58" t="str">
        <f>IF('Master Sheet'!C59="Area 4 (Anitha R)",'Master Sheet'!K59,"")</f>
        <v/>
      </c>
      <c r="L58" t="str">
        <f>IF('Master Sheet'!C59="Area 4 (Anitha R)",'Master Sheet'!L59,"")</f>
        <v/>
      </c>
      <c r="M58" t="str">
        <f>IF('Master Sheet'!C59="Area 4 (Anitha R)",'Master Sheet'!M59,"")</f>
        <v/>
      </c>
      <c r="N58" t="str">
        <f>IF('Master Sheet'!C59="Area 4 (Anitha R)",'Master Sheet'!N59,"")</f>
        <v/>
      </c>
      <c r="O58" t="str">
        <f>IF('Master Sheet'!C59="Area 4 (Anitha R)",'Master Sheet'!O59,"")</f>
        <v/>
      </c>
      <c r="P58" t="str">
        <f>IF('Master Sheet'!C59="Area 4 (Anitha R)",'Master Sheet'!P59,"")</f>
        <v/>
      </c>
    </row>
    <row r="59" spans="1:16" hidden="1" x14ac:dyDescent="0.25">
      <c r="A59" t="str">
        <f>IF('Master Sheet'!C60="Area 4 (Anitha R)",'Master Sheet'!A60,"")</f>
        <v/>
      </c>
      <c r="B59" t="str">
        <f>IF('Master Sheet'!C60="Area 4 (Anitha R)",'Master Sheet'!B60,"")</f>
        <v/>
      </c>
      <c r="C59" t="s">
        <v>7</v>
      </c>
      <c r="D59" t="str">
        <f>IF('Master Sheet'!C60="Area 4 (Anitha R)",'Master Sheet'!D60,"")</f>
        <v/>
      </c>
      <c r="E59" t="str">
        <f>IF('Master Sheet'!C60="Area 4 (Anitha R)",'Master Sheet'!E60,"")</f>
        <v/>
      </c>
      <c r="F59" t="str">
        <f>IF('Master Sheet'!C60="Area 4 (Anitha R)",'Master Sheet'!F60,"")</f>
        <v/>
      </c>
      <c r="G59" t="str">
        <f>IF('Master Sheet'!C60="Area 4 (Anitha R)",'Master Sheet'!G60,"")</f>
        <v/>
      </c>
      <c r="H59" t="str">
        <f>IF('Master Sheet'!C60="Area 4 (Anitha R)",'Master Sheet'!H60,"")</f>
        <v/>
      </c>
      <c r="I59" t="str">
        <f>IF('Master Sheet'!C60="Area 4 (Anitha R)",'Master Sheet'!I60,"")</f>
        <v/>
      </c>
      <c r="J59" t="str">
        <f>IF('Master Sheet'!C60="Area 4 (Anitha R)",'Master Sheet'!J60,"")</f>
        <v/>
      </c>
      <c r="K59" t="str">
        <f>IF('Master Sheet'!C60="Area 4 (Anitha R)",'Master Sheet'!K60,"")</f>
        <v/>
      </c>
      <c r="L59" t="str">
        <f>IF('Master Sheet'!C60="Area 4 (Anitha R)",'Master Sheet'!L60,"")</f>
        <v/>
      </c>
      <c r="M59" t="str">
        <f>IF('Master Sheet'!C60="Area 4 (Anitha R)",'Master Sheet'!M60,"")</f>
        <v/>
      </c>
      <c r="N59" t="str">
        <f>IF('Master Sheet'!C60="Area 4 (Anitha R)",'Master Sheet'!N60,"")</f>
        <v/>
      </c>
      <c r="O59" t="str">
        <f>IF('Master Sheet'!C60="Area 4 (Anitha R)",'Master Sheet'!O60,"")</f>
        <v/>
      </c>
      <c r="P59" t="str">
        <f>IF('Master Sheet'!C60="Area 4 (Anitha R)",'Master Sheet'!P60,"")</f>
        <v/>
      </c>
    </row>
    <row r="60" spans="1:16" hidden="1" x14ac:dyDescent="0.25">
      <c r="A60" t="str">
        <f>IF('Master Sheet'!C61="Area 4 (Anitha R)",'Master Sheet'!A61,"")</f>
        <v/>
      </c>
      <c r="B60" t="str">
        <f>IF('Master Sheet'!C61="Area 4 (Anitha R)",'Master Sheet'!B61,"")</f>
        <v/>
      </c>
      <c r="C60" t="s">
        <v>7</v>
      </c>
      <c r="D60" t="str">
        <f>IF('Master Sheet'!C61="Area 4 (Anitha R)",'Master Sheet'!D61,"")</f>
        <v/>
      </c>
      <c r="E60" t="str">
        <f>IF('Master Sheet'!C61="Area 4 (Anitha R)",'Master Sheet'!E61,"")</f>
        <v/>
      </c>
      <c r="F60" t="str">
        <f>IF('Master Sheet'!C61="Area 4 (Anitha R)",'Master Sheet'!F61,"")</f>
        <v/>
      </c>
      <c r="G60" t="str">
        <f>IF('Master Sheet'!C61="Area 4 (Anitha R)",'Master Sheet'!G61,"")</f>
        <v/>
      </c>
      <c r="H60" t="str">
        <f>IF('Master Sheet'!C61="Area 4 (Anitha R)",'Master Sheet'!H61,"")</f>
        <v/>
      </c>
      <c r="I60" t="str">
        <f>IF('Master Sheet'!C61="Area 4 (Anitha R)",'Master Sheet'!I61,"")</f>
        <v/>
      </c>
      <c r="J60" t="str">
        <f>IF('Master Sheet'!C61="Area 4 (Anitha R)",'Master Sheet'!J61,"")</f>
        <v/>
      </c>
      <c r="K60" t="str">
        <f>IF('Master Sheet'!C61="Area 4 (Anitha R)",'Master Sheet'!K61,"")</f>
        <v/>
      </c>
      <c r="L60" t="str">
        <f>IF('Master Sheet'!C61="Area 4 (Anitha R)",'Master Sheet'!L61,"")</f>
        <v/>
      </c>
      <c r="M60" t="str">
        <f>IF('Master Sheet'!C61="Area 4 (Anitha R)",'Master Sheet'!M61,"")</f>
        <v/>
      </c>
      <c r="N60" t="str">
        <f>IF('Master Sheet'!C61="Area 4 (Anitha R)",'Master Sheet'!N61,"")</f>
        <v/>
      </c>
      <c r="O60" t="str">
        <f>IF('Master Sheet'!C61="Area 4 (Anitha R)",'Master Sheet'!O61,"")</f>
        <v/>
      </c>
      <c r="P60" t="str">
        <f>IF('Master Sheet'!C61="Area 4 (Anitha R)",'Master Sheet'!P61,"")</f>
        <v/>
      </c>
    </row>
    <row r="61" spans="1:16" hidden="1" x14ac:dyDescent="0.25">
      <c r="A61" t="str">
        <f>IF('Master Sheet'!C62="Area 4 (Anitha R)",'Master Sheet'!A62,"")</f>
        <v/>
      </c>
      <c r="B61" t="str">
        <f>IF('Master Sheet'!C62="Area 4 (Anitha R)",'Master Sheet'!B62,"")</f>
        <v/>
      </c>
      <c r="C61" t="s">
        <v>7</v>
      </c>
      <c r="D61" t="str">
        <f>IF('Master Sheet'!C62="Area 4 (Anitha R)",'Master Sheet'!D62,"")</f>
        <v/>
      </c>
      <c r="E61" t="str">
        <f>IF('Master Sheet'!C62="Area 4 (Anitha R)",'Master Sheet'!E62,"")</f>
        <v/>
      </c>
      <c r="F61" t="str">
        <f>IF('Master Sheet'!C62="Area 4 (Anitha R)",'Master Sheet'!F62,"")</f>
        <v/>
      </c>
      <c r="G61" t="str">
        <f>IF('Master Sheet'!C62="Area 4 (Anitha R)",'Master Sheet'!G62,"")</f>
        <v/>
      </c>
      <c r="H61" t="str">
        <f>IF('Master Sheet'!C62="Area 4 (Anitha R)",'Master Sheet'!H62,"")</f>
        <v/>
      </c>
      <c r="I61" t="str">
        <f>IF('Master Sheet'!C62="Area 4 (Anitha R)",'Master Sheet'!I62,"")</f>
        <v/>
      </c>
      <c r="J61" t="str">
        <f>IF('Master Sheet'!C62="Area 4 (Anitha R)",'Master Sheet'!J62,"")</f>
        <v/>
      </c>
      <c r="K61" t="str">
        <f>IF('Master Sheet'!C62="Area 4 (Anitha R)",'Master Sheet'!K62,"")</f>
        <v/>
      </c>
      <c r="L61" t="str">
        <f>IF('Master Sheet'!C62="Area 4 (Anitha R)",'Master Sheet'!L62,"")</f>
        <v/>
      </c>
      <c r="M61" t="str">
        <f>IF('Master Sheet'!C62="Area 4 (Anitha R)",'Master Sheet'!M62,"")</f>
        <v/>
      </c>
      <c r="N61" t="str">
        <f>IF('Master Sheet'!C62="Area 4 (Anitha R)",'Master Sheet'!N62,"")</f>
        <v/>
      </c>
      <c r="O61" t="str">
        <f>IF('Master Sheet'!C62="Area 4 (Anitha R)",'Master Sheet'!O62,"")</f>
        <v/>
      </c>
      <c r="P61" t="str">
        <f>IF('Master Sheet'!C62="Area 4 (Anitha R)",'Master Sheet'!P62,"")</f>
        <v/>
      </c>
    </row>
    <row r="62" spans="1:16" hidden="1" x14ac:dyDescent="0.25">
      <c r="A62" t="str">
        <f>IF('Master Sheet'!C63="Area 4 (Anitha R)",'Master Sheet'!A63,"")</f>
        <v/>
      </c>
      <c r="B62" t="str">
        <f>IF('Master Sheet'!C63="Area 4 (Anitha R)",'Master Sheet'!B63,"")</f>
        <v/>
      </c>
      <c r="C62" t="s">
        <v>7</v>
      </c>
      <c r="D62" t="str">
        <f>IF('Master Sheet'!C63="Area 4 (Anitha R)",'Master Sheet'!D63,"")</f>
        <v/>
      </c>
      <c r="E62" t="str">
        <f>IF('Master Sheet'!C63="Area 4 (Anitha R)",'Master Sheet'!E63,"")</f>
        <v/>
      </c>
      <c r="F62" t="str">
        <f>IF('Master Sheet'!C63="Area 4 (Anitha R)",'Master Sheet'!F63,"")</f>
        <v/>
      </c>
      <c r="G62" t="str">
        <f>IF('Master Sheet'!C63="Area 4 (Anitha R)",'Master Sheet'!G63,"")</f>
        <v/>
      </c>
      <c r="H62" t="str">
        <f>IF('Master Sheet'!C63="Area 4 (Anitha R)",'Master Sheet'!H63,"")</f>
        <v/>
      </c>
      <c r="I62" t="str">
        <f>IF('Master Sheet'!C63="Area 4 (Anitha R)",'Master Sheet'!I63,"")</f>
        <v/>
      </c>
      <c r="J62" t="str">
        <f>IF('Master Sheet'!C63="Area 4 (Anitha R)",'Master Sheet'!J63,"")</f>
        <v/>
      </c>
      <c r="K62" t="str">
        <f>IF('Master Sheet'!C63="Area 4 (Anitha R)",'Master Sheet'!K63,"")</f>
        <v/>
      </c>
      <c r="L62" t="str">
        <f>IF('Master Sheet'!C63="Area 4 (Anitha R)",'Master Sheet'!L63,"")</f>
        <v/>
      </c>
      <c r="M62" t="str">
        <f>IF('Master Sheet'!C63="Area 4 (Anitha R)",'Master Sheet'!M63,"")</f>
        <v/>
      </c>
      <c r="N62" t="str">
        <f>IF('Master Sheet'!C63="Area 4 (Anitha R)",'Master Sheet'!N63,"")</f>
        <v/>
      </c>
      <c r="O62" t="str">
        <f>IF('Master Sheet'!C63="Area 4 (Anitha R)",'Master Sheet'!O63,"")</f>
        <v/>
      </c>
      <c r="P62" t="str">
        <f>IF('Master Sheet'!C63="Area 4 (Anitha R)",'Master Sheet'!P63,"")</f>
        <v/>
      </c>
    </row>
    <row r="63" spans="1:16" hidden="1" x14ac:dyDescent="0.25">
      <c r="A63" t="str">
        <f>IF('Master Sheet'!C64="Area 4 (Anitha R)",'Master Sheet'!A64,"")</f>
        <v/>
      </c>
      <c r="B63" t="str">
        <f>IF('Master Sheet'!C64="Area 4 (Anitha R)",'Master Sheet'!B64,"")</f>
        <v/>
      </c>
      <c r="C63" t="s">
        <v>7</v>
      </c>
      <c r="D63" t="str">
        <f>IF('Master Sheet'!C64="Area 4 (Anitha R)",'Master Sheet'!D64,"")</f>
        <v/>
      </c>
      <c r="E63" t="str">
        <f>IF('Master Sheet'!C64="Area 4 (Anitha R)",'Master Sheet'!E64,"")</f>
        <v/>
      </c>
      <c r="F63" t="str">
        <f>IF('Master Sheet'!C64="Area 4 (Anitha R)",'Master Sheet'!F64,"")</f>
        <v/>
      </c>
      <c r="G63" t="str">
        <f>IF('Master Sheet'!C64="Area 4 (Anitha R)",'Master Sheet'!G64,"")</f>
        <v/>
      </c>
      <c r="H63" t="str">
        <f>IF('Master Sheet'!C64="Area 4 (Anitha R)",'Master Sheet'!H64,"")</f>
        <v/>
      </c>
      <c r="I63" t="str">
        <f>IF('Master Sheet'!C64="Area 4 (Anitha R)",'Master Sheet'!I64,"")</f>
        <v/>
      </c>
      <c r="J63" t="str">
        <f>IF('Master Sheet'!C64="Area 4 (Anitha R)",'Master Sheet'!J64,"")</f>
        <v/>
      </c>
      <c r="K63" t="str">
        <f>IF('Master Sheet'!C64="Area 4 (Anitha R)",'Master Sheet'!K64,"")</f>
        <v/>
      </c>
      <c r="L63" t="str">
        <f>IF('Master Sheet'!C64="Area 4 (Anitha R)",'Master Sheet'!L64,"")</f>
        <v/>
      </c>
      <c r="M63" t="str">
        <f>IF('Master Sheet'!C64="Area 4 (Anitha R)",'Master Sheet'!M64,"")</f>
        <v/>
      </c>
      <c r="N63" t="str">
        <f>IF('Master Sheet'!C64="Area 4 (Anitha R)",'Master Sheet'!N64,"")</f>
        <v/>
      </c>
      <c r="O63" t="str">
        <f>IF('Master Sheet'!C64="Area 4 (Anitha R)",'Master Sheet'!O64,"")</f>
        <v/>
      </c>
      <c r="P63" t="str">
        <f>IF('Master Sheet'!C64="Area 4 (Anitha R)",'Master Sheet'!P64,"")</f>
        <v/>
      </c>
    </row>
    <row r="64" spans="1:16" hidden="1" x14ac:dyDescent="0.25">
      <c r="A64" t="str">
        <f>IF('Master Sheet'!C65="Area 4 (Anitha R)",'Master Sheet'!A65,"")</f>
        <v/>
      </c>
      <c r="B64" t="str">
        <f>IF('Master Sheet'!C65="Area 4 (Anitha R)",'Master Sheet'!B65,"")</f>
        <v/>
      </c>
      <c r="C64" t="s">
        <v>7</v>
      </c>
      <c r="D64" t="str">
        <f>IF('Master Sheet'!C65="Area 4 (Anitha R)",'Master Sheet'!D65,"")</f>
        <v/>
      </c>
      <c r="E64" t="str">
        <f>IF('Master Sheet'!C65="Area 4 (Anitha R)",'Master Sheet'!E65,"")</f>
        <v/>
      </c>
      <c r="F64" t="str">
        <f>IF('Master Sheet'!C65="Area 4 (Anitha R)",'Master Sheet'!F65,"")</f>
        <v/>
      </c>
      <c r="G64" t="str">
        <f>IF('Master Sheet'!C65="Area 4 (Anitha R)",'Master Sheet'!G65,"")</f>
        <v/>
      </c>
      <c r="H64" t="str">
        <f>IF('Master Sheet'!C65="Area 4 (Anitha R)",'Master Sheet'!H65,"")</f>
        <v/>
      </c>
      <c r="I64" t="str">
        <f>IF('Master Sheet'!C65="Area 4 (Anitha R)",'Master Sheet'!I65,"")</f>
        <v/>
      </c>
      <c r="J64" t="str">
        <f>IF('Master Sheet'!C65="Area 4 (Anitha R)",'Master Sheet'!J65,"")</f>
        <v/>
      </c>
      <c r="K64" t="str">
        <f>IF('Master Sheet'!C65="Area 4 (Anitha R)",'Master Sheet'!K65,"")</f>
        <v/>
      </c>
      <c r="L64" t="str">
        <f>IF('Master Sheet'!C65="Area 4 (Anitha R)",'Master Sheet'!L65,"")</f>
        <v/>
      </c>
      <c r="M64" t="str">
        <f>IF('Master Sheet'!C65="Area 4 (Anitha R)",'Master Sheet'!M65,"")</f>
        <v/>
      </c>
      <c r="N64" t="str">
        <f>IF('Master Sheet'!C65="Area 4 (Anitha R)",'Master Sheet'!N65,"")</f>
        <v/>
      </c>
      <c r="O64" t="str">
        <f>IF('Master Sheet'!C65="Area 4 (Anitha R)",'Master Sheet'!O65,"")</f>
        <v/>
      </c>
      <c r="P64" t="str">
        <f>IF('Master Sheet'!C65="Area 4 (Anitha R)",'Master Sheet'!P65,"")</f>
        <v/>
      </c>
    </row>
    <row r="65" spans="1:16" hidden="1" x14ac:dyDescent="0.25">
      <c r="A65" t="str">
        <f>IF('Master Sheet'!C66="Area 4 (Anitha R)",'Master Sheet'!A66,"")</f>
        <v/>
      </c>
      <c r="B65" t="str">
        <f>IF('Master Sheet'!C66="Area 4 (Anitha R)",'Master Sheet'!B66,"")</f>
        <v/>
      </c>
      <c r="C65" t="s">
        <v>7</v>
      </c>
      <c r="D65" t="str">
        <f>IF('Master Sheet'!C66="Area 4 (Anitha R)",'Master Sheet'!D66,"")</f>
        <v/>
      </c>
      <c r="E65" t="str">
        <f>IF('Master Sheet'!C66="Area 4 (Anitha R)",'Master Sheet'!E66,"")</f>
        <v/>
      </c>
      <c r="F65" t="str">
        <f>IF('Master Sheet'!C66="Area 4 (Anitha R)",'Master Sheet'!F66,"")</f>
        <v/>
      </c>
      <c r="G65" t="str">
        <f>IF('Master Sheet'!C66="Area 4 (Anitha R)",'Master Sheet'!G66,"")</f>
        <v/>
      </c>
      <c r="H65" t="str">
        <f>IF('Master Sheet'!C66="Area 4 (Anitha R)",'Master Sheet'!H66,"")</f>
        <v/>
      </c>
      <c r="I65" t="str">
        <f>IF('Master Sheet'!C66="Area 4 (Anitha R)",'Master Sheet'!I66,"")</f>
        <v/>
      </c>
      <c r="J65" t="str">
        <f>IF('Master Sheet'!C66="Area 4 (Anitha R)",'Master Sheet'!J66,"")</f>
        <v/>
      </c>
      <c r="K65" t="str">
        <f>IF('Master Sheet'!C66="Area 4 (Anitha R)",'Master Sheet'!K66,"")</f>
        <v/>
      </c>
      <c r="L65" t="str">
        <f>IF('Master Sheet'!C66="Area 4 (Anitha R)",'Master Sheet'!L66,"")</f>
        <v/>
      </c>
      <c r="M65" t="str">
        <f>IF('Master Sheet'!C66="Area 4 (Anitha R)",'Master Sheet'!M66,"")</f>
        <v/>
      </c>
      <c r="N65" t="str">
        <f>IF('Master Sheet'!C66="Area 4 (Anitha R)",'Master Sheet'!N66,"")</f>
        <v/>
      </c>
      <c r="O65" t="str">
        <f>IF('Master Sheet'!C66="Area 4 (Anitha R)",'Master Sheet'!O66,"")</f>
        <v/>
      </c>
      <c r="P65" t="str">
        <f>IF('Master Sheet'!C66="Area 4 (Anitha R)",'Master Sheet'!P66,"")</f>
        <v/>
      </c>
    </row>
    <row r="66" spans="1:16" hidden="1" x14ac:dyDescent="0.25">
      <c r="A66" t="str">
        <f>IF('Master Sheet'!C67="Area 4 (Anitha R)",'Master Sheet'!A67,"")</f>
        <v/>
      </c>
      <c r="B66" t="str">
        <f>IF('Master Sheet'!C67="Area 4 (Anitha R)",'Master Sheet'!B67,"")</f>
        <v/>
      </c>
      <c r="C66" t="s">
        <v>7</v>
      </c>
      <c r="D66" t="str">
        <f>IF('Master Sheet'!C67="Area 4 (Anitha R)",'Master Sheet'!D67,"")</f>
        <v/>
      </c>
      <c r="E66" t="str">
        <f>IF('Master Sheet'!C67="Area 4 (Anitha R)",'Master Sheet'!E67,"")</f>
        <v/>
      </c>
      <c r="F66" t="str">
        <f>IF('Master Sheet'!C67="Area 4 (Anitha R)",'Master Sheet'!F67,"")</f>
        <v/>
      </c>
      <c r="G66" t="str">
        <f>IF('Master Sheet'!C67="Area 4 (Anitha R)",'Master Sheet'!G67,"")</f>
        <v/>
      </c>
      <c r="H66" t="str">
        <f>IF('Master Sheet'!C67="Area 4 (Anitha R)",'Master Sheet'!H67,"")</f>
        <v/>
      </c>
      <c r="I66" t="str">
        <f>IF('Master Sheet'!C67="Area 4 (Anitha R)",'Master Sheet'!I67,"")</f>
        <v/>
      </c>
      <c r="J66" t="str">
        <f>IF('Master Sheet'!C67="Area 4 (Anitha R)",'Master Sheet'!J67,"")</f>
        <v/>
      </c>
      <c r="K66" t="str">
        <f>IF('Master Sheet'!C67="Area 4 (Anitha R)",'Master Sheet'!K67,"")</f>
        <v/>
      </c>
      <c r="L66" t="str">
        <f>IF('Master Sheet'!C67="Area 4 (Anitha R)",'Master Sheet'!L67,"")</f>
        <v/>
      </c>
      <c r="M66" t="str">
        <f>IF('Master Sheet'!C67="Area 4 (Anitha R)",'Master Sheet'!M67,"")</f>
        <v/>
      </c>
      <c r="N66" t="str">
        <f>IF('Master Sheet'!C67="Area 4 (Anitha R)",'Master Sheet'!N67,"")</f>
        <v/>
      </c>
      <c r="O66" t="str">
        <f>IF('Master Sheet'!C67="Area 4 (Anitha R)",'Master Sheet'!O67,"")</f>
        <v/>
      </c>
      <c r="P66" t="str">
        <f>IF('Master Sheet'!C67="Area 4 (Anitha R)",'Master Sheet'!P67,"")</f>
        <v/>
      </c>
    </row>
    <row r="67" spans="1:16" hidden="1" x14ac:dyDescent="0.25">
      <c r="A67" t="str">
        <f>IF('Master Sheet'!C68="Area 4 (Anitha R)",'Master Sheet'!A68,"")</f>
        <v/>
      </c>
      <c r="B67" t="str">
        <f>IF('Master Sheet'!C68="Area 4 (Anitha R)",'Master Sheet'!B68,"")</f>
        <v/>
      </c>
      <c r="C67" t="s">
        <v>7</v>
      </c>
      <c r="D67" t="str">
        <f>IF('Master Sheet'!C68="Area 4 (Anitha R)",'Master Sheet'!D68,"")</f>
        <v/>
      </c>
      <c r="E67" t="str">
        <f>IF('Master Sheet'!C68="Area 4 (Anitha R)",'Master Sheet'!E68,"")</f>
        <v/>
      </c>
      <c r="F67" t="str">
        <f>IF('Master Sheet'!C68="Area 4 (Anitha R)",'Master Sheet'!F68,"")</f>
        <v/>
      </c>
      <c r="G67" t="str">
        <f>IF('Master Sheet'!C68="Area 4 (Anitha R)",'Master Sheet'!G68,"")</f>
        <v/>
      </c>
      <c r="H67" t="str">
        <f>IF('Master Sheet'!C68="Area 4 (Anitha R)",'Master Sheet'!H68,"")</f>
        <v/>
      </c>
      <c r="I67" t="str">
        <f>IF('Master Sheet'!C68="Area 4 (Anitha R)",'Master Sheet'!I68,"")</f>
        <v/>
      </c>
      <c r="J67" t="str">
        <f>IF('Master Sheet'!C68="Area 4 (Anitha R)",'Master Sheet'!J68,"")</f>
        <v/>
      </c>
      <c r="K67" t="str">
        <f>IF('Master Sheet'!C68="Area 4 (Anitha R)",'Master Sheet'!K68,"")</f>
        <v/>
      </c>
      <c r="L67" t="str">
        <f>IF('Master Sheet'!C68="Area 4 (Anitha R)",'Master Sheet'!L68,"")</f>
        <v/>
      </c>
      <c r="M67" t="str">
        <f>IF('Master Sheet'!C68="Area 4 (Anitha R)",'Master Sheet'!M68,"")</f>
        <v/>
      </c>
      <c r="N67" t="str">
        <f>IF('Master Sheet'!C68="Area 4 (Anitha R)",'Master Sheet'!N68,"")</f>
        <v/>
      </c>
      <c r="O67" t="str">
        <f>IF('Master Sheet'!C68="Area 4 (Anitha R)",'Master Sheet'!O68,"")</f>
        <v/>
      </c>
      <c r="P67" t="str">
        <f>IF('Master Sheet'!C68="Area 4 (Anitha R)",'Master Sheet'!P68,"")</f>
        <v/>
      </c>
    </row>
    <row r="68" spans="1:16" hidden="1" x14ac:dyDescent="0.25">
      <c r="A68" t="str">
        <f>IF('Master Sheet'!C69="Area 4 (Anitha R)",'Master Sheet'!A69,"")</f>
        <v/>
      </c>
      <c r="B68" t="str">
        <f>IF('Master Sheet'!C69="Area 4 (Anitha R)",'Master Sheet'!B69,"")</f>
        <v/>
      </c>
      <c r="C68" t="s">
        <v>7</v>
      </c>
      <c r="D68" t="str">
        <f>IF('Master Sheet'!C69="Area 4 (Anitha R)",'Master Sheet'!D69,"")</f>
        <v/>
      </c>
      <c r="E68" t="str">
        <f>IF('Master Sheet'!C69="Area 4 (Anitha R)",'Master Sheet'!E69,"")</f>
        <v/>
      </c>
      <c r="F68" t="str">
        <f>IF('Master Sheet'!C69="Area 4 (Anitha R)",'Master Sheet'!F69,"")</f>
        <v/>
      </c>
      <c r="G68" t="str">
        <f>IF('Master Sheet'!C69="Area 4 (Anitha R)",'Master Sheet'!G69,"")</f>
        <v/>
      </c>
      <c r="H68" t="str">
        <f>IF('Master Sheet'!C69="Area 4 (Anitha R)",'Master Sheet'!H69,"")</f>
        <v/>
      </c>
      <c r="I68" t="str">
        <f>IF('Master Sheet'!C69="Area 4 (Anitha R)",'Master Sheet'!I69,"")</f>
        <v/>
      </c>
      <c r="J68" t="str">
        <f>IF('Master Sheet'!C69="Area 4 (Anitha R)",'Master Sheet'!J69,"")</f>
        <v/>
      </c>
      <c r="K68" t="str">
        <f>IF('Master Sheet'!C69="Area 4 (Anitha R)",'Master Sheet'!K69,"")</f>
        <v/>
      </c>
      <c r="L68" t="str">
        <f>IF('Master Sheet'!C69="Area 4 (Anitha R)",'Master Sheet'!L69,"")</f>
        <v/>
      </c>
      <c r="M68" t="str">
        <f>IF('Master Sheet'!C69="Area 4 (Anitha R)",'Master Sheet'!M69,"")</f>
        <v/>
      </c>
      <c r="N68" t="str">
        <f>IF('Master Sheet'!C69="Area 4 (Anitha R)",'Master Sheet'!N69,"")</f>
        <v/>
      </c>
      <c r="O68" t="str">
        <f>IF('Master Sheet'!C69="Area 4 (Anitha R)",'Master Sheet'!O69,"")</f>
        <v/>
      </c>
      <c r="P68" t="str">
        <f>IF('Master Sheet'!C69="Area 4 (Anitha R)",'Master Sheet'!P69,"")</f>
        <v/>
      </c>
    </row>
    <row r="69" spans="1:16" s="8" customFormat="1" ht="19.899999999999999" customHeight="1" x14ac:dyDescent="0.25">
      <c r="A69" s="7" t="str">
        <f>IF('Master Sheet'!C70="Area 4 (Anitha R)",'Master Sheet'!A70,"")</f>
        <v>P068</v>
      </c>
      <c r="B69" s="10" t="str">
        <f>IF('Master Sheet'!C70="Area 4 (Anitha R)",'Master Sheet'!B70,"")</f>
        <v>Mini Vennikulam</v>
      </c>
      <c r="C69" t="s">
        <v>7</v>
      </c>
      <c r="D69" s="9">
        <f>IF('Master Sheet'!C70="Area 4 (Anitha R)",'Master Sheet'!D70,"")</f>
        <v>350</v>
      </c>
      <c r="E69" s="9">
        <f>IF('Master Sheet'!C70="Area 4 (Anitha R)",'Master Sheet'!E70,"")</f>
        <v>350</v>
      </c>
      <c r="F69" s="9">
        <f>IF('Master Sheet'!C70="Area 4 (Anitha R)",'Master Sheet'!F70,"")</f>
        <v>350</v>
      </c>
      <c r="G69" s="9">
        <f>IF('Master Sheet'!C70="Area 4 (Anitha R)",'Master Sheet'!G70,"")</f>
        <v>0</v>
      </c>
      <c r="H69" s="9">
        <f>IF('Master Sheet'!C70="Area 4 (Anitha R)",'Master Sheet'!H70,"")</f>
        <v>0</v>
      </c>
      <c r="I69" s="9">
        <f>IF('Master Sheet'!C70="Area 4 (Anitha R)",'Master Sheet'!I70,"")</f>
        <v>0</v>
      </c>
      <c r="J69" s="9">
        <f>IF('Master Sheet'!C70="Area 4 (Anitha R)",'Master Sheet'!J70,"")</f>
        <v>0</v>
      </c>
      <c r="K69" s="9">
        <f>IF('Master Sheet'!C70="Area 4 (Anitha R)",'Master Sheet'!K70,"")</f>
        <v>0</v>
      </c>
      <c r="L69" s="9">
        <f>IF('Master Sheet'!C70="Area 4 (Anitha R)",'Master Sheet'!L70,"")</f>
        <v>0</v>
      </c>
      <c r="M69" s="9">
        <f>IF('Master Sheet'!C70="Area 4 (Anitha R)",'Master Sheet'!M70,"")</f>
        <v>0</v>
      </c>
      <c r="N69" s="9">
        <f>IF('Master Sheet'!C70="Area 4 (Anitha R)",'Master Sheet'!N70,"")</f>
        <v>1050</v>
      </c>
      <c r="O69" s="23">
        <f>IF('Master Sheet'!C70="Area 4 (Anitha R)",'Master Sheet'!O70,"")</f>
        <v>2450</v>
      </c>
      <c r="P69" s="9" t="str">
        <f>IF('Master Sheet'!C70="Area 4 (Anitha R)",'Master Sheet'!P70,"")</f>
        <v>Pending</v>
      </c>
    </row>
    <row r="70" spans="1:16" s="8" customFormat="1" ht="19.899999999999999" customHeight="1" x14ac:dyDescent="0.25">
      <c r="A70" s="7" t="str">
        <f>IF('Master Sheet'!C71="Area 4 (Anitha R)",'Master Sheet'!A71,"")</f>
        <v>P069</v>
      </c>
      <c r="B70" s="10" t="str">
        <f>IF('Master Sheet'!C71="Area 4 (Anitha R)",'Master Sheet'!B71,"")</f>
        <v>Anitha Gopakumar Vennikulam</v>
      </c>
      <c r="C70" t="s">
        <v>7</v>
      </c>
      <c r="D70" s="9">
        <f>IF('Master Sheet'!C71="Area 4 (Anitha R)",'Master Sheet'!D71,"")</f>
        <v>350</v>
      </c>
      <c r="E70" s="9">
        <f>IF('Master Sheet'!C71="Area 4 (Anitha R)",'Master Sheet'!E71,"")</f>
        <v>350</v>
      </c>
      <c r="F70" s="9">
        <f>IF('Master Sheet'!C71="Area 4 (Anitha R)",'Master Sheet'!F71,"")</f>
        <v>350</v>
      </c>
      <c r="G70" s="9">
        <f>IF('Master Sheet'!C71="Area 4 (Anitha R)",'Master Sheet'!G71,"")</f>
        <v>350</v>
      </c>
      <c r="H70" s="9">
        <f>IF('Master Sheet'!C71="Area 4 (Anitha R)",'Master Sheet'!H71,"")</f>
        <v>0</v>
      </c>
      <c r="I70" s="9">
        <f>IF('Master Sheet'!C71="Area 4 (Anitha R)",'Master Sheet'!I71,"")</f>
        <v>0</v>
      </c>
      <c r="J70" s="9">
        <f>IF('Master Sheet'!C71="Area 4 (Anitha R)",'Master Sheet'!J71,"")</f>
        <v>0</v>
      </c>
      <c r="K70" s="9">
        <f>IF('Master Sheet'!C71="Area 4 (Anitha R)",'Master Sheet'!K71,"")</f>
        <v>0</v>
      </c>
      <c r="L70" s="9">
        <f>IF('Master Sheet'!C71="Area 4 (Anitha R)",'Master Sheet'!L71,"")</f>
        <v>0</v>
      </c>
      <c r="M70" s="9">
        <f>IF('Master Sheet'!C71="Area 4 (Anitha R)",'Master Sheet'!M71,"")</f>
        <v>0</v>
      </c>
      <c r="N70" s="9">
        <f>IF('Master Sheet'!C71="Area 4 (Anitha R)",'Master Sheet'!N71,"")</f>
        <v>1400</v>
      </c>
      <c r="O70" s="23">
        <f>IF('Master Sheet'!C71="Area 4 (Anitha R)",'Master Sheet'!O71,"")</f>
        <v>2100</v>
      </c>
      <c r="P70" s="9" t="str">
        <f>IF('Master Sheet'!C71="Area 4 (Anitha R)",'Master Sheet'!P71,"")</f>
        <v>Pending</v>
      </c>
    </row>
    <row r="71" spans="1:16" s="8" customFormat="1" ht="19.899999999999999" customHeight="1" x14ac:dyDescent="0.25">
      <c r="A71" s="7" t="str">
        <f>IF('Master Sheet'!C72="Area 4 (Anitha R)",'Master Sheet'!A72,"")</f>
        <v>P070</v>
      </c>
      <c r="B71" s="10" t="str">
        <f>IF('Master Sheet'!C72="Area 4 (Anitha R)",'Master Sheet'!B72,"")</f>
        <v>Vidya Susanth Vennikulam</v>
      </c>
      <c r="C71" t="s">
        <v>7</v>
      </c>
      <c r="D71" s="9">
        <f>IF('Master Sheet'!C72="Area 4 (Anitha R)",'Master Sheet'!D72,"")</f>
        <v>350</v>
      </c>
      <c r="E71" s="9">
        <f>IF('Master Sheet'!C72="Area 4 (Anitha R)",'Master Sheet'!E72,"")</f>
        <v>350</v>
      </c>
      <c r="F71" s="9">
        <f>IF('Master Sheet'!C72="Area 4 (Anitha R)",'Master Sheet'!F72,"")</f>
        <v>350</v>
      </c>
      <c r="G71" s="9">
        <f>IF('Master Sheet'!C72="Area 4 (Anitha R)",'Master Sheet'!G72,"")</f>
        <v>350</v>
      </c>
      <c r="H71" s="9">
        <f>IF('Master Sheet'!C72="Area 4 (Anitha R)",'Master Sheet'!H72,"")</f>
        <v>0</v>
      </c>
      <c r="I71" s="9">
        <f>IF('Master Sheet'!C72="Area 4 (Anitha R)",'Master Sheet'!I72,"")</f>
        <v>0</v>
      </c>
      <c r="J71" s="9">
        <f>IF('Master Sheet'!C72="Area 4 (Anitha R)",'Master Sheet'!J72,"")</f>
        <v>0</v>
      </c>
      <c r="K71" s="9">
        <f>IF('Master Sheet'!C72="Area 4 (Anitha R)",'Master Sheet'!K72,"")</f>
        <v>0</v>
      </c>
      <c r="L71" s="9">
        <f>IF('Master Sheet'!C72="Area 4 (Anitha R)",'Master Sheet'!L72,"")</f>
        <v>0</v>
      </c>
      <c r="M71" s="9">
        <f>IF('Master Sheet'!C72="Area 4 (Anitha R)",'Master Sheet'!M72,"")</f>
        <v>0</v>
      </c>
      <c r="N71" s="9">
        <f>IF('Master Sheet'!C72="Area 4 (Anitha R)",'Master Sheet'!N72,"")</f>
        <v>1400</v>
      </c>
      <c r="O71" s="23">
        <f>IF('Master Sheet'!C72="Area 4 (Anitha R)",'Master Sheet'!O72,"")</f>
        <v>2100</v>
      </c>
      <c r="P71" s="9" t="str">
        <f>IF('Master Sheet'!C72="Area 4 (Anitha R)",'Master Sheet'!P72,"")</f>
        <v>Pending</v>
      </c>
    </row>
    <row r="72" spans="1:16" s="8" customFormat="1" ht="19.899999999999999" customHeight="1" x14ac:dyDescent="0.25">
      <c r="A72" s="7" t="str">
        <f>IF('Master Sheet'!C73="Area 4 (Anitha R)",'Master Sheet'!A73,"")</f>
        <v>P071</v>
      </c>
      <c r="B72" s="10" t="str">
        <f>IF('Master Sheet'!C73="Area 4 (Anitha R)",'Master Sheet'!B73,"")</f>
        <v>Indra Vennikulam</v>
      </c>
      <c r="C72" t="s">
        <v>7</v>
      </c>
      <c r="D72" s="9">
        <f>IF('Master Sheet'!C73="Area 4 (Anitha R)",'Master Sheet'!D73,"")</f>
        <v>350</v>
      </c>
      <c r="E72" s="9">
        <f>IF('Master Sheet'!C73="Area 4 (Anitha R)",'Master Sheet'!E73,"")</f>
        <v>500</v>
      </c>
      <c r="F72" s="9">
        <f>IF('Master Sheet'!C73="Area 4 (Anitha R)",'Master Sheet'!F73,"")</f>
        <v>500</v>
      </c>
      <c r="G72" s="9">
        <f>IF('Master Sheet'!C73="Area 4 (Anitha R)",'Master Sheet'!G73,"")</f>
        <v>0</v>
      </c>
      <c r="H72" s="9">
        <f>IF('Master Sheet'!C73="Area 4 (Anitha R)",'Master Sheet'!H73,"")</f>
        <v>0</v>
      </c>
      <c r="I72" s="9">
        <f>IF('Master Sheet'!C73="Area 4 (Anitha R)",'Master Sheet'!I73,"")</f>
        <v>0</v>
      </c>
      <c r="J72" s="9">
        <f>IF('Master Sheet'!C73="Area 4 (Anitha R)",'Master Sheet'!J73,"")</f>
        <v>0</v>
      </c>
      <c r="K72" s="9">
        <f>IF('Master Sheet'!C73="Area 4 (Anitha R)",'Master Sheet'!K73,"")</f>
        <v>0</v>
      </c>
      <c r="L72" s="9">
        <f>IF('Master Sheet'!C73="Area 4 (Anitha R)",'Master Sheet'!L73,"")</f>
        <v>0</v>
      </c>
      <c r="M72" s="9">
        <f>IF('Master Sheet'!C73="Area 4 (Anitha R)",'Master Sheet'!M73,"")</f>
        <v>0</v>
      </c>
      <c r="N72" s="9">
        <f>IF('Master Sheet'!C73="Area 4 (Anitha R)",'Master Sheet'!N73,"")</f>
        <v>1350</v>
      </c>
      <c r="O72" s="23">
        <f>IF('Master Sheet'!C73="Area 4 (Anitha R)",'Master Sheet'!O73,"")</f>
        <v>2150</v>
      </c>
      <c r="P72" s="9" t="str">
        <f>IF('Master Sheet'!C73="Area 4 (Anitha R)",'Master Sheet'!P73,"")</f>
        <v>Pending</v>
      </c>
    </row>
    <row r="73" spans="1:16" s="8" customFormat="1" ht="19.899999999999999" customHeight="1" x14ac:dyDescent="0.25">
      <c r="A73" s="7" t="str">
        <f>IF('Master Sheet'!C74="Area 4 (Anitha R)",'Master Sheet'!A74,"")</f>
        <v>P072</v>
      </c>
      <c r="B73" s="10" t="str">
        <f>IF('Master Sheet'!C74="Area 4 (Anitha R)",'Master Sheet'!B74,"")</f>
        <v>Santhosh Vennikulam</v>
      </c>
      <c r="C73" t="s">
        <v>7</v>
      </c>
      <c r="D73" s="9">
        <f>IF('Master Sheet'!C74="Area 4 (Anitha R)",'Master Sheet'!D74,"")</f>
        <v>350</v>
      </c>
      <c r="E73" s="9">
        <f>IF('Master Sheet'!C74="Area 4 (Anitha R)",'Master Sheet'!E74,"")</f>
        <v>350</v>
      </c>
      <c r="F73" s="9">
        <f>IF('Master Sheet'!C74="Area 4 (Anitha R)",'Master Sheet'!F74,"")</f>
        <v>350</v>
      </c>
      <c r="G73" s="9">
        <f>IF('Master Sheet'!C74="Area 4 (Anitha R)",'Master Sheet'!G74,"")</f>
        <v>350</v>
      </c>
      <c r="H73" s="9">
        <f>IF('Master Sheet'!C74="Area 4 (Anitha R)",'Master Sheet'!H74,"")</f>
        <v>0</v>
      </c>
      <c r="I73" s="9">
        <f>IF('Master Sheet'!C74="Area 4 (Anitha R)",'Master Sheet'!I74,"")</f>
        <v>0</v>
      </c>
      <c r="J73" s="9">
        <f>IF('Master Sheet'!C74="Area 4 (Anitha R)",'Master Sheet'!J74,"")</f>
        <v>0</v>
      </c>
      <c r="K73" s="9">
        <f>IF('Master Sheet'!C74="Area 4 (Anitha R)",'Master Sheet'!K74,"")</f>
        <v>0</v>
      </c>
      <c r="L73" s="9">
        <f>IF('Master Sheet'!C74="Area 4 (Anitha R)",'Master Sheet'!L74,"")</f>
        <v>0</v>
      </c>
      <c r="M73" s="9">
        <f>IF('Master Sheet'!C74="Area 4 (Anitha R)",'Master Sheet'!M74,"")</f>
        <v>0</v>
      </c>
      <c r="N73" s="9">
        <f>IF('Master Sheet'!C74="Area 4 (Anitha R)",'Master Sheet'!N74,"")</f>
        <v>1400</v>
      </c>
      <c r="O73" s="23">
        <f>IF('Master Sheet'!C74="Area 4 (Anitha R)",'Master Sheet'!O74,"")</f>
        <v>2100</v>
      </c>
      <c r="P73" s="9" t="str">
        <f>IF('Master Sheet'!C74="Area 4 (Anitha R)",'Master Sheet'!P74,"")</f>
        <v>Pending</v>
      </c>
    </row>
    <row r="74" spans="1:16" s="8" customFormat="1" ht="19.899999999999999" customHeight="1" x14ac:dyDescent="0.25">
      <c r="A74" s="7" t="str">
        <f>IF('Master Sheet'!C75="Area 4 (Anitha R)",'Master Sheet'!A75,"")</f>
        <v>P073</v>
      </c>
      <c r="B74" s="10" t="str">
        <f>IF('Master Sheet'!C75="Area 4 (Anitha R)",'Master Sheet'!B75,"")</f>
        <v>Anitha Ravikumar</v>
      </c>
      <c r="C74" t="s">
        <v>7</v>
      </c>
      <c r="D74" s="9">
        <f>IF('Master Sheet'!C75="Area 4 (Anitha R)",'Master Sheet'!D75,"")</f>
        <v>350</v>
      </c>
      <c r="E74" s="9">
        <f>IF('Master Sheet'!C75="Area 4 (Anitha R)",'Master Sheet'!E75,"")</f>
        <v>350</v>
      </c>
      <c r="F74" s="9">
        <f>IF('Master Sheet'!C75="Area 4 (Anitha R)",'Master Sheet'!F75,"")</f>
        <v>350</v>
      </c>
      <c r="G74" s="9">
        <f>IF('Master Sheet'!C75="Area 4 (Anitha R)",'Master Sheet'!G75,"")</f>
        <v>350</v>
      </c>
      <c r="H74" s="9">
        <f>IF('Master Sheet'!C75="Area 4 (Anitha R)",'Master Sheet'!H75,"")</f>
        <v>0</v>
      </c>
      <c r="I74" s="9">
        <f>IF('Master Sheet'!C75="Area 4 (Anitha R)",'Master Sheet'!I75,"")</f>
        <v>0</v>
      </c>
      <c r="J74" s="9">
        <f>IF('Master Sheet'!C75="Area 4 (Anitha R)",'Master Sheet'!J75,"")</f>
        <v>0</v>
      </c>
      <c r="K74" s="9">
        <f>IF('Master Sheet'!C75="Area 4 (Anitha R)",'Master Sheet'!K75,"")</f>
        <v>0</v>
      </c>
      <c r="L74" s="9">
        <f>IF('Master Sheet'!C75="Area 4 (Anitha R)",'Master Sheet'!L75,"")</f>
        <v>0</v>
      </c>
      <c r="M74" s="9">
        <f>IF('Master Sheet'!C75="Area 4 (Anitha R)",'Master Sheet'!M75,"")</f>
        <v>0</v>
      </c>
      <c r="N74" s="9">
        <f>IF('Master Sheet'!C75="Area 4 (Anitha R)",'Master Sheet'!N75,"")</f>
        <v>1400</v>
      </c>
      <c r="O74" s="23">
        <f>IF('Master Sheet'!C75="Area 4 (Anitha R)",'Master Sheet'!O75,"")</f>
        <v>2100</v>
      </c>
      <c r="P74" s="9" t="str">
        <f>IF('Master Sheet'!C75="Area 4 (Anitha R)",'Master Sheet'!P75,"")</f>
        <v>Pending</v>
      </c>
    </row>
    <row r="75" spans="1:16" s="8" customFormat="1" ht="19.899999999999999" customHeight="1" x14ac:dyDescent="0.25">
      <c r="A75" s="7" t="str">
        <f>IF('Master Sheet'!C76="Area 4 (Anitha R)",'Master Sheet'!A76,"")</f>
        <v>P074</v>
      </c>
      <c r="B75" s="10" t="str">
        <f>IF('Master Sheet'!C76="Area 4 (Anitha R)",'Master Sheet'!B76,"")</f>
        <v>Anil vp Vellara</v>
      </c>
      <c r="C75" t="s">
        <v>7</v>
      </c>
      <c r="D75" s="9">
        <f>IF('Master Sheet'!C76="Area 4 (Anitha R)",'Master Sheet'!D76,"")</f>
        <v>350</v>
      </c>
      <c r="E75" s="9">
        <f>IF('Master Sheet'!C76="Area 4 (Anitha R)",'Master Sheet'!E76,"")</f>
        <v>350</v>
      </c>
      <c r="F75" s="9">
        <f>IF('Master Sheet'!C76="Area 4 (Anitha R)",'Master Sheet'!F76,"")</f>
        <v>350</v>
      </c>
      <c r="G75" s="9">
        <f>IF('Master Sheet'!C76="Area 4 (Anitha R)",'Master Sheet'!G76,"")</f>
        <v>350</v>
      </c>
      <c r="H75" s="9">
        <f>IF('Master Sheet'!C76="Area 4 (Anitha R)",'Master Sheet'!H76,"")</f>
        <v>0</v>
      </c>
      <c r="I75" s="9">
        <f>IF('Master Sheet'!C76="Area 4 (Anitha R)",'Master Sheet'!I76,"")</f>
        <v>0</v>
      </c>
      <c r="J75" s="9">
        <f>IF('Master Sheet'!C76="Area 4 (Anitha R)",'Master Sheet'!J76,"")</f>
        <v>0</v>
      </c>
      <c r="K75" s="9">
        <f>IF('Master Sheet'!C76="Area 4 (Anitha R)",'Master Sheet'!K76,"")</f>
        <v>0</v>
      </c>
      <c r="L75" s="9">
        <f>IF('Master Sheet'!C76="Area 4 (Anitha R)",'Master Sheet'!L76,"")</f>
        <v>0</v>
      </c>
      <c r="M75" s="9">
        <f>IF('Master Sheet'!C76="Area 4 (Anitha R)",'Master Sheet'!M76,"")</f>
        <v>0</v>
      </c>
      <c r="N75" s="9">
        <f>IF('Master Sheet'!C76="Area 4 (Anitha R)",'Master Sheet'!N76,"")</f>
        <v>1400</v>
      </c>
      <c r="O75" s="23">
        <f>IF('Master Sheet'!C76="Area 4 (Anitha R)",'Master Sheet'!O76,"")</f>
        <v>2100</v>
      </c>
      <c r="P75" s="9" t="str">
        <f>IF('Master Sheet'!C76="Area 4 (Anitha R)",'Master Sheet'!P76,"")</f>
        <v>Pending</v>
      </c>
    </row>
    <row r="76" spans="1:16" s="8" customFormat="1" ht="19.899999999999999" customHeight="1" x14ac:dyDescent="0.25">
      <c r="A76" s="7" t="str">
        <f>IF('Master Sheet'!C77="Area 4 (Anitha R)",'Master Sheet'!A77,"")</f>
        <v>P075</v>
      </c>
      <c r="B76" s="10" t="str">
        <f>IF('Master Sheet'!C77="Area 4 (Anitha R)",'Master Sheet'!B77,"")</f>
        <v>Drishya Vellara</v>
      </c>
      <c r="C76" t="s">
        <v>7</v>
      </c>
      <c r="D76" s="9">
        <f>IF('Master Sheet'!C77="Area 4 (Anitha R)",'Master Sheet'!D77,"")</f>
        <v>350</v>
      </c>
      <c r="E76" s="9">
        <f>IF('Master Sheet'!C77="Area 4 (Anitha R)",'Master Sheet'!E77,"")</f>
        <v>350</v>
      </c>
      <c r="F76" s="9">
        <f>IF('Master Sheet'!C77="Area 4 (Anitha R)",'Master Sheet'!F77,"")</f>
        <v>350</v>
      </c>
      <c r="G76" s="9">
        <f>IF('Master Sheet'!C77="Area 4 (Anitha R)",'Master Sheet'!G77,"")</f>
        <v>200</v>
      </c>
      <c r="H76" s="9">
        <f>IF('Master Sheet'!C77="Area 4 (Anitha R)",'Master Sheet'!H77,"")</f>
        <v>0</v>
      </c>
      <c r="I76" s="9">
        <f>IF('Master Sheet'!C77="Area 4 (Anitha R)",'Master Sheet'!I77,"")</f>
        <v>0</v>
      </c>
      <c r="J76" s="9">
        <f>IF('Master Sheet'!C77="Area 4 (Anitha R)",'Master Sheet'!J77,"")</f>
        <v>0</v>
      </c>
      <c r="K76" s="9">
        <f>IF('Master Sheet'!C77="Area 4 (Anitha R)",'Master Sheet'!K77,"")</f>
        <v>0</v>
      </c>
      <c r="L76" s="9">
        <f>IF('Master Sheet'!C77="Area 4 (Anitha R)",'Master Sheet'!L77,"")</f>
        <v>0</v>
      </c>
      <c r="M76" s="9">
        <f>IF('Master Sheet'!C77="Area 4 (Anitha R)",'Master Sheet'!M77,"")</f>
        <v>0</v>
      </c>
      <c r="N76" s="9">
        <f>IF('Master Sheet'!C77="Area 4 (Anitha R)",'Master Sheet'!N77,"")</f>
        <v>1250</v>
      </c>
      <c r="O76" s="23">
        <f>IF('Master Sheet'!C77="Area 4 (Anitha R)",'Master Sheet'!O77,"")</f>
        <v>2250</v>
      </c>
      <c r="P76" s="9" t="str">
        <f>IF('Master Sheet'!C77="Area 4 (Anitha R)",'Master Sheet'!P77,"")</f>
        <v>Pending</v>
      </c>
    </row>
    <row r="77" spans="1:16" s="8" customFormat="1" ht="19.899999999999999" customHeight="1" x14ac:dyDescent="0.25">
      <c r="A77" s="7" t="str">
        <f>IF('Master Sheet'!C78="Area 4 (Anitha R)",'Master Sheet'!A78,"")</f>
        <v>P076</v>
      </c>
      <c r="B77" s="10" t="str">
        <f>IF('Master Sheet'!C78="Area 4 (Anitha R)",'Master Sheet'!B78,"")</f>
        <v>Ambika</v>
      </c>
      <c r="C77" t="s">
        <v>7</v>
      </c>
      <c r="D77" s="9">
        <f>IF('Master Sheet'!C78="Area 4 (Anitha R)",'Master Sheet'!D78,"")</f>
        <v>0</v>
      </c>
      <c r="E77" s="9">
        <f>IF('Master Sheet'!C78="Area 4 (Anitha R)",'Master Sheet'!E78,"")</f>
        <v>350</v>
      </c>
      <c r="F77" s="9">
        <f>IF('Master Sheet'!C78="Area 4 (Anitha R)",'Master Sheet'!F78,"")</f>
        <v>0</v>
      </c>
      <c r="G77" s="9">
        <f>IF('Master Sheet'!C78="Area 4 (Anitha R)",'Master Sheet'!G78,"")</f>
        <v>0</v>
      </c>
      <c r="H77" s="9">
        <f>IF('Master Sheet'!C78="Area 4 (Anitha R)",'Master Sheet'!H78,"")</f>
        <v>0</v>
      </c>
      <c r="I77" s="9">
        <f>IF('Master Sheet'!C78="Area 4 (Anitha R)",'Master Sheet'!I78,"")</f>
        <v>0</v>
      </c>
      <c r="J77" s="9">
        <f>IF('Master Sheet'!C78="Area 4 (Anitha R)",'Master Sheet'!J78,"")</f>
        <v>0</v>
      </c>
      <c r="K77" s="9">
        <f>IF('Master Sheet'!C78="Area 4 (Anitha R)",'Master Sheet'!K78,"")</f>
        <v>0</v>
      </c>
      <c r="L77" s="9">
        <f>IF('Master Sheet'!C78="Area 4 (Anitha R)",'Master Sheet'!L78,"")</f>
        <v>0</v>
      </c>
      <c r="M77" s="9">
        <f>IF('Master Sheet'!C78="Area 4 (Anitha R)",'Master Sheet'!M78,"")</f>
        <v>0</v>
      </c>
      <c r="N77" s="9">
        <f>IF('Master Sheet'!C78="Area 4 (Anitha R)",'Master Sheet'!N78,"")</f>
        <v>350</v>
      </c>
      <c r="O77" s="23">
        <f>IF('Master Sheet'!C78="Area 4 (Anitha R)",'Master Sheet'!O78,"")</f>
        <v>3150</v>
      </c>
      <c r="P77" s="9" t="str">
        <f>IF('Master Sheet'!C78="Area 4 (Anitha R)",'Master Sheet'!P78,"")</f>
        <v>Pending</v>
      </c>
    </row>
    <row r="78" spans="1:16" hidden="1" x14ac:dyDescent="0.25">
      <c r="A78" t="str">
        <f>IF('Master Sheet'!C79="Area 4 (Anitha R)",'Master Sheet'!A79,"")</f>
        <v/>
      </c>
      <c r="B78" t="str">
        <f>IF('Master Sheet'!C79="Area 4 (Anitha R)",'Master Sheet'!B79,"")</f>
        <v/>
      </c>
      <c r="C78" t="s">
        <v>7</v>
      </c>
      <c r="D78" t="str">
        <f>IF('Master Sheet'!C79="Area 4 (Anitha R)",'Master Sheet'!D79,"")</f>
        <v/>
      </c>
      <c r="E78" t="str">
        <f>IF('Master Sheet'!C79="Area 4 (Anitha R)",'Master Sheet'!E79,"")</f>
        <v/>
      </c>
      <c r="F78" t="str">
        <f>IF('Master Sheet'!C79="Area 4 (Anitha R)",'Master Sheet'!F79,"")</f>
        <v/>
      </c>
      <c r="G78" t="str">
        <f>IF('Master Sheet'!C79="Area 4 (Anitha R)",'Master Sheet'!G79,"")</f>
        <v/>
      </c>
      <c r="H78" t="str">
        <f>IF('Master Sheet'!C79="Area 4 (Anitha R)",'Master Sheet'!H79,"")</f>
        <v/>
      </c>
      <c r="I78" t="str">
        <f>IF('Master Sheet'!C79="Area 4 (Anitha R)",'Master Sheet'!I79,"")</f>
        <v/>
      </c>
      <c r="J78" t="str">
        <f>IF('Master Sheet'!C79="Area 4 (Anitha R)",'Master Sheet'!J79,"")</f>
        <v/>
      </c>
      <c r="K78" t="str">
        <f>IF('Master Sheet'!C79="Area 4 (Anitha R)",'Master Sheet'!K79,"")</f>
        <v/>
      </c>
      <c r="L78" t="str">
        <f>IF('Master Sheet'!C79="Area 4 (Anitha R)",'Master Sheet'!L79,"")</f>
        <v/>
      </c>
      <c r="M78" t="str">
        <f>IF('Master Sheet'!C79="Area 4 (Anitha R)",'Master Sheet'!M79,"")</f>
        <v/>
      </c>
      <c r="N78" t="str">
        <f>IF('Master Sheet'!C79="Area 4 (Anitha R)",'Master Sheet'!N79,"")</f>
        <v/>
      </c>
      <c r="O78" t="str">
        <f>IF('Master Sheet'!C79="Area 4 (Anitha R)",'Master Sheet'!O79,"")</f>
        <v/>
      </c>
      <c r="P78" t="str">
        <f>IF('Master Sheet'!C79="Area 4 (Anitha R)",'Master Sheet'!P79,"")</f>
        <v/>
      </c>
    </row>
    <row r="79" spans="1:16" hidden="1" x14ac:dyDescent="0.25">
      <c r="A79" t="str">
        <f>IF('Master Sheet'!C80="Area 4 (Anitha R)",'Master Sheet'!A80,"")</f>
        <v/>
      </c>
      <c r="B79" t="str">
        <f>IF('Master Sheet'!C80="Area 4 (Anitha R)",'Master Sheet'!B80,"")</f>
        <v/>
      </c>
      <c r="C79" t="s">
        <v>7</v>
      </c>
      <c r="D79" t="str">
        <f>IF('Master Sheet'!C80="Area 4 (Anitha R)",'Master Sheet'!D80,"")</f>
        <v/>
      </c>
      <c r="E79" t="str">
        <f>IF('Master Sheet'!C80="Area 4 (Anitha R)",'Master Sheet'!E80,"")</f>
        <v/>
      </c>
      <c r="F79" t="str">
        <f>IF('Master Sheet'!C80="Area 4 (Anitha R)",'Master Sheet'!F80,"")</f>
        <v/>
      </c>
      <c r="G79" t="str">
        <f>IF('Master Sheet'!C80="Area 4 (Anitha R)",'Master Sheet'!G80,"")</f>
        <v/>
      </c>
      <c r="H79" t="str">
        <f>IF('Master Sheet'!C80="Area 4 (Anitha R)",'Master Sheet'!H80,"")</f>
        <v/>
      </c>
      <c r="I79" t="str">
        <f>IF('Master Sheet'!C80="Area 4 (Anitha R)",'Master Sheet'!I80,"")</f>
        <v/>
      </c>
      <c r="J79" t="str">
        <f>IF('Master Sheet'!C80="Area 4 (Anitha R)",'Master Sheet'!J80,"")</f>
        <v/>
      </c>
      <c r="K79" t="str">
        <f>IF('Master Sheet'!C80="Area 4 (Anitha R)",'Master Sheet'!K80,"")</f>
        <v/>
      </c>
      <c r="L79" t="str">
        <f>IF('Master Sheet'!C80="Area 4 (Anitha R)",'Master Sheet'!L80,"")</f>
        <v/>
      </c>
      <c r="M79" t="str">
        <f>IF('Master Sheet'!C80="Area 4 (Anitha R)",'Master Sheet'!M80,"")</f>
        <v/>
      </c>
      <c r="N79" t="str">
        <f>IF('Master Sheet'!C80="Area 4 (Anitha R)",'Master Sheet'!N80,"")</f>
        <v/>
      </c>
      <c r="O79" t="str">
        <f>IF('Master Sheet'!C80="Area 4 (Anitha R)",'Master Sheet'!O80,"")</f>
        <v/>
      </c>
      <c r="P79" t="str">
        <f>IF('Master Sheet'!C80="Area 4 (Anitha R)",'Master Sheet'!P80,"")</f>
        <v/>
      </c>
    </row>
    <row r="80" spans="1:16" hidden="1" x14ac:dyDescent="0.25">
      <c r="A80" t="str">
        <f>IF('Master Sheet'!C81="Area 4 (Anitha R)",'Master Sheet'!A81,"")</f>
        <v/>
      </c>
      <c r="B80" t="str">
        <f>IF('Master Sheet'!C81="Area 4 (Anitha R)",'Master Sheet'!B81,"")</f>
        <v/>
      </c>
      <c r="C80" t="s">
        <v>7</v>
      </c>
      <c r="D80" t="str">
        <f>IF('Master Sheet'!C81="Area 4 (Anitha R)",'Master Sheet'!D81,"")</f>
        <v/>
      </c>
      <c r="E80" t="str">
        <f>IF('Master Sheet'!C81="Area 4 (Anitha R)",'Master Sheet'!E81,"")</f>
        <v/>
      </c>
      <c r="F80" t="str">
        <f>IF('Master Sheet'!C81="Area 4 (Anitha R)",'Master Sheet'!F81,"")</f>
        <v/>
      </c>
      <c r="G80" t="str">
        <f>IF('Master Sheet'!C81="Area 4 (Anitha R)",'Master Sheet'!G81,"")</f>
        <v/>
      </c>
      <c r="H80" t="str">
        <f>IF('Master Sheet'!C81="Area 4 (Anitha R)",'Master Sheet'!H81,"")</f>
        <v/>
      </c>
      <c r="I80" t="str">
        <f>IF('Master Sheet'!C81="Area 4 (Anitha R)",'Master Sheet'!I81,"")</f>
        <v/>
      </c>
      <c r="J80" t="str">
        <f>IF('Master Sheet'!C81="Area 4 (Anitha R)",'Master Sheet'!J81,"")</f>
        <v/>
      </c>
      <c r="K80" t="str">
        <f>IF('Master Sheet'!C81="Area 4 (Anitha R)",'Master Sheet'!K81,"")</f>
        <v/>
      </c>
      <c r="L80" t="str">
        <f>IF('Master Sheet'!C81="Area 4 (Anitha R)",'Master Sheet'!L81,"")</f>
        <v/>
      </c>
      <c r="M80" t="str">
        <f>IF('Master Sheet'!C81="Area 4 (Anitha R)",'Master Sheet'!M81,"")</f>
        <v/>
      </c>
      <c r="N80" t="str">
        <f>IF('Master Sheet'!C81="Area 4 (Anitha R)",'Master Sheet'!N81,"")</f>
        <v/>
      </c>
      <c r="O80" t="str">
        <f>IF('Master Sheet'!C81="Area 4 (Anitha R)",'Master Sheet'!O81,"")</f>
        <v/>
      </c>
      <c r="P80" t="str">
        <f>IF('Master Sheet'!C81="Area 4 (Anitha R)",'Master Sheet'!P81,"")</f>
        <v/>
      </c>
    </row>
    <row r="81" spans="1:16" hidden="1" x14ac:dyDescent="0.25">
      <c r="A81" t="str">
        <f>IF('Master Sheet'!C82="Area 4 (Anitha R)",'Master Sheet'!A82,"")</f>
        <v/>
      </c>
      <c r="B81" t="str">
        <f>IF('Master Sheet'!C82="Area 4 (Anitha R)",'Master Sheet'!B82,"")</f>
        <v/>
      </c>
      <c r="C81" t="s">
        <v>7</v>
      </c>
      <c r="D81" t="str">
        <f>IF('Master Sheet'!C82="Area 4 (Anitha R)",'Master Sheet'!D82,"")</f>
        <v/>
      </c>
      <c r="E81" t="str">
        <f>IF('Master Sheet'!C82="Area 4 (Anitha R)",'Master Sheet'!E82,"")</f>
        <v/>
      </c>
      <c r="F81" t="str">
        <f>IF('Master Sheet'!C82="Area 4 (Anitha R)",'Master Sheet'!F82,"")</f>
        <v/>
      </c>
      <c r="G81" t="str">
        <f>IF('Master Sheet'!C82="Area 4 (Anitha R)",'Master Sheet'!G82,"")</f>
        <v/>
      </c>
      <c r="H81" t="str">
        <f>IF('Master Sheet'!C82="Area 4 (Anitha R)",'Master Sheet'!H82,"")</f>
        <v/>
      </c>
      <c r="I81" t="str">
        <f>IF('Master Sheet'!C82="Area 4 (Anitha R)",'Master Sheet'!I82,"")</f>
        <v/>
      </c>
      <c r="J81" t="str">
        <f>IF('Master Sheet'!C82="Area 4 (Anitha R)",'Master Sheet'!J82,"")</f>
        <v/>
      </c>
      <c r="K81" t="str">
        <f>IF('Master Sheet'!C82="Area 4 (Anitha R)",'Master Sheet'!K82,"")</f>
        <v/>
      </c>
      <c r="L81" t="str">
        <f>IF('Master Sheet'!C82="Area 4 (Anitha R)",'Master Sheet'!L82,"")</f>
        <v/>
      </c>
      <c r="M81" t="str">
        <f>IF('Master Sheet'!C82="Area 4 (Anitha R)",'Master Sheet'!M82,"")</f>
        <v/>
      </c>
      <c r="N81" t="str">
        <f>IF('Master Sheet'!C82="Area 4 (Anitha R)",'Master Sheet'!N82,"")</f>
        <v/>
      </c>
      <c r="O81" t="str">
        <f>IF('Master Sheet'!C82="Area 4 (Anitha R)",'Master Sheet'!O82,"")</f>
        <v/>
      </c>
      <c r="P81" t="str">
        <f>IF('Master Sheet'!C82="Area 4 (Anitha R)",'Master Sheet'!P82,"")</f>
        <v/>
      </c>
    </row>
    <row r="82" spans="1:16" hidden="1" x14ac:dyDescent="0.25">
      <c r="A82" t="str">
        <f>IF('Master Sheet'!C83="Area 4 (Anitha R)",'Master Sheet'!A83,"")</f>
        <v/>
      </c>
      <c r="B82" t="str">
        <f>IF('Master Sheet'!C83="Area 4 (Anitha R)",'Master Sheet'!B83,"")</f>
        <v/>
      </c>
      <c r="C82" t="s">
        <v>7</v>
      </c>
      <c r="D82" t="str">
        <f>IF('Master Sheet'!C83="Area 4 (Anitha R)",'Master Sheet'!D83,"")</f>
        <v/>
      </c>
      <c r="E82" t="str">
        <f>IF('Master Sheet'!C83="Area 4 (Anitha R)",'Master Sheet'!E83,"")</f>
        <v/>
      </c>
      <c r="F82" t="str">
        <f>IF('Master Sheet'!C83="Area 4 (Anitha R)",'Master Sheet'!F83,"")</f>
        <v/>
      </c>
      <c r="G82" t="str">
        <f>IF('Master Sheet'!C83="Area 4 (Anitha R)",'Master Sheet'!G83,"")</f>
        <v/>
      </c>
      <c r="H82" t="str">
        <f>IF('Master Sheet'!C83="Area 4 (Anitha R)",'Master Sheet'!H83,"")</f>
        <v/>
      </c>
      <c r="I82" t="str">
        <f>IF('Master Sheet'!C83="Area 4 (Anitha R)",'Master Sheet'!I83,"")</f>
        <v/>
      </c>
      <c r="J82" t="str">
        <f>IF('Master Sheet'!C83="Area 4 (Anitha R)",'Master Sheet'!J83,"")</f>
        <v/>
      </c>
      <c r="K82" t="str">
        <f>IF('Master Sheet'!C83="Area 4 (Anitha R)",'Master Sheet'!K83,"")</f>
        <v/>
      </c>
      <c r="L82" t="str">
        <f>IF('Master Sheet'!C83="Area 4 (Anitha R)",'Master Sheet'!L83,"")</f>
        <v/>
      </c>
      <c r="M82" t="str">
        <f>IF('Master Sheet'!C83="Area 4 (Anitha R)",'Master Sheet'!M83,"")</f>
        <v/>
      </c>
      <c r="N82" t="str">
        <f>IF('Master Sheet'!C83="Area 4 (Anitha R)",'Master Sheet'!N83,"")</f>
        <v/>
      </c>
      <c r="O82" t="str">
        <f>IF('Master Sheet'!C83="Area 4 (Anitha R)",'Master Sheet'!O83,"")</f>
        <v/>
      </c>
      <c r="P82" t="str">
        <f>IF('Master Sheet'!C83="Area 4 (Anitha R)",'Master Sheet'!P83,"")</f>
        <v/>
      </c>
    </row>
    <row r="83" spans="1:16" hidden="1" x14ac:dyDescent="0.25">
      <c r="A83" t="str">
        <f>IF('Master Sheet'!C84="Area 4 (Anitha R)",'Master Sheet'!A84,"")</f>
        <v/>
      </c>
      <c r="B83" t="str">
        <f>IF('Master Sheet'!C84="Area 4 (Anitha R)",'Master Sheet'!B84,"")</f>
        <v/>
      </c>
      <c r="C83" t="s">
        <v>7</v>
      </c>
      <c r="D83" t="str">
        <f>IF('Master Sheet'!C84="Area 4 (Anitha R)",'Master Sheet'!D84,"")</f>
        <v/>
      </c>
      <c r="E83" t="str">
        <f>IF('Master Sheet'!C84="Area 4 (Anitha R)",'Master Sheet'!E84,"")</f>
        <v/>
      </c>
      <c r="F83" t="str">
        <f>IF('Master Sheet'!C84="Area 4 (Anitha R)",'Master Sheet'!F84,"")</f>
        <v/>
      </c>
      <c r="G83" t="str">
        <f>IF('Master Sheet'!C84="Area 4 (Anitha R)",'Master Sheet'!G84,"")</f>
        <v/>
      </c>
      <c r="H83" t="str">
        <f>IF('Master Sheet'!C84="Area 4 (Anitha R)",'Master Sheet'!H84,"")</f>
        <v/>
      </c>
      <c r="I83" t="str">
        <f>IF('Master Sheet'!C84="Area 4 (Anitha R)",'Master Sheet'!I84,"")</f>
        <v/>
      </c>
      <c r="J83" t="str">
        <f>IF('Master Sheet'!C84="Area 4 (Anitha R)",'Master Sheet'!J84,"")</f>
        <v/>
      </c>
      <c r="K83" t="str">
        <f>IF('Master Sheet'!C84="Area 4 (Anitha R)",'Master Sheet'!K84,"")</f>
        <v/>
      </c>
      <c r="L83" t="str">
        <f>IF('Master Sheet'!C84="Area 4 (Anitha R)",'Master Sheet'!L84,"")</f>
        <v/>
      </c>
      <c r="M83" t="str">
        <f>IF('Master Sheet'!C84="Area 4 (Anitha R)",'Master Sheet'!M84,"")</f>
        <v/>
      </c>
      <c r="N83" t="str">
        <f>IF('Master Sheet'!C84="Area 4 (Anitha R)",'Master Sheet'!N84,"")</f>
        <v/>
      </c>
      <c r="O83" t="str">
        <f>IF('Master Sheet'!C84="Area 4 (Anitha R)",'Master Sheet'!O84,"")</f>
        <v/>
      </c>
      <c r="P83" t="str">
        <f>IF('Master Sheet'!C84="Area 4 (Anitha R)",'Master Sheet'!P84,"")</f>
        <v/>
      </c>
    </row>
    <row r="84" spans="1:16" hidden="1" x14ac:dyDescent="0.25">
      <c r="A84" t="str">
        <f>IF('Master Sheet'!C85="Area 4 (Anitha R)",'Master Sheet'!A85,"")</f>
        <v/>
      </c>
      <c r="B84" t="str">
        <f>IF('Master Sheet'!C85="Area 4 (Anitha R)",'Master Sheet'!B85,"")</f>
        <v/>
      </c>
      <c r="C84" t="s">
        <v>7</v>
      </c>
      <c r="D84" t="str">
        <f>IF('Master Sheet'!C85="Area 4 (Anitha R)",'Master Sheet'!D85,"")</f>
        <v/>
      </c>
      <c r="E84" t="str">
        <f>IF('Master Sheet'!C85="Area 4 (Anitha R)",'Master Sheet'!E85,"")</f>
        <v/>
      </c>
      <c r="F84" t="str">
        <f>IF('Master Sheet'!C85="Area 4 (Anitha R)",'Master Sheet'!F85,"")</f>
        <v/>
      </c>
      <c r="G84" t="str">
        <f>IF('Master Sheet'!C85="Area 4 (Anitha R)",'Master Sheet'!G85,"")</f>
        <v/>
      </c>
      <c r="H84" t="str">
        <f>IF('Master Sheet'!C85="Area 4 (Anitha R)",'Master Sheet'!H85,"")</f>
        <v/>
      </c>
      <c r="I84" t="str">
        <f>IF('Master Sheet'!C85="Area 4 (Anitha R)",'Master Sheet'!I85,"")</f>
        <v/>
      </c>
      <c r="J84" t="str">
        <f>IF('Master Sheet'!C85="Area 4 (Anitha R)",'Master Sheet'!J85,"")</f>
        <v/>
      </c>
      <c r="K84" t="str">
        <f>IF('Master Sheet'!C85="Area 4 (Anitha R)",'Master Sheet'!K85,"")</f>
        <v/>
      </c>
      <c r="L84" t="str">
        <f>IF('Master Sheet'!C85="Area 4 (Anitha R)",'Master Sheet'!L85,"")</f>
        <v/>
      </c>
      <c r="M84" t="str">
        <f>IF('Master Sheet'!C85="Area 4 (Anitha R)",'Master Sheet'!M85,"")</f>
        <v/>
      </c>
      <c r="N84" t="str">
        <f>IF('Master Sheet'!C85="Area 4 (Anitha R)",'Master Sheet'!N85,"")</f>
        <v/>
      </c>
      <c r="O84" t="str">
        <f>IF('Master Sheet'!C85="Area 4 (Anitha R)",'Master Sheet'!O85,"")</f>
        <v/>
      </c>
      <c r="P84" t="str">
        <f>IF('Master Sheet'!C85="Area 4 (Anitha R)",'Master Sheet'!P85,"")</f>
        <v/>
      </c>
    </row>
    <row r="85" spans="1:16" hidden="1" x14ac:dyDescent="0.25">
      <c r="A85" t="str">
        <f>IF('Master Sheet'!C86="Area 4 (Anitha R)",'Master Sheet'!A86,"")</f>
        <v/>
      </c>
      <c r="B85" t="str">
        <f>IF('Master Sheet'!C86="Area 4 (Anitha R)",'Master Sheet'!B86,"")</f>
        <v/>
      </c>
      <c r="C85" t="s">
        <v>7</v>
      </c>
      <c r="D85" t="str">
        <f>IF('Master Sheet'!C86="Area 4 (Anitha R)",'Master Sheet'!D86,"")</f>
        <v/>
      </c>
      <c r="E85" t="str">
        <f>IF('Master Sheet'!C86="Area 4 (Anitha R)",'Master Sheet'!E86,"")</f>
        <v/>
      </c>
      <c r="F85" t="str">
        <f>IF('Master Sheet'!C86="Area 4 (Anitha R)",'Master Sheet'!F86,"")</f>
        <v/>
      </c>
      <c r="G85" t="str">
        <f>IF('Master Sheet'!C86="Area 4 (Anitha R)",'Master Sheet'!G86,"")</f>
        <v/>
      </c>
      <c r="H85" t="str">
        <f>IF('Master Sheet'!C86="Area 4 (Anitha R)",'Master Sheet'!H86,"")</f>
        <v/>
      </c>
      <c r="I85" t="str">
        <f>IF('Master Sheet'!C86="Area 4 (Anitha R)",'Master Sheet'!I86,"")</f>
        <v/>
      </c>
      <c r="J85" t="str">
        <f>IF('Master Sheet'!C86="Area 4 (Anitha R)",'Master Sheet'!J86,"")</f>
        <v/>
      </c>
      <c r="K85" t="str">
        <f>IF('Master Sheet'!C86="Area 4 (Anitha R)",'Master Sheet'!K86,"")</f>
        <v/>
      </c>
      <c r="L85" t="str">
        <f>IF('Master Sheet'!C86="Area 4 (Anitha R)",'Master Sheet'!L86,"")</f>
        <v/>
      </c>
      <c r="M85" t="str">
        <f>IF('Master Sheet'!C86="Area 4 (Anitha R)",'Master Sheet'!M86,"")</f>
        <v/>
      </c>
      <c r="N85" t="str">
        <f>IF('Master Sheet'!C86="Area 4 (Anitha R)",'Master Sheet'!N86,"")</f>
        <v/>
      </c>
      <c r="O85" t="str">
        <f>IF('Master Sheet'!C86="Area 4 (Anitha R)",'Master Sheet'!O86,"")</f>
        <v/>
      </c>
      <c r="P85" t="str">
        <f>IF('Master Sheet'!C86="Area 4 (Anitha R)",'Master Sheet'!P86,"")</f>
        <v/>
      </c>
    </row>
    <row r="86" spans="1:16" hidden="1" x14ac:dyDescent="0.25">
      <c r="A86" t="str">
        <f>IF('Master Sheet'!C87="Area 4 (Anitha R)",'Master Sheet'!A87,"")</f>
        <v/>
      </c>
      <c r="B86" t="str">
        <f>IF('Master Sheet'!C87="Area 4 (Anitha R)",'Master Sheet'!B87,"")</f>
        <v/>
      </c>
      <c r="C86" t="s">
        <v>7</v>
      </c>
      <c r="D86" t="str">
        <f>IF('Master Sheet'!C87="Area 4 (Anitha R)",'Master Sheet'!D87,"")</f>
        <v/>
      </c>
      <c r="E86" t="str">
        <f>IF('Master Sheet'!C87="Area 4 (Anitha R)",'Master Sheet'!E87,"")</f>
        <v/>
      </c>
      <c r="F86" t="str">
        <f>IF('Master Sheet'!C87="Area 4 (Anitha R)",'Master Sheet'!F87,"")</f>
        <v/>
      </c>
      <c r="G86" t="str">
        <f>IF('Master Sheet'!C87="Area 4 (Anitha R)",'Master Sheet'!G87,"")</f>
        <v/>
      </c>
      <c r="H86" t="str">
        <f>IF('Master Sheet'!C87="Area 4 (Anitha R)",'Master Sheet'!H87,"")</f>
        <v/>
      </c>
      <c r="I86" t="str">
        <f>IF('Master Sheet'!C87="Area 4 (Anitha R)",'Master Sheet'!I87,"")</f>
        <v/>
      </c>
      <c r="J86" t="str">
        <f>IF('Master Sheet'!C87="Area 4 (Anitha R)",'Master Sheet'!J87,"")</f>
        <v/>
      </c>
      <c r="K86" t="str">
        <f>IF('Master Sheet'!C87="Area 4 (Anitha R)",'Master Sheet'!K87,"")</f>
        <v/>
      </c>
      <c r="L86" t="str">
        <f>IF('Master Sheet'!C87="Area 4 (Anitha R)",'Master Sheet'!L87,"")</f>
        <v/>
      </c>
      <c r="M86" t="str">
        <f>IF('Master Sheet'!C87="Area 4 (Anitha R)",'Master Sheet'!M87,"")</f>
        <v/>
      </c>
      <c r="N86" t="str">
        <f>IF('Master Sheet'!C87="Area 4 (Anitha R)",'Master Sheet'!N87,"")</f>
        <v/>
      </c>
      <c r="O86" t="str">
        <f>IF('Master Sheet'!C87="Area 4 (Anitha R)",'Master Sheet'!O87,"")</f>
        <v/>
      </c>
      <c r="P86" t="str">
        <f>IF('Master Sheet'!C87="Area 4 (Anitha R)",'Master Sheet'!P87,"")</f>
        <v/>
      </c>
    </row>
    <row r="87" spans="1:16" hidden="1" x14ac:dyDescent="0.25">
      <c r="A87" t="str">
        <f>IF('Master Sheet'!C88="Area 4 (Anitha R)",'Master Sheet'!A88,"")</f>
        <v/>
      </c>
      <c r="B87" t="str">
        <f>IF('Master Sheet'!C88="Area 4 (Anitha R)",'Master Sheet'!B88,"")</f>
        <v/>
      </c>
      <c r="C87" t="s">
        <v>7</v>
      </c>
      <c r="D87" t="str">
        <f>IF('Master Sheet'!C88="Area 4 (Anitha R)",'Master Sheet'!D88,"")</f>
        <v/>
      </c>
      <c r="E87" t="str">
        <f>IF('Master Sheet'!C88="Area 4 (Anitha R)",'Master Sheet'!E88,"")</f>
        <v/>
      </c>
      <c r="F87" t="str">
        <f>IF('Master Sheet'!C88="Area 4 (Anitha R)",'Master Sheet'!F88,"")</f>
        <v/>
      </c>
      <c r="G87" t="str">
        <f>IF('Master Sheet'!C88="Area 4 (Anitha R)",'Master Sheet'!G88,"")</f>
        <v/>
      </c>
      <c r="H87" t="str">
        <f>IF('Master Sheet'!C88="Area 4 (Anitha R)",'Master Sheet'!H88,"")</f>
        <v/>
      </c>
      <c r="I87" t="str">
        <f>IF('Master Sheet'!C88="Area 4 (Anitha R)",'Master Sheet'!I88,"")</f>
        <v/>
      </c>
      <c r="J87" t="str">
        <f>IF('Master Sheet'!C88="Area 4 (Anitha R)",'Master Sheet'!J88,"")</f>
        <v/>
      </c>
      <c r="K87" t="str">
        <f>IF('Master Sheet'!C88="Area 4 (Anitha R)",'Master Sheet'!K88,"")</f>
        <v/>
      </c>
      <c r="L87" t="str">
        <f>IF('Master Sheet'!C88="Area 4 (Anitha R)",'Master Sheet'!L88,"")</f>
        <v/>
      </c>
      <c r="M87" t="str">
        <f>IF('Master Sheet'!C88="Area 4 (Anitha R)",'Master Sheet'!M88,"")</f>
        <v/>
      </c>
      <c r="N87" t="str">
        <f>IF('Master Sheet'!C88="Area 4 (Anitha R)",'Master Sheet'!N88,"")</f>
        <v/>
      </c>
      <c r="O87" t="str">
        <f>IF('Master Sheet'!C88="Area 4 (Anitha R)",'Master Sheet'!O88,"")</f>
        <v/>
      </c>
      <c r="P87" t="str">
        <f>IF('Master Sheet'!C88="Area 4 (Anitha R)",'Master Sheet'!P88,"")</f>
        <v/>
      </c>
    </row>
    <row r="88" spans="1:16" hidden="1" x14ac:dyDescent="0.25">
      <c r="A88" t="str">
        <f>IF('Master Sheet'!C89="Area 4 (Anitha R)",'Master Sheet'!A89,"")</f>
        <v/>
      </c>
      <c r="B88" t="str">
        <f>IF('Master Sheet'!C89="Area 4 (Anitha R)",'Master Sheet'!B89,"")</f>
        <v/>
      </c>
      <c r="C88" t="s">
        <v>7</v>
      </c>
      <c r="D88" t="str">
        <f>IF('Master Sheet'!C89="Area 4 (Anitha R)",'Master Sheet'!D89,"")</f>
        <v/>
      </c>
      <c r="E88" t="str">
        <f>IF('Master Sheet'!C89="Area 4 (Anitha R)",'Master Sheet'!E89,"")</f>
        <v/>
      </c>
      <c r="F88" t="str">
        <f>IF('Master Sheet'!C89="Area 4 (Anitha R)",'Master Sheet'!F89,"")</f>
        <v/>
      </c>
      <c r="G88" t="str">
        <f>IF('Master Sheet'!C89="Area 4 (Anitha R)",'Master Sheet'!G89,"")</f>
        <v/>
      </c>
      <c r="H88" t="str">
        <f>IF('Master Sheet'!C89="Area 4 (Anitha R)",'Master Sheet'!H89,"")</f>
        <v/>
      </c>
      <c r="I88" t="str">
        <f>IF('Master Sheet'!C89="Area 4 (Anitha R)",'Master Sheet'!I89,"")</f>
        <v/>
      </c>
      <c r="J88" t="str">
        <f>IF('Master Sheet'!C89="Area 4 (Anitha R)",'Master Sheet'!J89,"")</f>
        <v/>
      </c>
      <c r="K88" t="str">
        <f>IF('Master Sheet'!C89="Area 4 (Anitha R)",'Master Sheet'!K89,"")</f>
        <v/>
      </c>
      <c r="L88" t="str">
        <f>IF('Master Sheet'!C89="Area 4 (Anitha R)",'Master Sheet'!L89,"")</f>
        <v/>
      </c>
      <c r="M88" t="str">
        <f>IF('Master Sheet'!C89="Area 4 (Anitha R)",'Master Sheet'!M89,"")</f>
        <v/>
      </c>
      <c r="N88" t="str">
        <f>IF('Master Sheet'!C89="Area 4 (Anitha R)",'Master Sheet'!N89,"")</f>
        <v/>
      </c>
      <c r="O88" t="str">
        <f>IF('Master Sheet'!C89="Area 4 (Anitha R)",'Master Sheet'!O89,"")</f>
        <v/>
      </c>
      <c r="P88" t="str">
        <f>IF('Master Sheet'!C89="Area 4 (Anitha R)",'Master Sheet'!P89,"")</f>
        <v/>
      </c>
    </row>
    <row r="89" spans="1:16" hidden="1" x14ac:dyDescent="0.25">
      <c r="A89" t="str">
        <f>IF('Master Sheet'!C90="Area 4 (Anitha R)",'Master Sheet'!A90,"")</f>
        <v/>
      </c>
      <c r="B89" t="str">
        <f>IF('Master Sheet'!C90="Area 4 (Anitha R)",'Master Sheet'!B90,"")</f>
        <v/>
      </c>
      <c r="C89" t="s">
        <v>7</v>
      </c>
      <c r="D89" t="str">
        <f>IF('Master Sheet'!C90="Area 4 (Anitha R)",'Master Sheet'!D90,"")</f>
        <v/>
      </c>
      <c r="E89" t="str">
        <f>IF('Master Sheet'!C90="Area 4 (Anitha R)",'Master Sheet'!E90,"")</f>
        <v/>
      </c>
      <c r="F89" t="str">
        <f>IF('Master Sheet'!C90="Area 4 (Anitha R)",'Master Sheet'!F90,"")</f>
        <v/>
      </c>
      <c r="G89" t="str">
        <f>IF('Master Sheet'!C90="Area 4 (Anitha R)",'Master Sheet'!G90,"")</f>
        <v/>
      </c>
      <c r="H89" t="str">
        <f>IF('Master Sheet'!C90="Area 4 (Anitha R)",'Master Sheet'!H90,"")</f>
        <v/>
      </c>
      <c r="I89" t="str">
        <f>IF('Master Sheet'!C90="Area 4 (Anitha R)",'Master Sheet'!I90,"")</f>
        <v/>
      </c>
      <c r="J89" t="str">
        <f>IF('Master Sheet'!C90="Area 4 (Anitha R)",'Master Sheet'!J90,"")</f>
        <v/>
      </c>
      <c r="K89" t="str">
        <f>IF('Master Sheet'!C90="Area 4 (Anitha R)",'Master Sheet'!K90,"")</f>
        <v/>
      </c>
      <c r="L89" t="str">
        <f>IF('Master Sheet'!C90="Area 4 (Anitha R)",'Master Sheet'!L90,"")</f>
        <v/>
      </c>
      <c r="M89" t="str">
        <f>IF('Master Sheet'!C90="Area 4 (Anitha R)",'Master Sheet'!M90,"")</f>
        <v/>
      </c>
      <c r="N89" t="str">
        <f>IF('Master Sheet'!C90="Area 4 (Anitha R)",'Master Sheet'!N90,"")</f>
        <v/>
      </c>
      <c r="O89" t="str">
        <f>IF('Master Sheet'!C90="Area 4 (Anitha R)",'Master Sheet'!O90,"")</f>
        <v/>
      </c>
      <c r="P89" t="str">
        <f>IF('Master Sheet'!C90="Area 4 (Anitha R)",'Master Sheet'!P90,"")</f>
        <v/>
      </c>
    </row>
    <row r="90" spans="1:16" hidden="1" x14ac:dyDescent="0.25">
      <c r="A90" t="str">
        <f>IF('Master Sheet'!C91="Area 4 (Anitha R)",'Master Sheet'!A91,"")</f>
        <v/>
      </c>
      <c r="B90" t="str">
        <f>IF('Master Sheet'!C91="Area 4 (Anitha R)",'Master Sheet'!B91,"")</f>
        <v/>
      </c>
      <c r="C90" t="s">
        <v>7</v>
      </c>
      <c r="D90" t="str">
        <f>IF('Master Sheet'!C91="Area 4 (Anitha R)",'Master Sheet'!D91,"")</f>
        <v/>
      </c>
      <c r="E90" t="str">
        <f>IF('Master Sheet'!C91="Area 4 (Anitha R)",'Master Sheet'!E91,"")</f>
        <v/>
      </c>
      <c r="F90" t="str">
        <f>IF('Master Sheet'!C91="Area 4 (Anitha R)",'Master Sheet'!F91,"")</f>
        <v/>
      </c>
      <c r="G90" t="str">
        <f>IF('Master Sheet'!C91="Area 4 (Anitha R)",'Master Sheet'!G91,"")</f>
        <v/>
      </c>
      <c r="H90" t="str">
        <f>IF('Master Sheet'!C91="Area 4 (Anitha R)",'Master Sheet'!H91,"")</f>
        <v/>
      </c>
      <c r="I90" t="str">
        <f>IF('Master Sheet'!C91="Area 4 (Anitha R)",'Master Sheet'!I91,"")</f>
        <v/>
      </c>
      <c r="J90" t="str">
        <f>IF('Master Sheet'!C91="Area 4 (Anitha R)",'Master Sheet'!J91,"")</f>
        <v/>
      </c>
      <c r="K90" t="str">
        <f>IF('Master Sheet'!C91="Area 4 (Anitha R)",'Master Sheet'!K91,"")</f>
        <v/>
      </c>
      <c r="L90" t="str">
        <f>IF('Master Sheet'!C91="Area 4 (Anitha R)",'Master Sheet'!L91,"")</f>
        <v/>
      </c>
      <c r="M90" t="str">
        <f>IF('Master Sheet'!C91="Area 4 (Anitha R)",'Master Sheet'!M91,"")</f>
        <v/>
      </c>
      <c r="N90" t="str">
        <f>IF('Master Sheet'!C91="Area 4 (Anitha R)",'Master Sheet'!N91,"")</f>
        <v/>
      </c>
      <c r="O90" t="str">
        <f>IF('Master Sheet'!C91="Area 4 (Anitha R)",'Master Sheet'!O91,"")</f>
        <v/>
      </c>
      <c r="P90" t="str">
        <f>IF('Master Sheet'!C91="Area 4 (Anitha R)",'Master Sheet'!P91,"")</f>
        <v/>
      </c>
    </row>
    <row r="91" spans="1:16" hidden="1" x14ac:dyDescent="0.25">
      <c r="A91" t="str">
        <f>IF('Master Sheet'!C92="Area 4 (Anitha R)",'Master Sheet'!A92,"")</f>
        <v/>
      </c>
      <c r="B91" t="str">
        <f>IF('Master Sheet'!C92="Area 4 (Anitha R)",'Master Sheet'!B92,"")</f>
        <v/>
      </c>
      <c r="C91" t="s">
        <v>7</v>
      </c>
      <c r="D91" t="str">
        <f>IF('Master Sheet'!C92="Area 4 (Anitha R)",'Master Sheet'!D92,"")</f>
        <v/>
      </c>
      <c r="E91" t="str">
        <f>IF('Master Sheet'!C92="Area 4 (Anitha R)",'Master Sheet'!E92,"")</f>
        <v/>
      </c>
      <c r="F91" t="str">
        <f>IF('Master Sheet'!C92="Area 4 (Anitha R)",'Master Sheet'!F92,"")</f>
        <v/>
      </c>
      <c r="G91" t="str">
        <f>IF('Master Sheet'!C92="Area 4 (Anitha R)",'Master Sheet'!G92,"")</f>
        <v/>
      </c>
      <c r="H91" t="str">
        <f>IF('Master Sheet'!C92="Area 4 (Anitha R)",'Master Sheet'!H92,"")</f>
        <v/>
      </c>
      <c r="I91" t="str">
        <f>IF('Master Sheet'!C92="Area 4 (Anitha R)",'Master Sheet'!I92,"")</f>
        <v/>
      </c>
      <c r="J91" t="str">
        <f>IF('Master Sheet'!C92="Area 4 (Anitha R)",'Master Sheet'!J92,"")</f>
        <v/>
      </c>
      <c r="K91" t="str">
        <f>IF('Master Sheet'!C92="Area 4 (Anitha R)",'Master Sheet'!K92,"")</f>
        <v/>
      </c>
      <c r="L91" t="str">
        <f>IF('Master Sheet'!C92="Area 4 (Anitha R)",'Master Sheet'!L92,"")</f>
        <v/>
      </c>
      <c r="M91" t="str">
        <f>IF('Master Sheet'!C92="Area 4 (Anitha R)",'Master Sheet'!M92,"")</f>
        <v/>
      </c>
      <c r="N91" t="str">
        <f>IF('Master Sheet'!C92="Area 4 (Anitha R)",'Master Sheet'!N92,"")</f>
        <v/>
      </c>
      <c r="O91" t="str">
        <f>IF('Master Sheet'!C92="Area 4 (Anitha R)",'Master Sheet'!O92,"")</f>
        <v/>
      </c>
      <c r="P91" t="str">
        <f>IF('Master Sheet'!C92="Area 4 (Anitha R)",'Master Sheet'!P92,"")</f>
        <v/>
      </c>
    </row>
    <row r="92" spans="1:16" hidden="1" x14ac:dyDescent="0.25">
      <c r="A92" t="str">
        <f>IF('Master Sheet'!C93="Area 4 (Anitha R)",'Master Sheet'!A93,"")</f>
        <v/>
      </c>
      <c r="B92" t="str">
        <f>IF('Master Sheet'!C93="Area 4 (Anitha R)",'Master Sheet'!B93,"")</f>
        <v/>
      </c>
      <c r="C92" t="s">
        <v>7</v>
      </c>
      <c r="D92" t="str">
        <f>IF('Master Sheet'!C93="Area 4 (Anitha R)",'Master Sheet'!D93,"")</f>
        <v/>
      </c>
      <c r="E92" t="str">
        <f>IF('Master Sheet'!C93="Area 4 (Anitha R)",'Master Sheet'!E93,"")</f>
        <v/>
      </c>
      <c r="F92" t="str">
        <f>IF('Master Sheet'!C93="Area 4 (Anitha R)",'Master Sheet'!F93,"")</f>
        <v/>
      </c>
      <c r="G92" t="str">
        <f>IF('Master Sheet'!C93="Area 4 (Anitha R)",'Master Sheet'!G93,"")</f>
        <v/>
      </c>
      <c r="H92" t="str">
        <f>IF('Master Sheet'!C93="Area 4 (Anitha R)",'Master Sheet'!H93,"")</f>
        <v/>
      </c>
      <c r="I92" t="str">
        <f>IF('Master Sheet'!C93="Area 4 (Anitha R)",'Master Sheet'!I93,"")</f>
        <v/>
      </c>
      <c r="J92" t="str">
        <f>IF('Master Sheet'!C93="Area 4 (Anitha R)",'Master Sheet'!J93,"")</f>
        <v/>
      </c>
      <c r="K92" t="str">
        <f>IF('Master Sheet'!C93="Area 4 (Anitha R)",'Master Sheet'!K93,"")</f>
        <v/>
      </c>
      <c r="L92" t="str">
        <f>IF('Master Sheet'!C93="Area 4 (Anitha R)",'Master Sheet'!L93,"")</f>
        <v/>
      </c>
      <c r="M92" t="str">
        <f>IF('Master Sheet'!C93="Area 4 (Anitha R)",'Master Sheet'!M93,"")</f>
        <v/>
      </c>
      <c r="N92" t="str">
        <f>IF('Master Sheet'!C93="Area 4 (Anitha R)",'Master Sheet'!N93,"")</f>
        <v/>
      </c>
      <c r="O92" t="str">
        <f>IF('Master Sheet'!C93="Area 4 (Anitha R)",'Master Sheet'!O93,"")</f>
        <v/>
      </c>
      <c r="P92" t="str">
        <f>IF('Master Sheet'!C93="Area 4 (Anitha R)",'Master Sheet'!P93,"")</f>
        <v/>
      </c>
    </row>
    <row r="93" spans="1:16" hidden="1" x14ac:dyDescent="0.25">
      <c r="A93" t="str">
        <f>IF('Master Sheet'!C94="Area 4 (Anitha R)",'Master Sheet'!A94,"")</f>
        <v/>
      </c>
      <c r="B93" t="str">
        <f>IF('Master Sheet'!C94="Area 4 (Anitha R)",'Master Sheet'!B94,"")</f>
        <v/>
      </c>
      <c r="C93" t="s">
        <v>7</v>
      </c>
      <c r="D93" t="str">
        <f>IF('Master Sheet'!C94="Area 4 (Anitha R)",'Master Sheet'!D94,"")</f>
        <v/>
      </c>
      <c r="E93" t="str">
        <f>IF('Master Sheet'!C94="Area 4 (Anitha R)",'Master Sheet'!E94,"")</f>
        <v/>
      </c>
      <c r="F93" t="str">
        <f>IF('Master Sheet'!C94="Area 4 (Anitha R)",'Master Sheet'!F94,"")</f>
        <v/>
      </c>
      <c r="G93" t="str">
        <f>IF('Master Sheet'!C94="Area 4 (Anitha R)",'Master Sheet'!G94,"")</f>
        <v/>
      </c>
      <c r="H93" t="str">
        <f>IF('Master Sheet'!C94="Area 4 (Anitha R)",'Master Sheet'!H94,"")</f>
        <v/>
      </c>
      <c r="I93" t="str">
        <f>IF('Master Sheet'!C94="Area 4 (Anitha R)",'Master Sheet'!I94,"")</f>
        <v/>
      </c>
      <c r="J93" t="str">
        <f>IF('Master Sheet'!C94="Area 4 (Anitha R)",'Master Sheet'!J94,"")</f>
        <v/>
      </c>
      <c r="K93" t="str">
        <f>IF('Master Sheet'!C94="Area 4 (Anitha R)",'Master Sheet'!K94,"")</f>
        <v/>
      </c>
      <c r="L93" t="str">
        <f>IF('Master Sheet'!C94="Area 4 (Anitha R)",'Master Sheet'!L94,"")</f>
        <v/>
      </c>
      <c r="M93" t="str">
        <f>IF('Master Sheet'!C94="Area 4 (Anitha R)",'Master Sheet'!M94,"")</f>
        <v/>
      </c>
      <c r="N93" t="str">
        <f>IF('Master Sheet'!C94="Area 4 (Anitha R)",'Master Sheet'!N94,"")</f>
        <v/>
      </c>
      <c r="O93" t="str">
        <f>IF('Master Sheet'!C94="Area 4 (Anitha R)",'Master Sheet'!O94,"")</f>
        <v/>
      </c>
      <c r="P93" t="str">
        <f>IF('Master Sheet'!C94="Area 4 (Anitha R)",'Master Sheet'!P94,"")</f>
        <v/>
      </c>
    </row>
    <row r="94" spans="1:16" hidden="1" x14ac:dyDescent="0.25">
      <c r="A94" t="str">
        <f>IF('Master Sheet'!C95="Area 4 (Anitha R)",'Master Sheet'!A95,"")</f>
        <v/>
      </c>
      <c r="B94" t="str">
        <f>IF('Master Sheet'!C95="Area 4 (Anitha R)",'Master Sheet'!B95,"")</f>
        <v/>
      </c>
      <c r="C94" t="s">
        <v>7</v>
      </c>
      <c r="D94" t="str">
        <f>IF('Master Sheet'!C95="Area 4 (Anitha R)",'Master Sheet'!D95,"")</f>
        <v/>
      </c>
      <c r="E94" t="str">
        <f>IF('Master Sheet'!C95="Area 4 (Anitha R)",'Master Sheet'!E95,"")</f>
        <v/>
      </c>
      <c r="F94" t="str">
        <f>IF('Master Sheet'!C95="Area 4 (Anitha R)",'Master Sheet'!F95,"")</f>
        <v/>
      </c>
      <c r="G94" t="str">
        <f>IF('Master Sheet'!C95="Area 4 (Anitha R)",'Master Sheet'!G95,"")</f>
        <v/>
      </c>
      <c r="H94" t="str">
        <f>IF('Master Sheet'!C95="Area 4 (Anitha R)",'Master Sheet'!H95,"")</f>
        <v/>
      </c>
      <c r="I94" t="str">
        <f>IF('Master Sheet'!C95="Area 4 (Anitha R)",'Master Sheet'!I95,"")</f>
        <v/>
      </c>
      <c r="J94" t="str">
        <f>IF('Master Sheet'!C95="Area 4 (Anitha R)",'Master Sheet'!J95,"")</f>
        <v/>
      </c>
      <c r="K94" t="str">
        <f>IF('Master Sheet'!C95="Area 4 (Anitha R)",'Master Sheet'!K95,"")</f>
        <v/>
      </c>
      <c r="L94" t="str">
        <f>IF('Master Sheet'!C95="Area 4 (Anitha R)",'Master Sheet'!L95,"")</f>
        <v/>
      </c>
      <c r="M94" t="str">
        <f>IF('Master Sheet'!C95="Area 4 (Anitha R)",'Master Sheet'!M95,"")</f>
        <v/>
      </c>
      <c r="N94" t="str">
        <f>IF('Master Sheet'!C95="Area 4 (Anitha R)",'Master Sheet'!N95,"")</f>
        <v/>
      </c>
      <c r="O94" t="str">
        <f>IF('Master Sheet'!C95="Area 4 (Anitha R)",'Master Sheet'!O95,"")</f>
        <v/>
      </c>
      <c r="P94" t="str">
        <f>IF('Master Sheet'!C95="Area 4 (Anitha R)",'Master Sheet'!P95,"")</f>
        <v/>
      </c>
    </row>
    <row r="95" spans="1:16" hidden="1" x14ac:dyDescent="0.25">
      <c r="A95" t="str">
        <f>IF('Master Sheet'!C96="Area 4 (Anitha R)",'Master Sheet'!A96,"")</f>
        <v/>
      </c>
      <c r="B95" t="str">
        <f>IF('Master Sheet'!C96="Area 4 (Anitha R)",'Master Sheet'!B96,"")</f>
        <v/>
      </c>
      <c r="C95" t="s">
        <v>7</v>
      </c>
      <c r="D95" t="str">
        <f>IF('Master Sheet'!C96="Area 4 (Anitha R)",'Master Sheet'!D96,"")</f>
        <v/>
      </c>
      <c r="E95" t="str">
        <f>IF('Master Sheet'!C96="Area 4 (Anitha R)",'Master Sheet'!E96,"")</f>
        <v/>
      </c>
      <c r="F95" t="str">
        <f>IF('Master Sheet'!C96="Area 4 (Anitha R)",'Master Sheet'!F96,"")</f>
        <v/>
      </c>
      <c r="G95" t="str">
        <f>IF('Master Sheet'!C96="Area 4 (Anitha R)",'Master Sheet'!G96,"")</f>
        <v/>
      </c>
      <c r="H95" t="str">
        <f>IF('Master Sheet'!C96="Area 4 (Anitha R)",'Master Sheet'!H96,"")</f>
        <v/>
      </c>
      <c r="I95" t="str">
        <f>IF('Master Sheet'!C96="Area 4 (Anitha R)",'Master Sheet'!I96,"")</f>
        <v/>
      </c>
      <c r="J95" t="str">
        <f>IF('Master Sheet'!C96="Area 4 (Anitha R)",'Master Sheet'!J96,"")</f>
        <v/>
      </c>
      <c r="K95" t="str">
        <f>IF('Master Sheet'!C96="Area 4 (Anitha R)",'Master Sheet'!K96,"")</f>
        <v/>
      </c>
      <c r="L95" t="str">
        <f>IF('Master Sheet'!C96="Area 4 (Anitha R)",'Master Sheet'!L96,"")</f>
        <v/>
      </c>
      <c r="M95" t="str">
        <f>IF('Master Sheet'!C96="Area 4 (Anitha R)",'Master Sheet'!M96,"")</f>
        <v/>
      </c>
      <c r="N95" t="str">
        <f>IF('Master Sheet'!C96="Area 4 (Anitha R)",'Master Sheet'!N96,"")</f>
        <v/>
      </c>
      <c r="O95" t="str">
        <f>IF('Master Sheet'!C96="Area 4 (Anitha R)",'Master Sheet'!O96,"")</f>
        <v/>
      </c>
      <c r="P95" t="str">
        <f>IF('Master Sheet'!C96="Area 4 (Anitha R)",'Master Sheet'!P96,"")</f>
        <v/>
      </c>
    </row>
    <row r="96" spans="1:16" hidden="1" x14ac:dyDescent="0.25">
      <c r="A96" t="str">
        <f>IF('Master Sheet'!C97="Area 4 (Anitha R)",'Master Sheet'!A97,"")</f>
        <v/>
      </c>
      <c r="B96" t="str">
        <f>IF('Master Sheet'!C97="Area 4 (Anitha R)",'Master Sheet'!B97,"")</f>
        <v/>
      </c>
      <c r="C96" t="s">
        <v>7</v>
      </c>
      <c r="D96" t="str">
        <f>IF('Master Sheet'!C97="Area 4 (Anitha R)",'Master Sheet'!D97,"")</f>
        <v/>
      </c>
      <c r="E96" t="str">
        <f>IF('Master Sheet'!C97="Area 4 (Anitha R)",'Master Sheet'!E97,"")</f>
        <v/>
      </c>
      <c r="F96" t="str">
        <f>IF('Master Sheet'!C97="Area 4 (Anitha R)",'Master Sheet'!F97,"")</f>
        <v/>
      </c>
      <c r="G96" t="str">
        <f>IF('Master Sheet'!C97="Area 4 (Anitha R)",'Master Sheet'!G97,"")</f>
        <v/>
      </c>
      <c r="H96" t="str">
        <f>IF('Master Sheet'!C97="Area 4 (Anitha R)",'Master Sheet'!H97,"")</f>
        <v/>
      </c>
      <c r="I96" t="str">
        <f>IF('Master Sheet'!C97="Area 4 (Anitha R)",'Master Sheet'!I97,"")</f>
        <v/>
      </c>
      <c r="J96" t="str">
        <f>IF('Master Sheet'!C97="Area 4 (Anitha R)",'Master Sheet'!J97,"")</f>
        <v/>
      </c>
      <c r="K96" t="str">
        <f>IF('Master Sheet'!C97="Area 4 (Anitha R)",'Master Sheet'!K97,"")</f>
        <v/>
      </c>
      <c r="L96" t="str">
        <f>IF('Master Sheet'!C97="Area 4 (Anitha R)",'Master Sheet'!L97,"")</f>
        <v/>
      </c>
      <c r="M96" t="str">
        <f>IF('Master Sheet'!C97="Area 4 (Anitha R)",'Master Sheet'!M97,"")</f>
        <v/>
      </c>
      <c r="N96" t="str">
        <f>IF('Master Sheet'!C97="Area 4 (Anitha R)",'Master Sheet'!N97,"")</f>
        <v/>
      </c>
      <c r="O96" t="str">
        <f>IF('Master Sheet'!C97="Area 4 (Anitha R)",'Master Sheet'!O97,"")</f>
        <v/>
      </c>
      <c r="P96" t="str">
        <f>IF('Master Sheet'!C97="Area 4 (Anitha R)",'Master Sheet'!P97,"")</f>
        <v/>
      </c>
    </row>
    <row r="97" spans="1:16" hidden="1" x14ac:dyDescent="0.25">
      <c r="A97" t="str">
        <f>IF('Master Sheet'!C98="Area 4 (Anitha R)",'Master Sheet'!A98,"")</f>
        <v/>
      </c>
      <c r="B97" t="str">
        <f>IF('Master Sheet'!C98="Area 4 (Anitha R)",'Master Sheet'!B98,"")</f>
        <v/>
      </c>
      <c r="C97" t="s">
        <v>7</v>
      </c>
      <c r="D97" t="str">
        <f>IF('Master Sheet'!C98="Area 4 (Anitha R)",'Master Sheet'!D98,"")</f>
        <v/>
      </c>
      <c r="E97" t="str">
        <f>IF('Master Sheet'!C98="Area 4 (Anitha R)",'Master Sheet'!E98,"")</f>
        <v/>
      </c>
      <c r="F97" t="str">
        <f>IF('Master Sheet'!C98="Area 4 (Anitha R)",'Master Sheet'!F98,"")</f>
        <v/>
      </c>
      <c r="G97" t="str">
        <f>IF('Master Sheet'!C98="Area 4 (Anitha R)",'Master Sheet'!G98,"")</f>
        <v/>
      </c>
      <c r="H97" t="str">
        <f>IF('Master Sheet'!C98="Area 4 (Anitha R)",'Master Sheet'!H98,"")</f>
        <v/>
      </c>
      <c r="I97" t="str">
        <f>IF('Master Sheet'!C98="Area 4 (Anitha R)",'Master Sheet'!I98,"")</f>
        <v/>
      </c>
      <c r="J97" t="str">
        <f>IF('Master Sheet'!C98="Area 4 (Anitha R)",'Master Sheet'!J98,"")</f>
        <v/>
      </c>
      <c r="K97" t="str">
        <f>IF('Master Sheet'!C98="Area 4 (Anitha R)",'Master Sheet'!K98,"")</f>
        <v/>
      </c>
      <c r="L97" t="str">
        <f>IF('Master Sheet'!C98="Area 4 (Anitha R)",'Master Sheet'!L98,"")</f>
        <v/>
      </c>
      <c r="M97" t="str">
        <f>IF('Master Sheet'!C98="Area 4 (Anitha R)",'Master Sheet'!M98,"")</f>
        <v/>
      </c>
      <c r="N97" t="str">
        <f>IF('Master Sheet'!C98="Area 4 (Anitha R)",'Master Sheet'!N98,"")</f>
        <v/>
      </c>
      <c r="O97" t="str">
        <f>IF('Master Sheet'!C98="Area 4 (Anitha R)",'Master Sheet'!O98,"")</f>
        <v/>
      </c>
      <c r="P97" t="str">
        <f>IF('Master Sheet'!C98="Area 4 (Anitha R)",'Master Sheet'!P98,"")</f>
        <v/>
      </c>
    </row>
    <row r="98" spans="1:16" hidden="1" x14ac:dyDescent="0.25">
      <c r="A98" t="str">
        <f>IF('Master Sheet'!C99="Area 4 (Anitha R)",'Master Sheet'!A99,"")</f>
        <v/>
      </c>
      <c r="B98" t="str">
        <f>IF('Master Sheet'!C99="Area 4 (Anitha R)",'Master Sheet'!B99,"")</f>
        <v/>
      </c>
      <c r="C98" t="s">
        <v>7</v>
      </c>
      <c r="D98" t="str">
        <f>IF('Master Sheet'!C99="Area 4 (Anitha R)",'Master Sheet'!D99,"")</f>
        <v/>
      </c>
      <c r="E98" t="str">
        <f>IF('Master Sheet'!C99="Area 4 (Anitha R)",'Master Sheet'!E99,"")</f>
        <v/>
      </c>
      <c r="F98" t="str">
        <f>IF('Master Sheet'!C99="Area 4 (Anitha R)",'Master Sheet'!F99,"")</f>
        <v/>
      </c>
      <c r="G98" t="str">
        <f>IF('Master Sheet'!C99="Area 4 (Anitha R)",'Master Sheet'!G99,"")</f>
        <v/>
      </c>
      <c r="H98" t="str">
        <f>IF('Master Sheet'!C99="Area 4 (Anitha R)",'Master Sheet'!H99,"")</f>
        <v/>
      </c>
      <c r="I98" t="str">
        <f>IF('Master Sheet'!C99="Area 4 (Anitha R)",'Master Sheet'!I99,"")</f>
        <v/>
      </c>
      <c r="J98" t="str">
        <f>IF('Master Sheet'!C99="Area 4 (Anitha R)",'Master Sheet'!J99,"")</f>
        <v/>
      </c>
      <c r="K98" t="str">
        <f>IF('Master Sheet'!C99="Area 4 (Anitha R)",'Master Sheet'!K99,"")</f>
        <v/>
      </c>
      <c r="L98" t="str">
        <f>IF('Master Sheet'!C99="Area 4 (Anitha R)",'Master Sheet'!L99,"")</f>
        <v/>
      </c>
      <c r="M98" t="str">
        <f>IF('Master Sheet'!C99="Area 4 (Anitha R)",'Master Sheet'!M99,"")</f>
        <v/>
      </c>
      <c r="N98" t="str">
        <f>IF('Master Sheet'!C99="Area 4 (Anitha R)",'Master Sheet'!N99,"")</f>
        <v/>
      </c>
      <c r="O98" t="str">
        <f>IF('Master Sheet'!C99="Area 4 (Anitha R)",'Master Sheet'!O99,"")</f>
        <v/>
      </c>
      <c r="P98" t="str">
        <f>IF('Master Sheet'!C99="Area 4 (Anitha R)",'Master Sheet'!P99,"")</f>
        <v/>
      </c>
    </row>
    <row r="99" spans="1:16" hidden="1" x14ac:dyDescent="0.25">
      <c r="A99" t="str">
        <f>IF('Master Sheet'!C100="Area 4 (Anitha R)",'Master Sheet'!A100,"")</f>
        <v/>
      </c>
      <c r="B99" t="str">
        <f>IF('Master Sheet'!C100="Area 4 (Anitha R)",'Master Sheet'!B100,"")</f>
        <v/>
      </c>
      <c r="C99" t="s">
        <v>7</v>
      </c>
      <c r="D99" t="str">
        <f>IF('Master Sheet'!C100="Area 4 (Anitha R)",'Master Sheet'!D100,"")</f>
        <v/>
      </c>
      <c r="E99" t="str">
        <f>IF('Master Sheet'!C100="Area 4 (Anitha R)",'Master Sheet'!E100,"")</f>
        <v/>
      </c>
      <c r="F99" t="str">
        <f>IF('Master Sheet'!C100="Area 4 (Anitha R)",'Master Sheet'!F100,"")</f>
        <v/>
      </c>
      <c r="G99" t="str">
        <f>IF('Master Sheet'!C100="Area 4 (Anitha R)",'Master Sheet'!G100,"")</f>
        <v/>
      </c>
      <c r="H99" t="str">
        <f>IF('Master Sheet'!C100="Area 4 (Anitha R)",'Master Sheet'!H100,"")</f>
        <v/>
      </c>
      <c r="I99" t="str">
        <f>IF('Master Sheet'!C100="Area 4 (Anitha R)",'Master Sheet'!I100,"")</f>
        <v/>
      </c>
      <c r="J99" t="str">
        <f>IF('Master Sheet'!C100="Area 4 (Anitha R)",'Master Sheet'!J100,"")</f>
        <v/>
      </c>
      <c r="K99" t="str">
        <f>IF('Master Sheet'!C100="Area 4 (Anitha R)",'Master Sheet'!K100,"")</f>
        <v/>
      </c>
      <c r="L99" t="str">
        <f>IF('Master Sheet'!C100="Area 4 (Anitha R)",'Master Sheet'!L100,"")</f>
        <v/>
      </c>
      <c r="M99" t="str">
        <f>IF('Master Sheet'!C100="Area 4 (Anitha R)",'Master Sheet'!M100,"")</f>
        <v/>
      </c>
      <c r="N99" t="str">
        <f>IF('Master Sheet'!C100="Area 4 (Anitha R)",'Master Sheet'!N100,"")</f>
        <v/>
      </c>
      <c r="O99" t="str">
        <f>IF('Master Sheet'!C100="Area 4 (Anitha R)",'Master Sheet'!O100,"")</f>
        <v/>
      </c>
      <c r="P99" t="str">
        <f>IF('Master Sheet'!C100="Area 4 (Anitha R)",'Master Sheet'!P100,"")</f>
        <v/>
      </c>
    </row>
    <row r="100" spans="1:16" hidden="1" x14ac:dyDescent="0.25">
      <c r="A100" t="str">
        <f>IF('Master Sheet'!C101="Area 4 (Anitha R)",'Master Sheet'!A101,"")</f>
        <v/>
      </c>
      <c r="B100" t="str">
        <f>IF('Master Sheet'!C101="Area 4 (Anitha R)",'Master Sheet'!B101,"")</f>
        <v/>
      </c>
      <c r="C100" t="s">
        <v>7</v>
      </c>
      <c r="D100" t="str">
        <f>IF('Master Sheet'!C101="Area 4 (Anitha R)",'Master Sheet'!D101,"")</f>
        <v/>
      </c>
      <c r="E100" t="str">
        <f>IF('Master Sheet'!C101="Area 4 (Anitha R)",'Master Sheet'!E101,"")</f>
        <v/>
      </c>
      <c r="F100" t="str">
        <f>IF('Master Sheet'!C101="Area 4 (Anitha R)",'Master Sheet'!F101,"")</f>
        <v/>
      </c>
      <c r="G100" t="str">
        <f>IF('Master Sheet'!C101="Area 4 (Anitha R)",'Master Sheet'!G101,"")</f>
        <v/>
      </c>
      <c r="H100" t="str">
        <f>IF('Master Sheet'!C101="Area 4 (Anitha R)",'Master Sheet'!H101,"")</f>
        <v/>
      </c>
      <c r="I100" t="str">
        <f>IF('Master Sheet'!C101="Area 4 (Anitha R)",'Master Sheet'!I101,"")</f>
        <v/>
      </c>
      <c r="J100" t="str">
        <f>IF('Master Sheet'!C101="Area 4 (Anitha R)",'Master Sheet'!J101,"")</f>
        <v/>
      </c>
      <c r="K100" t="str">
        <f>IF('Master Sheet'!C101="Area 4 (Anitha R)",'Master Sheet'!K101,"")</f>
        <v/>
      </c>
      <c r="L100" t="str">
        <f>IF('Master Sheet'!C101="Area 4 (Anitha R)",'Master Sheet'!L101,"")</f>
        <v/>
      </c>
      <c r="M100" t="str">
        <f>IF('Master Sheet'!C101="Area 4 (Anitha R)",'Master Sheet'!M101,"")</f>
        <v/>
      </c>
      <c r="N100" t="str">
        <f>IF('Master Sheet'!C101="Area 4 (Anitha R)",'Master Sheet'!N101,"")</f>
        <v/>
      </c>
      <c r="O100" t="str">
        <f>IF('Master Sheet'!C101="Area 4 (Anitha R)",'Master Sheet'!O101,"")</f>
        <v/>
      </c>
      <c r="P100" t="str">
        <f>IF('Master Sheet'!C101="Area 4 (Anitha R)",'Master Sheet'!P101,"")</f>
        <v/>
      </c>
    </row>
    <row r="101" spans="1:16" hidden="1" x14ac:dyDescent="0.25">
      <c r="A101" t="str">
        <f>IF('Master Sheet'!C102="Area 4 (Anitha R)",'Master Sheet'!A102,"")</f>
        <v/>
      </c>
      <c r="B101" t="str">
        <f>IF('Master Sheet'!C102="Area 4 (Anitha R)",'Master Sheet'!B102,"")</f>
        <v/>
      </c>
      <c r="C101" t="s">
        <v>7</v>
      </c>
      <c r="D101" t="str">
        <f>IF('Master Sheet'!C102="Area 4 (Anitha R)",'Master Sheet'!D102,"")</f>
        <v/>
      </c>
      <c r="E101" t="str">
        <f>IF('Master Sheet'!C102="Area 4 (Anitha R)",'Master Sheet'!E102,"")</f>
        <v/>
      </c>
      <c r="F101" t="str">
        <f>IF('Master Sheet'!C102="Area 4 (Anitha R)",'Master Sheet'!F102,"")</f>
        <v/>
      </c>
      <c r="G101" t="str">
        <f>IF('Master Sheet'!C102="Area 4 (Anitha R)",'Master Sheet'!G102,"")</f>
        <v/>
      </c>
      <c r="H101" t="str">
        <f>IF('Master Sheet'!C102="Area 4 (Anitha R)",'Master Sheet'!H102,"")</f>
        <v/>
      </c>
      <c r="I101" t="str">
        <f>IF('Master Sheet'!C102="Area 4 (Anitha R)",'Master Sheet'!I102,"")</f>
        <v/>
      </c>
      <c r="J101" t="str">
        <f>IF('Master Sheet'!C102="Area 4 (Anitha R)",'Master Sheet'!J102,"")</f>
        <v/>
      </c>
      <c r="K101" t="str">
        <f>IF('Master Sheet'!C102="Area 4 (Anitha R)",'Master Sheet'!K102,"")</f>
        <v/>
      </c>
      <c r="L101" t="str">
        <f>IF('Master Sheet'!C102="Area 4 (Anitha R)",'Master Sheet'!L102,"")</f>
        <v/>
      </c>
      <c r="M101" t="str">
        <f>IF('Master Sheet'!C102="Area 4 (Anitha R)",'Master Sheet'!M102,"")</f>
        <v/>
      </c>
      <c r="N101" t="str">
        <f>IF('Master Sheet'!C102="Area 4 (Anitha R)",'Master Sheet'!N102,"")</f>
        <v/>
      </c>
      <c r="O101" t="str">
        <f>IF('Master Sheet'!C102="Area 4 (Anitha R)",'Master Sheet'!O102,"")</f>
        <v/>
      </c>
      <c r="P101" t="str">
        <f>IF('Master Sheet'!C102="Area 4 (Anitha R)",'Master Sheet'!P102,"")</f>
        <v/>
      </c>
    </row>
    <row r="102" spans="1:16" hidden="1" x14ac:dyDescent="0.25">
      <c r="A102" t="str">
        <f>IF('Master Sheet'!C103="Area 4 (Anitha R)",'Master Sheet'!A103,"")</f>
        <v/>
      </c>
      <c r="B102" t="str">
        <f>IF('Master Sheet'!C103="Area 4 (Anitha R)",'Master Sheet'!B103,"")</f>
        <v/>
      </c>
      <c r="C102" t="s">
        <v>7</v>
      </c>
      <c r="D102" t="str">
        <f>IF('Master Sheet'!C103="Area 4 (Anitha R)",'Master Sheet'!D103,"")</f>
        <v/>
      </c>
      <c r="E102" t="str">
        <f>IF('Master Sheet'!C103="Area 4 (Anitha R)",'Master Sheet'!E103,"")</f>
        <v/>
      </c>
      <c r="F102" t="str">
        <f>IF('Master Sheet'!C103="Area 4 (Anitha R)",'Master Sheet'!F103,"")</f>
        <v/>
      </c>
      <c r="G102" t="str">
        <f>IF('Master Sheet'!C103="Area 4 (Anitha R)",'Master Sheet'!G103,"")</f>
        <v/>
      </c>
      <c r="H102" t="str">
        <f>IF('Master Sheet'!C103="Area 4 (Anitha R)",'Master Sheet'!H103,"")</f>
        <v/>
      </c>
      <c r="I102" t="str">
        <f>IF('Master Sheet'!C103="Area 4 (Anitha R)",'Master Sheet'!I103,"")</f>
        <v/>
      </c>
      <c r="J102" t="str">
        <f>IF('Master Sheet'!C103="Area 4 (Anitha R)",'Master Sheet'!J103,"")</f>
        <v/>
      </c>
      <c r="K102" t="str">
        <f>IF('Master Sheet'!C103="Area 4 (Anitha R)",'Master Sheet'!K103,"")</f>
        <v/>
      </c>
      <c r="L102" t="str">
        <f>IF('Master Sheet'!C103="Area 4 (Anitha R)",'Master Sheet'!L103,"")</f>
        <v/>
      </c>
      <c r="M102" t="str">
        <f>IF('Master Sheet'!C103="Area 4 (Anitha R)",'Master Sheet'!M103,"")</f>
        <v/>
      </c>
      <c r="N102" t="str">
        <f>IF('Master Sheet'!C103="Area 4 (Anitha R)",'Master Sheet'!N103,"")</f>
        <v/>
      </c>
      <c r="O102" t="str">
        <f>IF('Master Sheet'!C103="Area 4 (Anitha R)",'Master Sheet'!O103,"")</f>
        <v/>
      </c>
      <c r="P102" t="str">
        <f>IF('Master Sheet'!C103="Area 4 (Anitha R)",'Master Sheet'!P103,"")</f>
        <v/>
      </c>
    </row>
    <row r="103" spans="1:16" hidden="1" x14ac:dyDescent="0.25">
      <c r="A103" t="str">
        <f>IF('Master Sheet'!C104="Area 4 (Anitha R)",'Master Sheet'!A104,"")</f>
        <v/>
      </c>
      <c r="B103" t="str">
        <f>IF('Master Sheet'!C104="Area 4 (Anitha R)",'Master Sheet'!B104,"")</f>
        <v/>
      </c>
      <c r="C103" t="s">
        <v>7</v>
      </c>
      <c r="D103" t="str">
        <f>IF('Master Sheet'!C104="Area 4 (Anitha R)",'Master Sheet'!D104,"")</f>
        <v/>
      </c>
      <c r="E103" t="str">
        <f>IF('Master Sheet'!C104="Area 4 (Anitha R)",'Master Sheet'!E104,"")</f>
        <v/>
      </c>
      <c r="F103" t="str">
        <f>IF('Master Sheet'!C104="Area 4 (Anitha R)",'Master Sheet'!F104,"")</f>
        <v/>
      </c>
      <c r="G103" t="str">
        <f>IF('Master Sheet'!C104="Area 4 (Anitha R)",'Master Sheet'!G104,"")</f>
        <v/>
      </c>
      <c r="H103" t="str">
        <f>IF('Master Sheet'!C104="Area 4 (Anitha R)",'Master Sheet'!H104,"")</f>
        <v/>
      </c>
      <c r="I103" t="str">
        <f>IF('Master Sheet'!C104="Area 4 (Anitha R)",'Master Sheet'!I104,"")</f>
        <v/>
      </c>
      <c r="J103" t="str">
        <f>IF('Master Sheet'!C104="Area 4 (Anitha R)",'Master Sheet'!J104,"")</f>
        <v/>
      </c>
      <c r="K103" t="str">
        <f>IF('Master Sheet'!C104="Area 4 (Anitha R)",'Master Sheet'!K104,"")</f>
        <v/>
      </c>
      <c r="L103" t="str">
        <f>IF('Master Sheet'!C104="Area 4 (Anitha R)",'Master Sheet'!L104,"")</f>
        <v/>
      </c>
      <c r="M103" t="str">
        <f>IF('Master Sheet'!C104="Area 4 (Anitha R)",'Master Sheet'!M104,"")</f>
        <v/>
      </c>
      <c r="N103" t="str">
        <f>IF('Master Sheet'!C104="Area 4 (Anitha R)",'Master Sheet'!N104,"")</f>
        <v/>
      </c>
      <c r="O103" t="str">
        <f>IF('Master Sheet'!C104="Area 4 (Anitha R)",'Master Sheet'!O104,"")</f>
        <v/>
      </c>
      <c r="P103" t="str">
        <f>IF('Master Sheet'!C104="Area 4 (Anitha R)",'Master Sheet'!P104,"")</f>
        <v/>
      </c>
    </row>
    <row r="104" spans="1:16" hidden="1" x14ac:dyDescent="0.25">
      <c r="A104" t="str">
        <f>IF('Master Sheet'!C105="Area 4 (Anitha R)",'Master Sheet'!A105,"")</f>
        <v/>
      </c>
      <c r="B104" t="str">
        <f>IF('Master Sheet'!C105="Area 4 (Anitha R)",'Master Sheet'!B105,"")</f>
        <v/>
      </c>
      <c r="C104" t="s">
        <v>7</v>
      </c>
      <c r="D104" t="str">
        <f>IF('Master Sheet'!C105="Area 4 (Anitha R)",'Master Sheet'!D105,"")</f>
        <v/>
      </c>
      <c r="E104" t="str">
        <f>IF('Master Sheet'!C105="Area 4 (Anitha R)",'Master Sheet'!E105,"")</f>
        <v/>
      </c>
      <c r="F104" t="str">
        <f>IF('Master Sheet'!C105="Area 4 (Anitha R)",'Master Sheet'!F105,"")</f>
        <v/>
      </c>
      <c r="G104" t="str">
        <f>IF('Master Sheet'!C105="Area 4 (Anitha R)",'Master Sheet'!G105,"")</f>
        <v/>
      </c>
      <c r="H104" t="str">
        <f>IF('Master Sheet'!C105="Area 4 (Anitha R)",'Master Sheet'!H105,"")</f>
        <v/>
      </c>
      <c r="I104" t="str">
        <f>IF('Master Sheet'!C105="Area 4 (Anitha R)",'Master Sheet'!I105,"")</f>
        <v/>
      </c>
      <c r="J104" t="str">
        <f>IF('Master Sheet'!C105="Area 4 (Anitha R)",'Master Sheet'!J105,"")</f>
        <v/>
      </c>
      <c r="K104" t="str">
        <f>IF('Master Sheet'!C105="Area 4 (Anitha R)",'Master Sheet'!K105,"")</f>
        <v/>
      </c>
      <c r="L104" t="str">
        <f>IF('Master Sheet'!C105="Area 4 (Anitha R)",'Master Sheet'!L105,"")</f>
        <v/>
      </c>
      <c r="M104" t="str">
        <f>IF('Master Sheet'!C105="Area 4 (Anitha R)",'Master Sheet'!M105,"")</f>
        <v/>
      </c>
      <c r="N104" t="str">
        <f>IF('Master Sheet'!C105="Area 4 (Anitha R)",'Master Sheet'!N105,"")</f>
        <v/>
      </c>
      <c r="O104" t="str">
        <f>IF('Master Sheet'!C105="Area 4 (Anitha R)",'Master Sheet'!O105,"")</f>
        <v/>
      </c>
      <c r="P104" t="str">
        <f>IF('Master Sheet'!C105="Area 4 (Anitha R)",'Master Sheet'!P105,"")</f>
        <v/>
      </c>
    </row>
    <row r="105" spans="1:16" hidden="1" x14ac:dyDescent="0.25">
      <c r="A105" t="str">
        <f>IF('Master Sheet'!C106="Area 4 (Anitha R)",'Master Sheet'!A106,"")</f>
        <v/>
      </c>
      <c r="B105" t="str">
        <f>IF('Master Sheet'!C106="Area 4 (Anitha R)",'Master Sheet'!B106,"")</f>
        <v/>
      </c>
      <c r="C105" t="s">
        <v>7</v>
      </c>
      <c r="D105" t="str">
        <f>IF('Master Sheet'!C106="Area 4 (Anitha R)",'Master Sheet'!D106,"")</f>
        <v/>
      </c>
      <c r="E105" t="str">
        <f>IF('Master Sheet'!C106="Area 4 (Anitha R)",'Master Sheet'!E106,"")</f>
        <v/>
      </c>
      <c r="F105" t="str">
        <f>IF('Master Sheet'!C106="Area 4 (Anitha R)",'Master Sheet'!F106,"")</f>
        <v/>
      </c>
      <c r="G105" t="str">
        <f>IF('Master Sheet'!C106="Area 4 (Anitha R)",'Master Sheet'!G106,"")</f>
        <v/>
      </c>
      <c r="H105" t="str">
        <f>IF('Master Sheet'!C106="Area 4 (Anitha R)",'Master Sheet'!H106,"")</f>
        <v/>
      </c>
      <c r="I105" t="str">
        <f>IF('Master Sheet'!C106="Area 4 (Anitha R)",'Master Sheet'!I106,"")</f>
        <v/>
      </c>
      <c r="J105" t="str">
        <f>IF('Master Sheet'!C106="Area 4 (Anitha R)",'Master Sheet'!J106,"")</f>
        <v/>
      </c>
      <c r="K105" t="str">
        <f>IF('Master Sheet'!C106="Area 4 (Anitha R)",'Master Sheet'!K106,"")</f>
        <v/>
      </c>
      <c r="L105" t="str">
        <f>IF('Master Sheet'!C106="Area 4 (Anitha R)",'Master Sheet'!L106,"")</f>
        <v/>
      </c>
      <c r="M105" t="str">
        <f>IF('Master Sheet'!C106="Area 4 (Anitha R)",'Master Sheet'!M106,"")</f>
        <v/>
      </c>
      <c r="N105" t="str">
        <f>IF('Master Sheet'!C106="Area 4 (Anitha R)",'Master Sheet'!N106,"")</f>
        <v/>
      </c>
      <c r="O105" t="str">
        <f>IF('Master Sheet'!C106="Area 4 (Anitha R)",'Master Sheet'!O106,"")</f>
        <v/>
      </c>
      <c r="P105" t="str">
        <f>IF('Master Sheet'!C106="Area 4 (Anitha R)",'Master Sheet'!P106,"")</f>
        <v/>
      </c>
    </row>
    <row r="106" spans="1:16" hidden="1" x14ac:dyDescent="0.25">
      <c r="A106" t="str">
        <f>IF('Master Sheet'!C107="Area 4 (Anitha R)",'Master Sheet'!A107,"")</f>
        <v/>
      </c>
      <c r="B106" t="str">
        <f>IF('Master Sheet'!C107="Area 4 (Anitha R)",'Master Sheet'!B107,"")</f>
        <v/>
      </c>
      <c r="C106" t="s">
        <v>7</v>
      </c>
      <c r="D106" t="str">
        <f>IF('Master Sheet'!C107="Area 4 (Anitha R)",'Master Sheet'!D107,"")</f>
        <v/>
      </c>
      <c r="E106" t="str">
        <f>IF('Master Sheet'!C107="Area 4 (Anitha R)",'Master Sheet'!E107,"")</f>
        <v/>
      </c>
      <c r="F106" t="str">
        <f>IF('Master Sheet'!C107="Area 4 (Anitha R)",'Master Sheet'!F107,"")</f>
        <v/>
      </c>
      <c r="G106" t="str">
        <f>IF('Master Sheet'!C107="Area 4 (Anitha R)",'Master Sheet'!G107,"")</f>
        <v/>
      </c>
      <c r="H106" t="str">
        <f>IF('Master Sheet'!C107="Area 4 (Anitha R)",'Master Sheet'!H107,"")</f>
        <v/>
      </c>
      <c r="I106" t="str">
        <f>IF('Master Sheet'!C107="Area 4 (Anitha R)",'Master Sheet'!I107,"")</f>
        <v/>
      </c>
      <c r="J106" t="str">
        <f>IF('Master Sheet'!C107="Area 4 (Anitha R)",'Master Sheet'!J107,"")</f>
        <v/>
      </c>
      <c r="K106" t="str">
        <f>IF('Master Sheet'!C107="Area 4 (Anitha R)",'Master Sheet'!K107,"")</f>
        <v/>
      </c>
      <c r="L106" t="str">
        <f>IF('Master Sheet'!C107="Area 4 (Anitha R)",'Master Sheet'!L107,"")</f>
        <v/>
      </c>
      <c r="M106" t="str">
        <f>IF('Master Sheet'!C107="Area 4 (Anitha R)",'Master Sheet'!M107,"")</f>
        <v/>
      </c>
      <c r="N106" t="str">
        <f>IF('Master Sheet'!C107="Area 4 (Anitha R)",'Master Sheet'!N107,"")</f>
        <v/>
      </c>
      <c r="O106" t="str">
        <f>IF('Master Sheet'!C107="Area 4 (Anitha R)",'Master Sheet'!O107,"")</f>
        <v/>
      </c>
      <c r="P106" t="str">
        <f>IF('Master Sheet'!C107="Area 4 (Anitha R)",'Master Sheet'!P107,"")</f>
        <v/>
      </c>
    </row>
    <row r="107" spans="1:16" hidden="1" x14ac:dyDescent="0.25">
      <c r="A107" t="str">
        <f>IF('Master Sheet'!C108="Area 4 (Anitha R)",'Master Sheet'!A108,"")</f>
        <v/>
      </c>
      <c r="B107" t="str">
        <f>IF('Master Sheet'!C108="Area 4 (Anitha R)",'Master Sheet'!B108,"")</f>
        <v/>
      </c>
      <c r="C107" t="s">
        <v>7</v>
      </c>
      <c r="D107" t="str">
        <f>IF('Master Sheet'!C108="Area 4 (Anitha R)",'Master Sheet'!D108,"")</f>
        <v/>
      </c>
      <c r="E107" t="str">
        <f>IF('Master Sheet'!C108="Area 4 (Anitha R)",'Master Sheet'!E108,"")</f>
        <v/>
      </c>
      <c r="F107" t="str">
        <f>IF('Master Sheet'!C108="Area 4 (Anitha R)",'Master Sheet'!F108,"")</f>
        <v/>
      </c>
      <c r="G107" t="str">
        <f>IF('Master Sheet'!C108="Area 4 (Anitha R)",'Master Sheet'!G108,"")</f>
        <v/>
      </c>
      <c r="H107" t="str">
        <f>IF('Master Sheet'!C108="Area 4 (Anitha R)",'Master Sheet'!H108,"")</f>
        <v/>
      </c>
      <c r="I107" t="str">
        <f>IF('Master Sheet'!C108="Area 4 (Anitha R)",'Master Sheet'!I108,"")</f>
        <v/>
      </c>
      <c r="J107" t="str">
        <f>IF('Master Sheet'!C108="Area 4 (Anitha R)",'Master Sheet'!J108,"")</f>
        <v/>
      </c>
      <c r="K107" t="str">
        <f>IF('Master Sheet'!C108="Area 4 (Anitha R)",'Master Sheet'!K108,"")</f>
        <v/>
      </c>
      <c r="L107" t="str">
        <f>IF('Master Sheet'!C108="Area 4 (Anitha R)",'Master Sheet'!L108,"")</f>
        <v/>
      </c>
      <c r="M107" t="str">
        <f>IF('Master Sheet'!C108="Area 4 (Anitha R)",'Master Sheet'!M108,"")</f>
        <v/>
      </c>
      <c r="N107" t="str">
        <f>IF('Master Sheet'!C108="Area 4 (Anitha R)",'Master Sheet'!N108,"")</f>
        <v/>
      </c>
      <c r="O107" t="str">
        <f>IF('Master Sheet'!C108="Area 4 (Anitha R)",'Master Sheet'!O108,"")</f>
        <v/>
      </c>
      <c r="P107" t="str">
        <f>IF('Master Sheet'!C108="Area 4 (Anitha R)",'Master Sheet'!P108,"")</f>
        <v/>
      </c>
    </row>
    <row r="108" spans="1:16" hidden="1" x14ac:dyDescent="0.25">
      <c r="A108" t="str">
        <f>IF('Master Sheet'!C109="Area 4 (Anitha R)",'Master Sheet'!A109,"")</f>
        <v/>
      </c>
      <c r="B108" t="str">
        <f>IF('Master Sheet'!C109="Area 4 (Anitha R)",'Master Sheet'!B109,"")</f>
        <v/>
      </c>
      <c r="C108" t="s">
        <v>7</v>
      </c>
      <c r="D108" t="str">
        <f>IF('Master Sheet'!C109="Area 4 (Anitha R)",'Master Sheet'!D109,"")</f>
        <v/>
      </c>
      <c r="E108" t="str">
        <f>IF('Master Sheet'!C109="Area 4 (Anitha R)",'Master Sheet'!E109,"")</f>
        <v/>
      </c>
      <c r="F108" t="str">
        <f>IF('Master Sheet'!C109="Area 4 (Anitha R)",'Master Sheet'!F109,"")</f>
        <v/>
      </c>
      <c r="G108" t="str">
        <f>IF('Master Sheet'!C109="Area 4 (Anitha R)",'Master Sheet'!G109,"")</f>
        <v/>
      </c>
      <c r="H108" t="str">
        <f>IF('Master Sheet'!C109="Area 4 (Anitha R)",'Master Sheet'!H109,"")</f>
        <v/>
      </c>
      <c r="I108" t="str">
        <f>IF('Master Sheet'!C109="Area 4 (Anitha R)",'Master Sheet'!I109,"")</f>
        <v/>
      </c>
      <c r="J108" t="str">
        <f>IF('Master Sheet'!C109="Area 4 (Anitha R)",'Master Sheet'!J109,"")</f>
        <v/>
      </c>
      <c r="K108" t="str">
        <f>IF('Master Sheet'!C109="Area 4 (Anitha R)",'Master Sheet'!K109,"")</f>
        <v/>
      </c>
      <c r="L108" t="str">
        <f>IF('Master Sheet'!C109="Area 4 (Anitha R)",'Master Sheet'!L109,"")</f>
        <v/>
      </c>
      <c r="M108" t="str">
        <f>IF('Master Sheet'!C109="Area 4 (Anitha R)",'Master Sheet'!M109,"")</f>
        <v/>
      </c>
      <c r="N108" t="str">
        <f>IF('Master Sheet'!C109="Area 4 (Anitha R)",'Master Sheet'!N109,"")</f>
        <v/>
      </c>
      <c r="O108" t="str">
        <f>IF('Master Sheet'!C109="Area 4 (Anitha R)",'Master Sheet'!O109,"")</f>
        <v/>
      </c>
      <c r="P108" t="str">
        <f>IF('Master Sheet'!C109="Area 4 (Anitha R)",'Master Sheet'!P109,"")</f>
        <v/>
      </c>
    </row>
    <row r="109" spans="1:16" hidden="1" x14ac:dyDescent="0.25">
      <c r="A109" t="str">
        <f>IF('Master Sheet'!C110="Area 4 (Anitha R)",'Master Sheet'!A110,"")</f>
        <v/>
      </c>
      <c r="B109" t="str">
        <f>IF('Master Sheet'!C110="Area 4 (Anitha R)",'Master Sheet'!B110,"")</f>
        <v/>
      </c>
      <c r="C109" t="s">
        <v>7</v>
      </c>
      <c r="D109" t="str">
        <f>IF('Master Sheet'!C110="Area 4 (Anitha R)",'Master Sheet'!D110,"")</f>
        <v/>
      </c>
      <c r="E109" t="str">
        <f>IF('Master Sheet'!C110="Area 4 (Anitha R)",'Master Sheet'!E110,"")</f>
        <v/>
      </c>
      <c r="F109" t="str">
        <f>IF('Master Sheet'!C110="Area 4 (Anitha R)",'Master Sheet'!F110,"")</f>
        <v/>
      </c>
      <c r="G109" t="str">
        <f>IF('Master Sheet'!C110="Area 4 (Anitha R)",'Master Sheet'!G110,"")</f>
        <v/>
      </c>
      <c r="H109" t="str">
        <f>IF('Master Sheet'!C110="Area 4 (Anitha R)",'Master Sheet'!H110,"")</f>
        <v/>
      </c>
      <c r="I109" t="str">
        <f>IF('Master Sheet'!C110="Area 4 (Anitha R)",'Master Sheet'!I110,"")</f>
        <v/>
      </c>
      <c r="J109" t="str">
        <f>IF('Master Sheet'!C110="Area 4 (Anitha R)",'Master Sheet'!J110,"")</f>
        <v/>
      </c>
      <c r="K109" t="str">
        <f>IF('Master Sheet'!C110="Area 4 (Anitha R)",'Master Sheet'!K110,"")</f>
        <v/>
      </c>
      <c r="L109" t="str">
        <f>IF('Master Sheet'!C110="Area 4 (Anitha R)",'Master Sheet'!L110,"")</f>
        <v/>
      </c>
      <c r="M109" t="str">
        <f>IF('Master Sheet'!C110="Area 4 (Anitha R)",'Master Sheet'!M110,"")</f>
        <v/>
      </c>
      <c r="N109" t="str">
        <f>IF('Master Sheet'!C110="Area 4 (Anitha R)",'Master Sheet'!N110,"")</f>
        <v/>
      </c>
      <c r="O109" t="str">
        <f>IF('Master Sheet'!C110="Area 4 (Anitha R)",'Master Sheet'!O110,"")</f>
        <v/>
      </c>
      <c r="P109" t="str">
        <f>IF('Master Sheet'!C110="Area 4 (Anitha R)",'Master Sheet'!P110,"")</f>
        <v/>
      </c>
    </row>
    <row r="110" spans="1:16" hidden="1" x14ac:dyDescent="0.25">
      <c r="A110" t="str">
        <f>IF('Master Sheet'!C111="Area 4 (Anitha R)",'Master Sheet'!A111,"")</f>
        <v/>
      </c>
      <c r="B110" t="str">
        <f>IF('Master Sheet'!C111="Area 4 (Anitha R)",'Master Sheet'!B111,"")</f>
        <v/>
      </c>
      <c r="C110" t="s">
        <v>7</v>
      </c>
      <c r="D110" t="str">
        <f>IF('Master Sheet'!C111="Area 4 (Anitha R)",'Master Sheet'!D111,"")</f>
        <v/>
      </c>
      <c r="E110" t="str">
        <f>IF('Master Sheet'!C111="Area 4 (Anitha R)",'Master Sheet'!E111,"")</f>
        <v/>
      </c>
      <c r="F110" t="str">
        <f>IF('Master Sheet'!C111="Area 4 (Anitha R)",'Master Sheet'!F111,"")</f>
        <v/>
      </c>
      <c r="G110" t="str">
        <f>IF('Master Sheet'!C111="Area 4 (Anitha R)",'Master Sheet'!G111,"")</f>
        <v/>
      </c>
      <c r="H110" t="str">
        <f>IF('Master Sheet'!C111="Area 4 (Anitha R)",'Master Sheet'!H111,"")</f>
        <v/>
      </c>
      <c r="I110" t="str">
        <f>IF('Master Sheet'!C111="Area 4 (Anitha R)",'Master Sheet'!I111,"")</f>
        <v/>
      </c>
      <c r="J110" t="str">
        <f>IF('Master Sheet'!C111="Area 4 (Anitha R)",'Master Sheet'!J111,"")</f>
        <v/>
      </c>
      <c r="K110" t="str">
        <f>IF('Master Sheet'!C111="Area 4 (Anitha R)",'Master Sheet'!K111,"")</f>
        <v/>
      </c>
      <c r="L110" t="str">
        <f>IF('Master Sheet'!C111="Area 4 (Anitha R)",'Master Sheet'!L111,"")</f>
        <v/>
      </c>
      <c r="M110" t="str">
        <f>IF('Master Sheet'!C111="Area 4 (Anitha R)",'Master Sheet'!M111,"")</f>
        <v/>
      </c>
      <c r="N110" t="str">
        <f>IF('Master Sheet'!C111="Area 4 (Anitha R)",'Master Sheet'!N111,"")</f>
        <v/>
      </c>
      <c r="O110" t="str">
        <f>IF('Master Sheet'!C111="Area 4 (Anitha R)",'Master Sheet'!O111,"")</f>
        <v/>
      </c>
      <c r="P110" t="str">
        <f>IF('Master Sheet'!C111="Area 4 (Anitha R)",'Master Sheet'!P111,"")</f>
        <v/>
      </c>
    </row>
    <row r="111" spans="1:16" hidden="1" x14ac:dyDescent="0.25">
      <c r="A111" t="str">
        <f>IF('Master Sheet'!C112="Area 4 (Anitha R)",'Master Sheet'!A112,"")</f>
        <v/>
      </c>
      <c r="B111" t="str">
        <f>IF('Master Sheet'!C112="Area 4 (Anitha R)",'Master Sheet'!B112,"")</f>
        <v/>
      </c>
      <c r="C111" t="s">
        <v>7</v>
      </c>
      <c r="D111" t="str">
        <f>IF('Master Sheet'!C112="Area 4 (Anitha R)",'Master Sheet'!D112,"")</f>
        <v/>
      </c>
      <c r="E111" t="str">
        <f>IF('Master Sheet'!C112="Area 4 (Anitha R)",'Master Sheet'!E112,"")</f>
        <v/>
      </c>
      <c r="F111" t="str">
        <f>IF('Master Sheet'!C112="Area 4 (Anitha R)",'Master Sheet'!F112,"")</f>
        <v/>
      </c>
      <c r="G111" t="str">
        <f>IF('Master Sheet'!C112="Area 4 (Anitha R)",'Master Sheet'!G112,"")</f>
        <v/>
      </c>
      <c r="H111" t="str">
        <f>IF('Master Sheet'!C112="Area 4 (Anitha R)",'Master Sheet'!H112,"")</f>
        <v/>
      </c>
      <c r="I111" t="str">
        <f>IF('Master Sheet'!C112="Area 4 (Anitha R)",'Master Sheet'!I112,"")</f>
        <v/>
      </c>
      <c r="J111" t="str">
        <f>IF('Master Sheet'!C112="Area 4 (Anitha R)",'Master Sheet'!J112,"")</f>
        <v/>
      </c>
      <c r="K111" t="str">
        <f>IF('Master Sheet'!C112="Area 4 (Anitha R)",'Master Sheet'!K112,"")</f>
        <v/>
      </c>
      <c r="L111" t="str">
        <f>IF('Master Sheet'!C112="Area 4 (Anitha R)",'Master Sheet'!L112,"")</f>
        <v/>
      </c>
      <c r="M111" t="str">
        <f>IF('Master Sheet'!C112="Area 4 (Anitha R)",'Master Sheet'!M112,"")</f>
        <v/>
      </c>
      <c r="N111" t="str">
        <f>IF('Master Sheet'!C112="Area 4 (Anitha R)",'Master Sheet'!N112,"")</f>
        <v/>
      </c>
      <c r="O111" t="str">
        <f>IF('Master Sheet'!C112="Area 4 (Anitha R)",'Master Sheet'!O112,"")</f>
        <v/>
      </c>
      <c r="P111" t="str">
        <f>IF('Master Sheet'!C112="Area 4 (Anitha R)",'Master Sheet'!P112,"")</f>
        <v/>
      </c>
    </row>
    <row r="112" spans="1:16" hidden="1" x14ac:dyDescent="0.25">
      <c r="A112" t="str">
        <f>IF('Master Sheet'!C113="Area 4 (Anitha R)",'Master Sheet'!A113,"")</f>
        <v/>
      </c>
      <c r="B112" t="str">
        <f>IF('Master Sheet'!C113="Area 4 (Anitha R)",'Master Sheet'!B113,"")</f>
        <v/>
      </c>
      <c r="C112" t="s">
        <v>7</v>
      </c>
      <c r="D112" t="str">
        <f>IF('Master Sheet'!C113="Area 4 (Anitha R)",'Master Sheet'!D113,"")</f>
        <v/>
      </c>
      <c r="E112" t="str">
        <f>IF('Master Sheet'!C113="Area 4 (Anitha R)",'Master Sheet'!E113,"")</f>
        <v/>
      </c>
      <c r="F112" t="str">
        <f>IF('Master Sheet'!C113="Area 4 (Anitha R)",'Master Sheet'!F113,"")</f>
        <v/>
      </c>
      <c r="G112" t="str">
        <f>IF('Master Sheet'!C113="Area 4 (Anitha R)",'Master Sheet'!G113,"")</f>
        <v/>
      </c>
      <c r="H112" t="str">
        <f>IF('Master Sheet'!C113="Area 4 (Anitha R)",'Master Sheet'!H113,"")</f>
        <v/>
      </c>
      <c r="I112" t="str">
        <f>IF('Master Sheet'!C113="Area 4 (Anitha R)",'Master Sheet'!I113,"")</f>
        <v/>
      </c>
      <c r="J112" t="str">
        <f>IF('Master Sheet'!C113="Area 4 (Anitha R)",'Master Sheet'!J113,"")</f>
        <v/>
      </c>
      <c r="K112" t="str">
        <f>IF('Master Sheet'!C113="Area 4 (Anitha R)",'Master Sheet'!K113,"")</f>
        <v/>
      </c>
      <c r="L112" t="str">
        <f>IF('Master Sheet'!C113="Area 4 (Anitha R)",'Master Sheet'!L113,"")</f>
        <v/>
      </c>
      <c r="M112" t="str">
        <f>IF('Master Sheet'!C113="Area 4 (Anitha R)",'Master Sheet'!M113,"")</f>
        <v/>
      </c>
      <c r="N112" t="str">
        <f>IF('Master Sheet'!C113="Area 4 (Anitha R)",'Master Sheet'!N113,"")</f>
        <v/>
      </c>
      <c r="O112" t="str">
        <f>IF('Master Sheet'!C113="Area 4 (Anitha R)",'Master Sheet'!O113,"")</f>
        <v/>
      </c>
      <c r="P112" t="str">
        <f>IF('Master Sheet'!C113="Area 4 (Anitha R)",'Master Sheet'!P113,"")</f>
        <v/>
      </c>
    </row>
    <row r="113" spans="1:16" hidden="1" x14ac:dyDescent="0.25">
      <c r="A113" t="str">
        <f>IF('Master Sheet'!C114="Area 4 (Anitha R)",'Master Sheet'!A114,"")</f>
        <v/>
      </c>
      <c r="B113" t="str">
        <f>IF('Master Sheet'!C114="Area 4 (Anitha R)",'Master Sheet'!B114,"")</f>
        <v/>
      </c>
      <c r="C113" t="s">
        <v>7</v>
      </c>
      <c r="D113" t="str">
        <f>IF('Master Sheet'!C114="Area 4 (Anitha R)",'Master Sheet'!D114,"")</f>
        <v/>
      </c>
      <c r="E113" t="str">
        <f>IF('Master Sheet'!C114="Area 4 (Anitha R)",'Master Sheet'!E114,"")</f>
        <v/>
      </c>
      <c r="F113" t="str">
        <f>IF('Master Sheet'!C114="Area 4 (Anitha R)",'Master Sheet'!F114,"")</f>
        <v/>
      </c>
      <c r="G113" t="str">
        <f>IF('Master Sheet'!C114="Area 4 (Anitha R)",'Master Sheet'!G114,"")</f>
        <v/>
      </c>
      <c r="H113" t="str">
        <f>IF('Master Sheet'!C114="Area 4 (Anitha R)",'Master Sheet'!H114,"")</f>
        <v/>
      </c>
      <c r="I113" t="str">
        <f>IF('Master Sheet'!C114="Area 4 (Anitha R)",'Master Sheet'!I114,"")</f>
        <v/>
      </c>
      <c r="J113" t="str">
        <f>IF('Master Sheet'!C114="Area 4 (Anitha R)",'Master Sheet'!J114,"")</f>
        <v/>
      </c>
      <c r="K113" t="str">
        <f>IF('Master Sheet'!C114="Area 4 (Anitha R)",'Master Sheet'!K114,"")</f>
        <v/>
      </c>
      <c r="L113" t="str">
        <f>IF('Master Sheet'!C114="Area 4 (Anitha R)",'Master Sheet'!L114,"")</f>
        <v/>
      </c>
      <c r="M113" t="str">
        <f>IF('Master Sheet'!C114="Area 4 (Anitha R)",'Master Sheet'!M114,"")</f>
        <v/>
      </c>
      <c r="N113" t="str">
        <f>IF('Master Sheet'!C114="Area 4 (Anitha R)",'Master Sheet'!N114,"")</f>
        <v/>
      </c>
      <c r="O113" t="str">
        <f>IF('Master Sheet'!C114="Area 4 (Anitha R)",'Master Sheet'!O114,"")</f>
        <v/>
      </c>
      <c r="P113" t="str">
        <f>IF('Master Sheet'!C114="Area 4 (Anitha R)",'Master Sheet'!P114,"")</f>
        <v/>
      </c>
    </row>
    <row r="114" spans="1:16" hidden="1" x14ac:dyDescent="0.25">
      <c r="A114" t="str">
        <f>IF('Master Sheet'!C115="Area 4 (Anitha R)",'Master Sheet'!A115,"")</f>
        <v/>
      </c>
      <c r="B114" t="str">
        <f>IF('Master Sheet'!C115="Area 4 (Anitha R)",'Master Sheet'!B115,"")</f>
        <v/>
      </c>
      <c r="C114" t="s">
        <v>7</v>
      </c>
      <c r="D114" t="str">
        <f>IF('Master Sheet'!C115="Area 4 (Anitha R)",'Master Sheet'!D115,"")</f>
        <v/>
      </c>
      <c r="E114" t="str">
        <f>IF('Master Sheet'!C115="Area 4 (Anitha R)",'Master Sheet'!E115,"")</f>
        <v/>
      </c>
      <c r="F114" t="str">
        <f>IF('Master Sheet'!C115="Area 4 (Anitha R)",'Master Sheet'!F115,"")</f>
        <v/>
      </c>
      <c r="G114" t="str">
        <f>IF('Master Sheet'!C115="Area 4 (Anitha R)",'Master Sheet'!G115,"")</f>
        <v/>
      </c>
      <c r="H114" t="str">
        <f>IF('Master Sheet'!C115="Area 4 (Anitha R)",'Master Sheet'!H115,"")</f>
        <v/>
      </c>
      <c r="I114" t="str">
        <f>IF('Master Sheet'!C115="Area 4 (Anitha R)",'Master Sheet'!I115,"")</f>
        <v/>
      </c>
      <c r="J114" t="str">
        <f>IF('Master Sheet'!C115="Area 4 (Anitha R)",'Master Sheet'!J115,"")</f>
        <v/>
      </c>
      <c r="K114" t="str">
        <f>IF('Master Sheet'!C115="Area 4 (Anitha R)",'Master Sheet'!K115,"")</f>
        <v/>
      </c>
      <c r="L114" t="str">
        <f>IF('Master Sheet'!C115="Area 4 (Anitha R)",'Master Sheet'!L115,"")</f>
        <v/>
      </c>
      <c r="M114" t="str">
        <f>IF('Master Sheet'!C115="Area 4 (Anitha R)",'Master Sheet'!M115,"")</f>
        <v/>
      </c>
      <c r="N114" t="str">
        <f>IF('Master Sheet'!C115="Area 4 (Anitha R)",'Master Sheet'!N115,"")</f>
        <v/>
      </c>
      <c r="O114" t="str">
        <f>IF('Master Sheet'!C115="Area 4 (Anitha R)",'Master Sheet'!O115,"")</f>
        <v/>
      </c>
      <c r="P114" t="str">
        <f>IF('Master Sheet'!C115="Area 4 (Anitha R)",'Master Sheet'!P115,"")</f>
        <v/>
      </c>
    </row>
    <row r="115" spans="1:16" hidden="1" x14ac:dyDescent="0.25">
      <c r="A115" t="str">
        <f>IF('Master Sheet'!C116="Area 4 (Anitha R)",'Master Sheet'!A116,"")</f>
        <v/>
      </c>
      <c r="B115" t="str">
        <f>IF('Master Sheet'!C116="Area 4 (Anitha R)",'Master Sheet'!B116,"")</f>
        <v/>
      </c>
      <c r="C115" t="s">
        <v>7</v>
      </c>
      <c r="D115" t="str">
        <f>IF('Master Sheet'!C116="Area 4 (Anitha R)",'Master Sheet'!D116,"")</f>
        <v/>
      </c>
      <c r="E115" t="str">
        <f>IF('Master Sheet'!C116="Area 4 (Anitha R)",'Master Sheet'!E116,"")</f>
        <v/>
      </c>
      <c r="F115" t="str">
        <f>IF('Master Sheet'!C116="Area 4 (Anitha R)",'Master Sheet'!F116,"")</f>
        <v/>
      </c>
      <c r="G115" t="str">
        <f>IF('Master Sheet'!C116="Area 4 (Anitha R)",'Master Sheet'!G116,"")</f>
        <v/>
      </c>
      <c r="H115" t="str">
        <f>IF('Master Sheet'!C116="Area 4 (Anitha R)",'Master Sheet'!H116,"")</f>
        <v/>
      </c>
      <c r="I115" t="str">
        <f>IF('Master Sheet'!C116="Area 4 (Anitha R)",'Master Sheet'!I116,"")</f>
        <v/>
      </c>
      <c r="J115" t="str">
        <f>IF('Master Sheet'!C116="Area 4 (Anitha R)",'Master Sheet'!J116,"")</f>
        <v/>
      </c>
      <c r="K115" t="str">
        <f>IF('Master Sheet'!C116="Area 4 (Anitha R)",'Master Sheet'!K116,"")</f>
        <v/>
      </c>
      <c r="L115" t="str">
        <f>IF('Master Sheet'!C116="Area 4 (Anitha R)",'Master Sheet'!L116,"")</f>
        <v/>
      </c>
      <c r="M115" t="str">
        <f>IF('Master Sheet'!C116="Area 4 (Anitha R)",'Master Sheet'!M116,"")</f>
        <v/>
      </c>
      <c r="N115" t="str">
        <f>IF('Master Sheet'!C116="Area 4 (Anitha R)",'Master Sheet'!N116,"")</f>
        <v/>
      </c>
      <c r="O115" t="str">
        <f>IF('Master Sheet'!C116="Area 4 (Anitha R)",'Master Sheet'!O116,"")</f>
        <v/>
      </c>
      <c r="P115" t="str">
        <f>IF('Master Sheet'!C116="Area 4 (Anitha R)",'Master Sheet'!P116,"")</f>
        <v/>
      </c>
    </row>
    <row r="116" spans="1:16" hidden="1" x14ac:dyDescent="0.25">
      <c r="A116" t="str">
        <f>IF('Master Sheet'!C117="Area 4 (Anitha R)",'Master Sheet'!A117,"")</f>
        <v/>
      </c>
      <c r="B116" t="str">
        <f>IF('Master Sheet'!C117="Area 4 (Anitha R)",'Master Sheet'!B117,"")</f>
        <v/>
      </c>
      <c r="C116" t="s">
        <v>7</v>
      </c>
      <c r="D116" t="str">
        <f>IF('Master Sheet'!C117="Area 4 (Anitha R)",'Master Sheet'!D117,"")</f>
        <v/>
      </c>
      <c r="E116" t="str">
        <f>IF('Master Sheet'!C117="Area 4 (Anitha R)",'Master Sheet'!E117,"")</f>
        <v/>
      </c>
      <c r="F116" t="str">
        <f>IF('Master Sheet'!C117="Area 4 (Anitha R)",'Master Sheet'!F117,"")</f>
        <v/>
      </c>
      <c r="G116" t="str">
        <f>IF('Master Sheet'!C117="Area 4 (Anitha R)",'Master Sheet'!G117,"")</f>
        <v/>
      </c>
      <c r="H116" t="str">
        <f>IF('Master Sheet'!C117="Area 4 (Anitha R)",'Master Sheet'!H117,"")</f>
        <v/>
      </c>
      <c r="I116" t="str">
        <f>IF('Master Sheet'!C117="Area 4 (Anitha R)",'Master Sheet'!I117,"")</f>
        <v/>
      </c>
      <c r="J116" t="str">
        <f>IF('Master Sheet'!C117="Area 4 (Anitha R)",'Master Sheet'!J117,"")</f>
        <v/>
      </c>
      <c r="K116" t="str">
        <f>IF('Master Sheet'!C117="Area 4 (Anitha R)",'Master Sheet'!K117,"")</f>
        <v/>
      </c>
      <c r="L116" t="str">
        <f>IF('Master Sheet'!C117="Area 4 (Anitha R)",'Master Sheet'!L117,"")</f>
        <v/>
      </c>
      <c r="M116" t="str">
        <f>IF('Master Sheet'!C117="Area 4 (Anitha R)",'Master Sheet'!M117,"")</f>
        <v/>
      </c>
      <c r="N116" t="str">
        <f>IF('Master Sheet'!C117="Area 4 (Anitha R)",'Master Sheet'!N117,"")</f>
        <v/>
      </c>
      <c r="O116" t="str">
        <f>IF('Master Sheet'!C117="Area 4 (Anitha R)",'Master Sheet'!O117,"")</f>
        <v/>
      </c>
      <c r="P116" t="str">
        <f>IF('Master Sheet'!C117="Area 4 (Anitha R)",'Master Sheet'!P117,"")</f>
        <v/>
      </c>
    </row>
    <row r="117" spans="1:16" hidden="1" x14ac:dyDescent="0.25">
      <c r="A117" t="str">
        <f>IF('Master Sheet'!C118="Area 4 (Anitha R)",'Master Sheet'!A118,"")</f>
        <v/>
      </c>
      <c r="B117" t="str">
        <f>IF('Master Sheet'!C118="Area 4 (Anitha R)",'Master Sheet'!B118,"")</f>
        <v/>
      </c>
      <c r="C117" t="s">
        <v>7</v>
      </c>
      <c r="D117" t="str">
        <f>IF('Master Sheet'!C118="Area 4 (Anitha R)",'Master Sheet'!D118,"")</f>
        <v/>
      </c>
      <c r="E117" t="str">
        <f>IF('Master Sheet'!C118="Area 4 (Anitha R)",'Master Sheet'!E118,"")</f>
        <v/>
      </c>
      <c r="F117" t="str">
        <f>IF('Master Sheet'!C118="Area 4 (Anitha R)",'Master Sheet'!F118,"")</f>
        <v/>
      </c>
      <c r="G117" t="str">
        <f>IF('Master Sheet'!C118="Area 4 (Anitha R)",'Master Sheet'!G118,"")</f>
        <v/>
      </c>
      <c r="H117" t="str">
        <f>IF('Master Sheet'!C118="Area 4 (Anitha R)",'Master Sheet'!H118,"")</f>
        <v/>
      </c>
      <c r="I117" t="str">
        <f>IF('Master Sheet'!C118="Area 4 (Anitha R)",'Master Sheet'!I118,"")</f>
        <v/>
      </c>
      <c r="J117" t="str">
        <f>IF('Master Sheet'!C118="Area 4 (Anitha R)",'Master Sheet'!J118,"")</f>
        <v/>
      </c>
      <c r="K117" t="str">
        <f>IF('Master Sheet'!C118="Area 4 (Anitha R)",'Master Sheet'!K118,"")</f>
        <v/>
      </c>
      <c r="L117" t="str">
        <f>IF('Master Sheet'!C118="Area 4 (Anitha R)",'Master Sheet'!L118,"")</f>
        <v/>
      </c>
      <c r="M117" t="str">
        <f>IF('Master Sheet'!C118="Area 4 (Anitha R)",'Master Sheet'!M118,"")</f>
        <v/>
      </c>
      <c r="N117" t="str">
        <f>IF('Master Sheet'!C118="Area 4 (Anitha R)",'Master Sheet'!N118,"")</f>
        <v/>
      </c>
      <c r="O117" t="str">
        <f>IF('Master Sheet'!C118="Area 4 (Anitha R)",'Master Sheet'!O118,"")</f>
        <v/>
      </c>
      <c r="P117" t="str">
        <f>IF('Master Sheet'!C118="Area 4 (Anitha R)",'Master Sheet'!P118,"")</f>
        <v/>
      </c>
    </row>
    <row r="118" spans="1:16" hidden="1" x14ac:dyDescent="0.25">
      <c r="A118" t="str">
        <f>IF('Master Sheet'!C119="Area 4 (Anitha R)",'Master Sheet'!A119,"")</f>
        <v/>
      </c>
      <c r="B118" t="str">
        <f>IF('Master Sheet'!C119="Area 4 (Anitha R)",'Master Sheet'!B119,"")</f>
        <v/>
      </c>
      <c r="C118" t="s">
        <v>7</v>
      </c>
      <c r="D118" t="str">
        <f>IF('Master Sheet'!C119="Area 4 (Anitha R)",'Master Sheet'!D119,"")</f>
        <v/>
      </c>
      <c r="E118" t="str">
        <f>IF('Master Sheet'!C119="Area 4 (Anitha R)",'Master Sheet'!E119,"")</f>
        <v/>
      </c>
      <c r="F118" t="str">
        <f>IF('Master Sheet'!C119="Area 4 (Anitha R)",'Master Sheet'!F119,"")</f>
        <v/>
      </c>
      <c r="G118" t="str">
        <f>IF('Master Sheet'!C119="Area 4 (Anitha R)",'Master Sheet'!G119,"")</f>
        <v/>
      </c>
      <c r="H118" t="str">
        <f>IF('Master Sheet'!C119="Area 4 (Anitha R)",'Master Sheet'!H119,"")</f>
        <v/>
      </c>
      <c r="I118" t="str">
        <f>IF('Master Sheet'!C119="Area 4 (Anitha R)",'Master Sheet'!I119,"")</f>
        <v/>
      </c>
      <c r="J118" t="str">
        <f>IF('Master Sheet'!C119="Area 4 (Anitha R)",'Master Sheet'!J119,"")</f>
        <v/>
      </c>
      <c r="K118" t="str">
        <f>IF('Master Sheet'!C119="Area 4 (Anitha R)",'Master Sheet'!K119,"")</f>
        <v/>
      </c>
      <c r="L118" t="str">
        <f>IF('Master Sheet'!C119="Area 4 (Anitha R)",'Master Sheet'!L119,"")</f>
        <v/>
      </c>
      <c r="M118" t="str">
        <f>IF('Master Sheet'!C119="Area 4 (Anitha R)",'Master Sheet'!M119,"")</f>
        <v/>
      </c>
      <c r="N118" t="str">
        <f>IF('Master Sheet'!C119="Area 4 (Anitha R)",'Master Sheet'!N119,"")</f>
        <v/>
      </c>
      <c r="O118" t="str">
        <f>IF('Master Sheet'!C119="Area 4 (Anitha R)",'Master Sheet'!O119,"")</f>
        <v/>
      </c>
      <c r="P118" t="str">
        <f>IF('Master Sheet'!C119="Area 4 (Anitha R)",'Master Sheet'!P119,"")</f>
        <v/>
      </c>
    </row>
    <row r="119" spans="1:16" hidden="1" x14ac:dyDescent="0.25">
      <c r="A119" t="str">
        <f>IF('Master Sheet'!C120="Area 4 (Anitha R)",'Master Sheet'!A120,"")</f>
        <v/>
      </c>
      <c r="B119" t="str">
        <f>IF('Master Sheet'!C120="Area 4 (Anitha R)",'Master Sheet'!B120,"")</f>
        <v/>
      </c>
      <c r="C119" t="s">
        <v>7</v>
      </c>
      <c r="D119" t="str">
        <f>IF('Master Sheet'!C120="Area 4 (Anitha R)",'Master Sheet'!D120,"")</f>
        <v/>
      </c>
      <c r="E119" t="str">
        <f>IF('Master Sheet'!C120="Area 4 (Anitha R)",'Master Sheet'!E120,"")</f>
        <v/>
      </c>
      <c r="F119" t="str">
        <f>IF('Master Sheet'!C120="Area 4 (Anitha R)",'Master Sheet'!F120,"")</f>
        <v/>
      </c>
      <c r="G119" t="str">
        <f>IF('Master Sheet'!C120="Area 4 (Anitha R)",'Master Sheet'!G120,"")</f>
        <v/>
      </c>
      <c r="H119" t="str">
        <f>IF('Master Sheet'!C120="Area 4 (Anitha R)",'Master Sheet'!H120,"")</f>
        <v/>
      </c>
      <c r="I119" t="str">
        <f>IF('Master Sheet'!C120="Area 4 (Anitha R)",'Master Sheet'!I120,"")</f>
        <v/>
      </c>
      <c r="J119" t="str">
        <f>IF('Master Sheet'!C120="Area 4 (Anitha R)",'Master Sheet'!J120,"")</f>
        <v/>
      </c>
      <c r="K119" t="str">
        <f>IF('Master Sheet'!C120="Area 4 (Anitha R)",'Master Sheet'!K120,"")</f>
        <v/>
      </c>
      <c r="L119" t="str">
        <f>IF('Master Sheet'!C120="Area 4 (Anitha R)",'Master Sheet'!L120,"")</f>
        <v/>
      </c>
      <c r="M119" t="str">
        <f>IF('Master Sheet'!C120="Area 4 (Anitha R)",'Master Sheet'!M120,"")</f>
        <v/>
      </c>
      <c r="N119" t="str">
        <f>IF('Master Sheet'!C120="Area 4 (Anitha R)",'Master Sheet'!N120,"")</f>
        <v/>
      </c>
      <c r="O119" t="str">
        <f>IF('Master Sheet'!C120="Area 4 (Anitha R)",'Master Sheet'!O120,"")</f>
        <v/>
      </c>
      <c r="P119" t="str">
        <f>IF('Master Sheet'!C120="Area 4 (Anitha R)",'Master Sheet'!P120,"")</f>
        <v/>
      </c>
    </row>
    <row r="120" spans="1:16" hidden="1" x14ac:dyDescent="0.25">
      <c r="A120" t="str">
        <f>IF('Master Sheet'!C121="Area 4 (Anitha R)",'Master Sheet'!A121,"")</f>
        <v/>
      </c>
      <c r="B120" t="str">
        <f>IF('Master Sheet'!C121="Area 4 (Anitha R)",'Master Sheet'!B121,"")</f>
        <v/>
      </c>
      <c r="C120" t="s">
        <v>7</v>
      </c>
      <c r="D120" t="str">
        <f>IF('Master Sheet'!C121="Area 4 (Anitha R)",'Master Sheet'!D121,"")</f>
        <v/>
      </c>
      <c r="E120" t="str">
        <f>IF('Master Sheet'!C121="Area 4 (Anitha R)",'Master Sheet'!E121,"")</f>
        <v/>
      </c>
      <c r="F120" t="str">
        <f>IF('Master Sheet'!C121="Area 4 (Anitha R)",'Master Sheet'!F121,"")</f>
        <v/>
      </c>
      <c r="G120" t="str">
        <f>IF('Master Sheet'!C121="Area 4 (Anitha R)",'Master Sheet'!G121,"")</f>
        <v/>
      </c>
      <c r="H120" t="str">
        <f>IF('Master Sheet'!C121="Area 4 (Anitha R)",'Master Sheet'!H121,"")</f>
        <v/>
      </c>
      <c r="I120" t="str">
        <f>IF('Master Sheet'!C121="Area 4 (Anitha R)",'Master Sheet'!I121,"")</f>
        <v/>
      </c>
      <c r="J120" t="str">
        <f>IF('Master Sheet'!C121="Area 4 (Anitha R)",'Master Sheet'!J121,"")</f>
        <v/>
      </c>
      <c r="K120" t="str">
        <f>IF('Master Sheet'!C121="Area 4 (Anitha R)",'Master Sheet'!K121,"")</f>
        <v/>
      </c>
      <c r="L120" t="str">
        <f>IF('Master Sheet'!C121="Area 4 (Anitha R)",'Master Sheet'!L121,"")</f>
        <v/>
      </c>
      <c r="M120" t="str">
        <f>IF('Master Sheet'!C121="Area 4 (Anitha R)",'Master Sheet'!M121,"")</f>
        <v/>
      </c>
      <c r="N120" t="str">
        <f>IF('Master Sheet'!C121="Area 4 (Anitha R)",'Master Sheet'!N121,"")</f>
        <v/>
      </c>
      <c r="O120" t="str">
        <f>IF('Master Sheet'!C121="Area 4 (Anitha R)",'Master Sheet'!O121,"")</f>
        <v/>
      </c>
      <c r="P120" t="str">
        <f>IF('Master Sheet'!C121="Area 4 (Anitha R)",'Master Sheet'!P121,"")</f>
        <v/>
      </c>
    </row>
    <row r="121" spans="1:16" hidden="1" x14ac:dyDescent="0.25">
      <c r="A121" t="str">
        <f>IF('Master Sheet'!C122="Area 4 (Anitha R)",'Master Sheet'!A122,"")</f>
        <v/>
      </c>
      <c r="B121" t="str">
        <f>IF('Master Sheet'!C122="Area 4 (Anitha R)",'Master Sheet'!B122,"")</f>
        <v/>
      </c>
      <c r="C121" t="s">
        <v>7</v>
      </c>
      <c r="D121" t="str">
        <f>IF('Master Sheet'!C122="Area 4 (Anitha R)",'Master Sheet'!D122,"")</f>
        <v/>
      </c>
      <c r="E121" t="str">
        <f>IF('Master Sheet'!C122="Area 4 (Anitha R)",'Master Sheet'!E122,"")</f>
        <v/>
      </c>
      <c r="F121" t="str">
        <f>IF('Master Sheet'!C122="Area 4 (Anitha R)",'Master Sheet'!F122,"")</f>
        <v/>
      </c>
      <c r="G121" t="str">
        <f>IF('Master Sheet'!C122="Area 4 (Anitha R)",'Master Sheet'!G122,"")</f>
        <v/>
      </c>
      <c r="H121" t="str">
        <f>IF('Master Sheet'!C122="Area 4 (Anitha R)",'Master Sheet'!H122,"")</f>
        <v/>
      </c>
      <c r="I121" t="str">
        <f>IF('Master Sheet'!C122="Area 4 (Anitha R)",'Master Sheet'!I122,"")</f>
        <v/>
      </c>
      <c r="J121" t="str">
        <f>IF('Master Sheet'!C122="Area 4 (Anitha R)",'Master Sheet'!J122,"")</f>
        <v/>
      </c>
      <c r="K121" t="str">
        <f>IF('Master Sheet'!C122="Area 4 (Anitha R)",'Master Sheet'!K122,"")</f>
        <v/>
      </c>
      <c r="L121" t="str">
        <f>IF('Master Sheet'!C122="Area 4 (Anitha R)",'Master Sheet'!L122,"")</f>
        <v/>
      </c>
      <c r="M121" t="str">
        <f>IF('Master Sheet'!C122="Area 4 (Anitha R)",'Master Sheet'!M122,"")</f>
        <v/>
      </c>
      <c r="N121" t="str">
        <f>IF('Master Sheet'!C122="Area 4 (Anitha R)",'Master Sheet'!N122,"")</f>
        <v/>
      </c>
      <c r="O121" t="str">
        <f>IF('Master Sheet'!C122="Area 4 (Anitha R)",'Master Sheet'!O122,"")</f>
        <v/>
      </c>
      <c r="P121" t="str">
        <f>IF('Master Sheet'!C122="Area 4 (Anitha R)",'Master Sheet'!P122,"")</f>
        <v/>
      </c>
    </row>
    <row r="122" spans="1:16" hidden="1" x14ac:dyDescent="0.25">
      <c r="A122" t="str">
        <f>IF('Master Sheet'!C123="Area 4 (Anitha R)",'Master Sheet'!A123,"")</f>
        <v/>
      </c>
      <c r="B122" t="str">
        <f>IF('Master Sheet'!C123="Area 4 (Anitha R)",'Master Sheet'!B123,"")</f>
        <v/>
      </c>
      <c r="C122" t="s">
        <v>7</v>
      </c>
      <c r="D122" t="str">
        <f>IF('Master Sheet'!C123="Area 4 (Anitha R)",'Master Sheet'!D123,"")</f>
        <v/>
      </c>
      <c r="E122" t="str">
        <f>IF('Master Sheet'!C123="Area 4 (Anitha R)",'Master Sheet'!E123,"")</f>
        <v/>
      </c>
      <c r="F122" t="str">
        <f>IF('Master Sheet'!C123="Area 4 (Anitha R)",'Master Sheet'!F123,"")</f>
        <v/>
      </c>
      <c r="G122" t="str">
        <f>IF('Master Sheet'!C123="Area 4 (Anitha R)",'Master Sheet'!G123,"")</f>
        <v/>
      </c>
      <c r="H122" t="str">
        <f>IF('Master Sheet'!C123="Area 4 (Anitha R)",'Master Sheet'!H123,"")</f>
        <v/>
      </c>
      <c r="I122" t="str">
        <f>IF('Master Sheet'!C123="Area 4 (Anitha R)",'Master Sheet'!I123,"")</f>
        <v/>
      </c>
      <c r="J122" t="str">
        <f>IF('Master Sheet'!C123="Area 4 (Anitha R)",'Master Sheet'!J123,"")</f>
        <v/>
      </c>
      <c r="K122" t="str">
        <f>IF('Master Sheet'!C123="Area 4 (Anitha R)",'Master Sheet'!K123,"")</f>
        <v/>
      </c>
      <c r="L122" t="str">
        <f>IF('Master Sheet'!C123="Area 4 (Anitha R)",'Master Sheet'!L123,"")</f>
        <v/>
      </c>
      <c r="M122" t="str">
        <f>IF('Master Sheet'!C123="Area 4 (Anitha R)",'Master Sheet'!M123,"")</f>
        <v/>
      </c>
      <c r="N122" t="str">
        <f>IF('Master Sheet'!C123="Area 4 (Anitha R)",'Master Sheet'!N123,"")</f>
        <v/>
      </c>
      <c r="O122" t="str">
        <f>IF('Master Sheet'!C123="Area 4 (Anitha R)",'Master Sheet'!O123,"")</f>
        <v/>
      </c>
      <c r="P122" t="str">
        <f>IF('Master Sheet'!C123="Area 4 (Anitha R)",'Master Sheet'!P123,"")</f>
        <v/>
      </c>
    </row>
    <row r="123" spans="1:16" hidden="1" x14ac:dyDescent="0.25">
      <c r="A123" t="str">
        <f>IF('Master Sheet'!C124="Area 4 (Anitha R)",'Master Sheet'!A124,"")</f>
        <v/>
      </c>
      <c r="B123" t="str">
        <f>IF('Master Sheet'!C124="Area 4 (Anitha R)",'Master Sheet'!B124,"")</f>
        <v/>
      </c>
      <c r="C123" t="s">
        <v>7</v>
      </c>
      <c r="D123" t="str">
        <f>IF('Master Sheet'!C124="Area 4 (Anitha R)",'Master Sheet'!D124,"")</f>
        <v/>
      </c>
      <c r="E123" t="str">
        <f>IF('Master Sheet'!C124="Area 4 (Anitha R)",'Master Sheet'!E124,"")</f>
        <v/>
      </c>
      <c r="F123" t="str">
        <f>IF('Master Sheet'!C124="Area 4 (Anitha R)",'Master Sheet'!F124,"")</f>
        <v/>
      </c>
      <c r="G123" t="str">
        <f>IF('Master Sheet'!C124="Area 4 (Anitha R)",'Master Sheet'!G124,"")</f>
        <v/>
      </c>
      <c r="H123" t="str">
        <f>IF('Master Sheet'!C124="Area 4 (Anitha R)",'Master Sheet'!H124,"")</f>
        <v/>
      </c>
      <c r="I123" t="str">
        <f>IF('Master Sheet'!C124="Area 4 (Anitha R)",'Master Sheet'!I124,"")</f>
        <v/>
      </c>
      <c r="J123" t="str">
        <f>IF('Master Sheet'!C124="Area 4 (Anitha R)",'Master Sheet'!J124,"")</f>
        <v/>
      </c>
      <c r="K123" t="str">
        <f>IF('Master Sheet'!C124="Area 4 (Anitha R)",'Master Sheet'!K124,"")</f>
        <v/>
      </c>
      <c r="L123" t="str">
        <f>IF('Master Sheet'!C124="Area 4 (Anitha R)",'Master Sheet'!L124,"")</f>
        <v/>
      </c>
      <c r="M123" t="str">
        <f>IF('Master Sheet'!C124="Area 4 (Anitha R)",'Master Sheet'!M124,"")</f>
        <v/>
      </c>
      <c r="N123" t="str">
        <f>IF('Master Sheet'!C124="Area 4 (Anitha R)",'Master Sheet'!N124,"")</f>
        <v/>
      </c>
      <c r="O123" t="str">
        <f>IF('Master Sheet'!C124="Area 4 (Anitha R)",'Master Sheet'!O124,"")</f>
        <v/>
      </c>
      <c r="P123" t="str">
        <f>IF('Master Sheet'!C124="Area 4 (Anitha R)",'Master Sheet'!P124,"")</f>
        <v/>
      </c>
    </row>
    <row r="124" spans="1:16" hidden="1" x14ac:dyDescent="0.25">
      <c r="A124" t="str">
        <f>IF('Master Sheet'!C125="Area 4 (Anitha R)",'Master Sheet'!A125,"")</f>
        <v/>
      </c>
      <c r="B124" t="str">
        <f>IF('Master Sheet'!C125="Area 4 (Anitha R)",'Master Sheet'!B125,"")</f>
        <v/>
      </c>
      <c r="C124" t="s">
        <v>7</v>
      </c>
      <c r="D124" t="str">
        <f>IF('Master Sheet'!C125="Area 4 (Anitha R)",'Master Sheet'!D125,"")</f>
        <v/>
      </c>
      <c r="E124" t="str">
        <f>IF('Master Sheet'!C125="Area 4 (Anitha R)",'Master Sheet'!E125,"")</f>
        <v/>
      </c>
      <c r="F124" t="str">
        <f>IF('Master Sheet'!C125="Area 4 (Anitha R)",'Master Sheet'!F125,"")</f>
        <v/>
      </c>
      <c r="G124" t="str">
        <f>IF('Master Sheet'!C125="Area 4 (Anitha R)",'Master Sheet'!G125,"")</f>
        <v/>
      </c>
      <c r="H124" t="str">
        <f>IF('Master Sheet'!C125="Area 4 (Anitha R)",'Master Sheet'!H125,"")</f>
        <v/>
      </c>
      <c r="I124" t="str">
        <f>IF('Master Sheet'!C125="Area 4 (Anitha R)",'Master Sheet'!I125,"")</f>
        <v/>
      </c>
      <c r="J124" t="str">
        <f>IF('Master Sheet'!C125="Area 4 (Anitha R)",'Master Sheet'!J125,"")</f>
        <v/>
      </c>
      <c r="K124" t="str">
        <f>IF('Master Sheet'!C125="Area 4 (Anitha R)",'Master Sheet'!K125,"")</f>
        <v/>
      </c>
      <c r="L124" t="str">
        <f>IF('Master Sheet'!C125="Area 4 (Anitha R)",'Master Sheet'!L125,"")</f>
        <v/>
      </c>
      <c r="M124" t="str">
        <f>IF('Master Sheet'!C125="Area 4 (Anitha R)",'Master Sheet'!M125,"")</f>
        <v/>
      </c>
      <c r="N124" t="str">
        <f>IF('Master Sheet'!C125="Area 4 (Anitha R)",'Master Sheet'!N125,"")</f>
        <v/>
      </c>
      <c r="O124" t="str">
        <f>IF('Master Sheet'!C125="Area 4 (Anitha R)",'Master Sheet'!O125,"")</f>
        <v/>
      </c>
      <c r="P124" t="str">
        <f>IF('Master Sheet'!C125="Area 4 (Anitha R)",'Master Sheet'!P125,"")</f>
        <v/>
      </c>
    </row>
    <row r="125" spans="1:16" hidden="1" x14ac:dyDescent="0.25">
      <c r="A125" t="str">
        <f>IF('Master Sheet'!C126="Area 4 (Anitha R)",'Master Sheet'!A126,"")</f>
        <v/>
      </c>
      <c r="B125" t="str">
        <f>IF('Master Sheet'!C126="Area 4 (Anitha R)",'Master Sheet'!B126,"")</f>
        <v/>
      </c>
      <c r="C125" t="s">
        <v>7</v>
      </c>
      <c r="D125" t="str">
        <f>IF('Master Sheet'!C126="Area 4 (Anitha R)",'Master Sheet'!D126,"")</f>
        <v/>
      </c>
      <c r="E125" t="str">
        <f>IF('Master Sheet'!C126="Area 4 (Anitha R)",'Master Sheet'!E126,"")</f>
        <v/>
      </c>
      <c r="F125" t="str">
        <f>IF('Master Sheet'!C126="Area 4 (Anitha R)",'Master Sheet'!F126,"")</f>
        <v/>
      </c>
      <c r="G125" t="str">
        <f>IF('Master Sheet'!C126="Area 4 (Anitha R)",'Master Sheet'!G126,"")</f>
        <v/>
      </c>
      <c r="H125" t="str">
        <f>IF('Master Sheet'!C126="Area 4 (Anitha R)",'Master Sheet'!H126,"")</f>
        <v/>
      </c>
      <c r="I125" t="str">
        <f>IF('Master Sheet'!C126="Area 4 (Anitha R)",'Master Sheet'!I126,"")</f>
        <v/>
      </c>
      <c r="J125" t="str">
        <f>IF('Master Sheet'!C126="Area 4 (Anitha R)",'Master Sheet'!J126,"")</f>
        <v/>
      </c>
      <c r="K125" t="str">
        <f>IF('Master Sheet'!C126="Area 4 (Anitha R)",'Master Sheet'!K126,"")</f>
        <v/>
      </c>
      <c r="L125" t="str">
        <f>IF('Master Sheet'!C126="Area 4 (Anitha R)",'Master Sheet'!L126,"")</f>
        <v/>
      </c>
      <c r="M125" t="str">
        <f>IF('Master Sheet'!C126="Area 4 (Anitha R)",'Master Sheet'!M126,"")</f>
        <v/>
      </c>
      <c r="N125" t="str">
        <f>IF('Master Sheet'!C126="Area 4 (Anitha R)",'Master Sheet'!N126,"")</f>
        <v/>
      </c>
      <c r="O125" t="str">
        <f>IF('Master Sheet'!C126="Area 4 (Anitha R)",'Master Sheet'!O126,"")</f>
        <v/>
      </c>
      <c r="P125" t="str">
        <f>IF('Master Sheet'!C126="Area 4 (Anitha R)",'Master Sheet'!P126,"")</f>
        <v/>
      </c>
    </row>
    <row r="126" spans="1:16" hidden="1" x14ac:dyDescent="0.25">
      <c r="A126" t="str">
        <f>IF('Master Sheet'!C127="Area 4 (Anitha R)",'Master Sheet'!A127,"")</f>
        <v/>
      </c>
      <c r="B126" t="str">
        <f>IF('Master Sheet'!C127="Area 4 (Anitha R)",'Master Sheet'!B127,"")</f>
        <v/>
      </c>
      <c r="C126" t="s">
        <v>7</v>
      </c>
      <c r="D126" t="str">
        <f>IF('Master Sheet'!C127="Area 4 (Anitha R)",'Master Sheet'!D127,"")</f>
        <v/>
      </c>
      <c r="E126" t="str">
        <f>IF('Master Sheet'!C127="Area 4 (Anitha R)",'Master Sheet'!E127,"")</f>
        <v/>
      </c>
      <c r="F126" t="str">
        <f>IF('Master Sheet'!C127="Area 4 (Anitha R)",'Master Sheet'!F127,"")</f>
        <v/>
      </c>
      <c r="G126" t="str">
        <f>IF('Master Sheet'!C127="Area 4 (Anitha R)",'Master Sheet'!G127,"")</f>
        <v/>
      </c>
      <c r="H126" t="str">
        <f>IF('Master Sheet'!C127="Area 4 (Anitha R)",'Master Sheet'!H127,"")</f>
        <v/>
      </c>
      <c r="I126" t="str">
        <f>IF('Master Sheet'!C127="Area 4 (Anitha R)",'Master Sheet'!I127,"")</f>
        <v/>
      </c>
      <c r="J126" t="str">
        <f>IF('Master Sheet'!C127="Area 4 (Anitha R)",'Master Sheet'!J127,"")</f>
        <v/>
      </c>
      <c r="K126" t="str">
        <f>IF('Master Sheet'!C127="Area 4 (Anitha R)",'Master Sheet'!K127,"")</f>
        <v/>
      </c>
      <c r="L126" t="str">
        <f>IF('Master Sheet'!C127="Area 4 (Anitha R)",'Master Sheet'!L127,"")</f>
        <v/>
      </c>
      <c r="M126" t="str">
        <f>IF('Master Sheet'!C127="Area 4 (Anitha R)",'Master Sheet'!M127,"")</f>
        <v/>
      </c>
      <c r="N126" t="str">
        <f>IF('Master Sheet'!C127="Area 4 (Anitha R)",'Master Sheet'!N127,"")</f>
        <v/>
      </c>
      <c r="O126" t="str">
        <f>IF('Master Sheet'!C127="Area 4 (Anitha R)",'Master Sheet'!O127,"")</f>
        <v/>
      </c>
      <c r="P126" t="str">
        <f>IF('Master Sheet'!C127="Area 4 (Anitha R)",'Master Sheet'!P127,"")</f>
        <v/>
      </c>
    </row>
    <row r="127" spans="1:16" hidden="1" x14ac:dyDescent="0.25">
      <c r="A127" t="str">
        <f>IF('Master Sheet'!C128="Area 4 (Anitha R)",'Master Sheet'!A128,"")</f>
        <v/>
      </c>
      <c r="B127" t="str">
        <f>IF('Master Sheet'!C128="Area 4 (Anitha R)",'Master Sheet'!B128,"")</f>
        <v/>
      </c>
      <c r="C127" t="s">
        <v>7</v>
      </c>
      <c r="D127" t="str">
        <f>IF('Master Sheet'!C128="Area 4 (Anitha R)",'Master Sheet'!D128,"")</f>
        <v/>
      </c>
      <c r="E127" t="str">
        <f>IF('Master Sheet'!C128="Area 4 (Anitha R)",'Master Sheet'!E128,"")</f>
        <v/>
      </c>
      <c r="F127" t="str">
        <f>IF('Master Sheet'!C128="Area 4 (Anitha R)",'Master Sheet'!F128,"")</f>
        <v/>
      </c>
      <c r="G127" t="str">
        <f>IF('Master Sheet'!C128="Area 4 (Anitha R)",'Master Sheet'!G128,"")</f>
        <v/>
      </c>
      <c r="H127" t="str">
        <f>IF('Master Sheet'!C128="Area 4 (Anitha R)",'Master Sheet'!H128,"")</f>
        <v/>
      </c>
      <c r="I127" t="str">
        <f>IF('Master Sheet'!C128="Area 4 (Anitha R)",'Master Sheet'!I128,"")</f>
        <v/>
      </c>
      <c r="J127" t="str">
        <f>IF('Master Sheet'!C128="Area 4 (Anitha R)",'Master Sheet'!J128,"")</f>
        <v/>
      </c>
      <c r="K127" t="str">
        <f>IF('Master Sheet'!C128="Area 4 (Anitha R)",'Master Sheet'!K128,"")</f>
        <v/>
      </c>
      <c r="L127" t="str">
        <f>IF('Master Sheet'!C128="Area 4 (Anitha R)",'Master Sheet'!L128,"")</f>
        <v/>
      </c>
      <c r="M127" t="str">
        <f>IF('Master Sheet'!C128="Area 4 (Anitha R)",'Master Sheet'!M128,"")</f>
        <v/>
      </c>
      <c r="N127" t="str">
        <f>IF('Master Sheet'!C128="Area 4 (Anitha R)",'Master Sheet'!N128,"")</f>
        <v/>
      </c>
      <c r="O127" t="str">
        <f>IF('Master Sheet'!C128="Area 4 (Anitha R)",'Master Sheet'!O128,"")</f>
        <v/>
      </c>
      <c r="P127" t="str">
        <f>IF('Master Sheet'!C128="Area 4 (Anitha R)",'Master Sheet'!P128,"")</f>
        <v/>
      </c>
    </row>
    <row r="128" spans="1:16" hidden="1" x14ac:dyDescent="0.25">
      <c r="A128" t="str">
        <f>IF('Master Sheet'!C129="Area 4 (Anitha R)",'Master Sheet'!A129,"")</f>
        <v/>
      </c>
      <c r="B128" t="str">
        <f>IF('Master Sheet'!C129="Area 4 (Anitha R)",'Master Sheet'!B129,"")</f>
        <v/>
      </c>
      <c r="C128" t="s">
        <v>7</v>
      </c>
      <c r="D128" t="str">
        <f>IF('Master Sheet'!C129="Area 4 (Anitha R)",'Master Sheet'!D129,"")</f>
        <v/>
      </c>
      <c r="E128" t="str">
        <f>IF('Master Sheet'!C129="Area 4 (Anitha R)",'Master Sheet'!E129,"")</f>
        <v/>
      </c>
      <c r="F128" t="str">
        <f>IF('Master Sheet'!C129="Area 4 (Anitha R)",'Master Sheet'!F129,"")</f>
        <v/>
      </c>
      <c r="G128" t="str">
        <f>IF('Master Sheet'!C129="Area 4 (Anitha R)",'Master Sheet'!G129,"")</f>
        <v/>
      </c>
      <c r="H128" t="str">
        <f>IF('Master Sheet'!C129="Area 4 (Anitha R)",'Master Sheet'!H129,"")</f>
        <v/>
      </c>
      <c r="I128" t="str">
        <f>IF('Master Sheet'!C129="Area 4 (Anitha R)",'Master Sheet'!I129,"")</f>
        <v/>
      </c>
      <c r="J128" t="str">
        <f>IF('Master Sheet'!C129="Area 4 (Anitha R)",'Master Sheet'!J129,"")</f>
        <v/>
      </c>
      <c r="K128" t="str">
        <f>IF('Master Sheet'!C129="Area 4 (Anitha R)",'Master Sheet'!K129,"")</f>
        <v/>
      </c>
      <c r="L128" t="str">
        <f>IF('Master Sheet'!C129="Area 4 (Anitha R)",'Master Sheet'!L129,"")</f>
        <v/>
      </c>
      <c r="M128" t="str">
        <f>IF('Master Sheet'!C129="Area 4 (Anitha R)",'Master Sheet'!M129,"")</f>
        <v/>
      </c>
      <c r="N128" t="str">
        <f>IF('Master Sheet'!C129="Area 4 (Anitha R)",'Master Sheet'!N129,"")</f>
        <v/>
      </c>
      <c r="O128" t="str">
        <f>IF('Master Sheet'!C129="Area 4 (Anitha R)",'Master Sheet'!O129,"")</f>
        <v/>
      </c>
      <c r="P128" t="str">
        <f>IF('Master Sheet'!C129="Area 4 (Anitha R)",'Master Sheet'!P129,"")</f>
        <v/>
      </c>
    </row>
    <row r="129" spans="1:16" hidden="1" x14ac:dyDescent="0.25">
      <c r="A129" t="str">
        <f>IF('Master Sheet'!C130="Area 4 (Anitha R)",'Master Sheet'!A130,"")</f>
        <v/>
      </c>
      <c r="B129" t="str">
        <f>IF('Master Sheet'!C130="Area 4 (Anitha R)",'Master Sheet'!B130,"")</f>
        <v/>
      </c>
      <c r="C129" t="s">
        <v>7</v>
      </c>
      <c r="D129" t="str">
        <f>IF('Master Sheet'!C130="Area 4 (Anitha R)",'Master Sheet'!D130,"")</f>
        <v/>
      </c>
      <c r="E129" t="str">
        <f>IF('Master Sheet'!C130="Area 4 (Anitha R)",'Master Sheet'!E130,"")</f>
        <v/>
      </c>
      <c r="F129" t="str">
        <f>IF('Master Sheet'!C130="Area 4 (Anitha R)",'Master Sheet'!F130,"")</f>
        <v/>
      </c>
      <c r="G129" t="str">
        <f>IF('Master Sheet'!C130="Area 4 (Anitha R)",'Master Sheet'!G130,"")</f>
        <v/>
      </c>
      <c r="H129" t="str">
        <f>IF('Master Sheet'!C130="Area 4 (Anitha R)",'Master Sheet'!H130,"")</f>
        <v/>
      </c>
      <c r="I129" t="str">
        <f>IF('Master Sheet'!C130="Area 4 (Anitha R)",'Master Sheet'!I130,"")</f>
        <v/>
      </c>
      <c r="J129" t="str">
        <f>IF('Master Sheet'!C130="Area 4 (Anitha R)",'Master Sheet'!J130,"")</f>
        <v/>
      </c>
      <c r="K129" t="str">
        <f>IF('Master Sheet'!C130="Area 4 (Anitha R)",'Master Sheet'!K130,"")</f>
        <v/>
      </c>
      <c r="L129" t="str">
        <f>IF('Master Sheet'!C130="Area 4 (Anitha R)",'Master Sheet'!L130,"")</f>
        <v/>
      </c>
      <c r="M129" t="str">
        <f>IF('Master Sheet'!C130="Area 4 (Anitha R)",'Master Sheet'!M130,"")</f>
        <v/>
      </c>
      <c r="N129" t="str">
        <f>IF('Master Sheet'!C130="Area 4 (Anitha R)",'Master Sheet'!N130,"")</f>
        <v/>
      </c>
      <c r="O129" t="str">
        <f>IF('Master Sheet'!C130="Area 4 (Anitha R)",'Master Sheet'!O130,"")</f>
        <v/>
      </c>
      <c r="P129" t="str">
        <f>IF('Master Sheet'!C130="Area 4 (Anitha R)",'Master Sheet'!P130,"")</f>
        <v/>
      </c>
    </row>
    <row r="130" spans="1:16" hidden="1" x14ac:dyDescent="0.25">
      <c r="A130" t="str">
        <f>IF('Master Sheet'!C131="Area 4 (Anitha R)",'Master Sheet'!A131,"")</f>
        <v/>
      </c>
      <c r="B130" t="str">
        <f>IF('Master Sheet'!C131="Area 4 (Anitha R)",'Master Sheet'!B131,"")</f>
        <v/>
      </c>
      <c r="C130" t="s">
        <v>7</v>
      </c>
      <c r="D130" t="str">
        <f>IF('Master Sheet'!C131="Area 4 (Anitha R)",'Master Sheet'!D131,"")</f>
        <v/>
      </c>
      <c r="E130" t="str">
        <f>IF('Master Sheet'!C131="Area 4 (Anitha R)",'Master Sheet'!E131,"")</f>
        <v/>
      </c>
      <c r="F130" t="str">
        <f>IF('Master Sheet'!C131="Area 4 (Anitha R)",'Master Sheet'!F131,"")</f>
        <v/>
      </c>
      <c r="G130" t="str">
        <f>IF('Master Sheet'!C131="Area 4 (Anitha R)",'Master Sheet'!G131,"")</f>
        <v/>
      </c>
      <c r="H130" t="str">
        <f>IF('Master Sheet'!C131="Area 4 (Anitha R)",'Master Sheet'!H131,"")</f>
        <v/>
      </c>
      <c r="I130" t="str">
        <f>IF('Master Sheet'!C131="Area 4 (Anitha R)",'Master Sheet'!I131,"")</f>
        <v/>
      </c>
      <c r="J130" t="str">
        <f>IF('Master Sheet'!C131="Area 4 (Anitha R)",'Master Sheet'!J131,"")</f>
        <v/>
      </c>
      <c r="K130" t="str">
        <f>IF('Master Sheet'!C131="Area 4 (Anitha R)",'Master Sheet'!K131,"")</f>
        <v/>
      </c>
      <c r="L130" t="str">
        <f>IF('Master Sheet'!C131="Area 4 (Anitha R)",'Master Sheet'!L131,"")</f>
        <v/>
      </c>
      <c r="M130" t="str">
        <f>IF('Master Sheet'!C131="Area 4 (Anitha R)",'Master Sheet'!M131,"")</f>
        <v/>
      </c>
      <c r="N130" t="str">
        <f>IF('Master Sheet'!C131="Area 4 (Anitha R)",'Master Sheet'!N131,"")</f>
        <v/>
      </c>
      <c r="O130" t="str">
        <f>IF('Master Sheet'!C131="Area 4 (Anitha R)",'Master Sheet'!O131,"")</f>
        <v/>
      </c>
      <c r="P130" t="str">
        <f>IF('Master Sheet'!C131="Area 4 (Anitha R)",'Master Sheet'!P131,"")</f>
        <v/>
      </c>
    </row>
    <row r="131" spans="1:16" hidden="1" x14ac:dyDescent="0.25">
      <c r="A131" t="str">
        <f>IF('Master Sheet'!C132="Area 4 (Anitha R)",'Master Sheet'!A132,"")</f>
        <v/>
      </c>
      <c r="B131" t="str">
        <f>IF('Master Sheet'!C132="Area 4 (Anitha R)",'Master Sheet'!B132,"")</f>
        <v/>
      </c>
      <c r="C131" t="s">
        <v>7</v>
      </c>
      <c r="D131" t="str">
        <f>IF('Master Sheet'!C132="Area 4 (Anitha R)",'Master Sheet'!D132,"")</f>
        <v/>
      </c>
      <c r="E131" t="str">
        <f>IF('Master Sheet'!C132="Area 4 (Anitha R)",'Master Sheet'!E132,"")</f>
        <v/>
      </c>
      <c r="F131" t="str">
        <f>IF('Master Sheet'!C132="Area 4 (Anitha R)",'Master Sheet'!F132,"")</f>
        <v/>
      </c>
      <c r="G131" t="str">
        <f>IF('Master Sheet'!C132="Area 4 (Anitha R)",'Master Sheet'!G132,"")</f>
        <v/>
      </c>
      <c r="H131" t="str">
        <f>IF('Master Sheet'!C132="Area 4 (Anitha R)",'Master Sheet'!H132,"")</f>
        <v/>
      </c>
      <c r="I131" t="str">
        <f>IF('Master Sheet'!C132="Area 4 (Anitha R)",'Master Sheet'!I132,"")</f>
        <v/>
      </c>
      <c r="J131" t="str">
        <f>IF('Master Sheet'!C132="Area 4 (Anitha R)",'Master Sheet'!J132,"")</f>
        <v/>
      </c>
      <c r="K131" t="str">
        <f>IF('Master Sheet'!C132="Area 4 (Anitha R)",'Master Sheet'!K132,"")</f>
        <v/>
      </c>
      <c r="L131" t="str">
        <f>IF('Master Sheet'!C132="Area 4 (Anitha R)",'Master Sheet'!L132,"")</f>
        <v/>
      </c>
      <c r="M131" t="str">
        <f>IF('Master Sheet'!C132="Area 4 (Anitha R)",'Master Sheet'!M132,"")</f>
        <v/>
      </c>
      <c r="N131" t="str">
        <f>IF('Master Sheet'!C132="Area 4 (Anitha R)",'Master Sheet'!N132,"")</f>
        <v/>
      </c>
      <c r="O131" t="str">
        <f>IF('Master Sheet'!C132="Area 4 (Anitha R)",'Master Sheet'!O132,"")</f>
        <v/>
      </c>
      <c r="P131" t="str">
        <f>IF('Master Sheet'!C132="Area 4 (Anitha R)",'Master Sheet'!P132,"")</f>
        <v/>
      </c>
    </row>
    <row r="132" spans="1:16" hidden="1" x14ac:dyDescent="0.25">
      <c r="A132" t="str">
        <f>IF('Master Sheet'!C133="Area 4 (Anitha R)",'Master Sheet'!A133,"")</f>
        <v/>
      </c>
      <c r="B132" t="str">
        <f>IF('Master Sheet'!C133="Area 4 (Anitha R)",'Master Sheet'!B133,"")</f>
        <v/>
      </c>
      <c r="C132" t="s">
        <v>7</v>
      </c>
      <c r="D132" t="str">
        <f>IF('Master Sheet'!C133="Area 4 (Anitha R)",'Master Sheet'!D133,"")</f>
        <v/>
      </c>
      <c r="E132" t="str">
        <f>IF('Master Sheet'!C133="Area 4 (Anitha R)",'Master Sheet'!E133,"")</f>
        <v/>
      </c>
      <c r="F132" t="str">
        <f>IF('Master Sheet'!C133="Area 4 (Anitha R)",'Master Sheet'!F133,"")</f>
        <v/>
      </c>
      <c r="G132" t="str">
        <f>IF('Master Sheet'!C133="Area 4 (Anitha R)",'Master Sheet'!G133,"")</f>
        <v/>
      </c>
      <c r="H132" t="str">
        <f>IF('Master Sheet'!C133="Area 4 (Anitha R)",'Master Sheet'!H133,"")</f>
        <v/>
      </c>
      <c r="I132" t="str">
        <f>IF('Master Sheet'!C133="Area 4 (Anitha R)",'Master Sheet'!I133,"")</f>
        <v/>
      </c>
      <c r="J132" t="str">
        <f>IF('Master Sheet'!C133="Area 4 (Anitha R)",'Master Sheet'!J133,"")</f>
        <v/>
      </c>
      <c r="K132" t="str">
        <f>IF('Master Sheet'!C133="Area 4 (Anitha R)",'Master Sheet'!K133,"")</f>
        <v/>
      </c>
      <c r="L132" t="str">
        <f>IF('Master Sheet'!C133="Area 4 (Anitha R)",'Master Sheet'!L133,"")</f>
        <v/>
      </c>
      <c r="M132" t="str">
        <f>IF('Master Sheet'!C133="Area 4 (Anitha R)",'Master Sheet'!M133,"")</f>
        <v/>
      </c>
      <c r="N132" t="str">
        <f>IF('Master Sheet'!C133="Area 4 (Anitha R)",'Master Sheet'!N133,"")</f>
        <v/>
      </c>
      <c r="O132" t="str">
        <f>IF('Master Sheet'!C133="Area 4 (Anitha R)",'Master Sheet'!O133,"")</f>
        <v/>
      </c>
      <c r="P132" t="str">
        <f>IF('Master Sheet'!C133="Area 4 (Anitha R)",'Master Sheet'!P133,"")</f>
        <v/>
      </c>
    </row>
    <row r="133" spans="1:16" hidden="1" x14ac:dyDescent="0.25">
      <c r="A133" t="str">
        <f>IF('Master Sheet'!C134="Area 4 (Anitha R)",'Master Sheet'!A134,"")</f>
        <v/>
      </c>
      <c r="B133" t="str">
        <f>IF('Master Sheet'!C134="Area 4 (Anitha R)",'Master Sheet'!B134,"")</f>
        <v/>
      </c>
      <c r="C133" t="s">
        <v>7</v>
      </c>
      <c r="D133" t="str">
        <f>IF('Master Sheet'!C134="Area 4 (Anitha R)",'Master Sheet'!D134,"")</f>
        <v/>
      </c>
      <c r="E133" t="str">
        <f>IF('Master Sheet'!C134="Area 4 (Anitha R)",'Master Sheet'!E134,"")</f>
        <v/>
      </c>
      <c r="F133" t="str">
        <f>IF('Master Sheet'!C134="Area 4 (Anitha R)",'Master Sheet'!F134,"")</f>
        <v/>
      </c>
      <c r="G133" t="str">
        <f>IF('Master Sheet'!C134="Area 4 (Anitha R)",'Master Sheet'!G134,"")</f>
        <v/>
      </c>
      <c r="H133" t="str">
        <f>IF('Master Sheet'!C134="Area 4 (Anitha R)",'Master Sheet'!H134,"")</f>
        <v/>
      </c>
      <c r="I133" t="str">
        <f>IF('Master Sheet'!C134="Area 4 (Anitha R)",'Master Sheet'!I134,"")</f>
        <v/>
      </c>
      <c r="J133" t="str">
        <f>IF('Master Sheet'!C134="Area 4 (Anitha R)",'Master Sheet'!J134,"")</f>
        <v/>
      </c>
      <c r="K133" t="str">
        <f>IF('Master Sheet'!C134="Area 4 (Anitha R)",'Master Sheet'!K134,"")</f>
        <v/>
      </c>
      <c r="L133" t="str">
        <f>IF('Master Sheet'!C134="Area 4 (Anitha R)",'Master Sheet'!L134,"")</f>
        <v/>
      </c>
      <c r="M133" t="str">
        <f>IF('Master Sheet'!C134="Area 4 (Anitha R)",'Master Sheet'!M134,"")</f>
        <v/>
      </c>
      <c r="N133" t="str">
        <f>IF('Master Sheet'!C134="Area 4 (Anitha R)",'Master Sheet'!N134,"")</f>
        <v/>
      </c>
      <c r="O133" t="str">
        <f>IF('Master Sheet'!C134="Area 4 (Anitha R)",'Master Sheet'!O134,"")</f>
        <v/>
      </c>
      <c r="P133" t="str">
        <f>IF('Master Sheet'!C134="Area 4 (Anitha R)",'Master Sheet'!P134,"")</f>
        <v/>
      </c>
    </row>
    <row r="134" spans="1:16" hidden="1" x14ac:dyDescent="0.25">
      <c r="A134" t="str">
        <f>IF('Master Sheet'!C135="Area 4 (Anitha R)",'Master Sheet'!A135,"")</f>
        <v/>
      </c>
      <c r="B134" t="str">
        <f>IF('Master Sheet'!C135="Area 4 (Anitha R)",'Master Sheet'!B135,"")</f>
        <v/>
      </c>
      <c r="C134" t="s">
        <v>7</v>
      </c>
      <c r="D134" t="str">
        <f>IF('Master Sheet'!C135="Area 4 (Anitha R)",'Master Sheet'!D135,"")</f>
        <v/>
      </c>
      <c r="E134" t="str">
        <f>IF('Master Sheet'!C135="Area 4 (Anitha R)",'Master Sheet'!E135,"")</f>
        <v/>
      </c>
      <c r="F134" t="str">
        <f>IF('Master Sheet'!C135="Area 4 (Anitha R)",'Master Sheet'!F135,"")</f>
        <v/>
      </c>
      <c r="G134" t="str">
        <f>IF('Master Sheet'!C135="Area 4 (Anitha R)",'Master Sheet'!G135,"")</f>
        <v/>
      </c>
      <c r="H134" t="str">
        <f>IF('Master Sheet'!C135="Area 4 (Anitha R)",'Master Sheet'!H135,"")</f>
        <v/>
      </c>
      <c r="I134" t="str">
        <f>IF('Master Sheet'!C135="Area 4 (Anitha R)",'Master Sheet'!I135,"")</f>
        <v/>
      </c>
      <c r="J134" t="str">
        <f>IF('Master Sheet'!C135="Area 4 (Anitha R)",'Master Sheet'!J135,"")</f>
        <v/>
      </c>
      <c r="K134" t="str">
        <f>IF('Master Sheet'!C135="Area 4 (Anitha R)",'Master Sheet'!K135,"")</f>
        <v/>
      </c>
      <c r="L134" t="str">
        <f>IF('Master Sheet'!C135="Area 4 (Anitha R)",'Master Sheet'!L135,"")</f>
        <v/>
      </c>
      <c r="M134" t="str">
        <f>IF('Master Sheet'!C135="Area 4 (Anitha R)",'Master Sheet'!M135,"")</f>
        <v/>
      </c>
      <c r="N134" t="str">
        <f>IF('Master Sheet'!C135="Area 4 (Anitha R)",'Master Sheet'!N135,"")</f>
        <v/>
      </c>
      <c r="O134" t="str">
        <f>IF('Master Sheet'!C135="Area 4 (Anitha R)",'Master Sheet'!O135,"")</f>
        <v/>
      </c>
      <c r="P134" t="str">
        <f>IF('Master Sheet'!C135="Area 4 (Anitha R)",'Master Sheet'!P135,"")</f>
        <v/>
      </c>
    </row>
    <row r="135" spans="1:16" hidden="1" x14ac:dyDescent="0.25">
      <c r="A135" t="str">
        <f>IF('Master Sheet'!C136="Area 4 (Anitha R)",'Master Sheet'!A136,"")</f>
        <v/>
      </c>
      <c r="B135" t="str">
        <f>IF('Master Sheet'!C136="Area 4 (Anitha R)",'Master Sheet'!B136,"")</f>
        <v/>
      </c>
      <c r="C135" t="s">
        <v>7</v>
      </c>
      <c r="D135" t="str">
        <f>IF('Master Sheet'!C136="Area 4 (Anitha R)",'Master Sheet'!D136,"")</f>
        <v/>
      </c>
      <c r="E135" t="str">
        <f>IF('Master Sheet'!C136="Area 4 (Anitha R)",'Master Sheet'!E136,"")</f>
        <v/>
      </c>
      <c r="F135" t="str">
        <f>IF('Master Sheet'!C136="Area 4 (Anitha R)",'Master Sheet'!F136,"")</f>
        <v/>
      </c>
      <c r="G135" t="str">
        <f>IF('Master Sheet'!C136="Area 4 (Anitha R)",'Master Sheet'!G136,"")</f>
        <v/>
      </c>
      <c r="H135" t="str">
        <f>IF('Master Sheet'!C136="Area 4 (Anitha R)",'Master Sheet'!H136,"")</f>
        <v/>
      </c>
      <c r="I135" t="str">
        <f>IF('Master Sheet'!C136="Area 4 (Anitha R)",'Master Sheet'!I136,"")</f>
        <v/>
      </c>
      <c r="J135" t="str">
        <f>IF('Master Sheet'!C136="Area 4 (Anitha R)",'Master Sheet'!J136,"")</f>
        <v/>
      </c>
      <c r="K135" t="str">
        <f>IF('Master Sheet'!C136="Area 4 (Anitha R)",'Master Sheet'!K136,"")</f>
        <v/>
      </c>
      <c r="L135" t="str">
        <f>IF('Master Sheet'!C136="Area 4 (Anitha R)",'Master Sheet'!L136,"")</f>
        <v/>
      </c>
      <c r="M135" t="str">
        <f>IF('Master Sheet'!C136="Area 4 (Anitha R)",'Master Sheet'!M136,"")</f>
        <v/>
      </c>
      <c r="N135" t="str">
        <f>IF('Master Sheet'!C136="Area 4 (Anitha R)",'Master Sheet'!N136,"")</f>
        <v/>
      </c>
      <c r="O135" t="str">
        <f>IF('Master Sheet'!C136="Area 4 (Anitha R)",'Master Sheet'!O136,"")</f>
        <v/>
      </c>
      <c r="P135" t="str">
        <f>IF('Master Sheet'!C136="Area 4 (Anitha R)",'Master Sheet'!P136,"")</f>
        <v/>
      </c>
    </row>
    <row r="136" spans="1:16" hidden="1" x14ac:dyDescent="0.25">
      <c r="A136" t="str">
        <f>IF('Master Sheet'!C137="Area 4 (Anitha R)",'Master Sheet'!A137,"")</f>
        <v/>
      </c>
      <c r="B136" t="str">
        <f>IF('Master Sheet'!C137="Area 4 (Anitha R)",'Master Sheet'!B137,"")</f>
        <v/>
      </c>
      <c r="C136" t="s">
        <v>7</v>
      </c>
      <c r="D136" t="str">
        <f>IF('Master Sheet'!C137="Area 4 (Anitha R)",'Master Sheet'!D137,"")</f>
        <v/>
      </c>
      <c r="E136" t="str">
        <f>IF('Master Sheet'!C137="Area 4 (Anitha R)",'Master Sheet'!E137,"")</f>
        <v/>
      </c>
      <c r="F136" t="str">
        <f>IF('Master Sheet'!C137="Area 4 (Anitha R)",'Master Sheet'!F137,"")</f>
        <v/>
      </c>
      <c r="G136" t="str">
        <f>IF('Master Sheet'!C137="Area 4 (Anitha R)",'Master Sheet'!G137,"")</f>
        <v/>
      </c>
      <c r="H136" t="str">
        <f>IF('Master Sheet'!C137="Area 4 (Anitha R)",'Master Sheet'!H137,"")</f>
        <v/>
      </c>
      <c r="I136" t="str">
        <f>IF('Master Sheet'!C137="Area 4 (Anitha R)",'Master Sheet'!I137,"")</f>
        <v/>
      </c>
      <c r="J136" t="str">
        <f>IF('Master Sheet'!C137="Area 4 (Anitha R)",'Master Sheet'!J137,"")</f>
        <v/>
      </c>
      <c r="K136" t="str">
        <f>IF('Master Sheet'!C137="Area 4 (Anitha R)",'Master Sheet'!K137,"")</f>
        <v/>
      </c>
      <c r="L136" t="str">
        <f>IF('Master Sheet'!C137="Area 4 (Anitha R)",'Master Sheet'!L137,"")</f>
        <v/>
      </c>
      <c r="M136" t="str">
        <f>IF('Master Sheet'!C137="Area 4 (Anitha R)",'Master Sheet'!M137,"")</f>
        <v/>
      </c>
      <c r="N136" t="str">
        <f>IF('Master Sheet'!C137="Area 4 (Anitha R)",'Master Sheet'!N137,"")</f>
        <v/>
      </c>
      <c r="O136" t="str">
        <f>IF('Master Sheet'!C137="Area 4 (Anitha R)",'Master Sheet'!O137,"")</f>
        <v/>
      </c>
      <c r="P136" t="str">
        <f>IF('Master Sheet'!C137="Area 4 (Anitha R)",'Master Sheet'!P137,"")</f>
        <v/>
      </c>
    </row>
    <row r="137" spans="1:16" hidden="1" x14ac:dyDescent="0.25">
      <c r="A137" t="str">
        <f>IF('Master Sheet'!C138="Area 4 (Anitha R)",'Master Sheet'!A138,"")</f>
        <v/>
      </c>
      <c r="B137" t="str">
        <f>IF('Master Sheet'!C138="Area 4 (Anitha R)",'Master Sheet'!B138,"")</f>
        <v/>
      </c>
      <c r="C137" t="s">
        <v>7</v>
      </c>
      <c r="D137" t="str">
        <f>IF('Master Sheet'!C138="Area 4 (Anitha R)",'Master Sheet'!D138,"")</f>
        <v/>
      </c>
      <c r="E137" t="str">
        <f>IF('Master Sheet'!C138="Area 4 (Anitha R)",'Master Sheet'!E138,"")</f>
        <v/>
      </c>
      <c r="F137" t="str">
        <f>IF('Master Sheet'!C138="Area 4 (Anitha R)",'Master Sheet'!F138,"")</f>
        <v/>
      </c>
      <c r="G137" t="str">
        <f>IF('Master Sheet'!C138="Area 4 (Anitha R)",'Master Sheet'!G138,"")</f>
        <v/>
      </c>
      <c r="H137" t="str">
        <f>IF('Master Sheet'!C138="Area 4 (Anitha R)",'Master Sheet'!H138,"")</f>
        <v/>
      </c>
      <c r="I137" t="str">
        <f>IF('Master Sheet'!C138="Area 4 (Anitha R)",'Master Sheet'!I138,"")</f>
        <v/>
      </c>
      <c r="J137" t="str">
        <f>IF('Master Sheet'!C138="Area 4 (Anitha R)",'Master Sheet'!J138,"")</f>
        <v/>
      </c>
      <c r="K137" t="str">
        <f>IF('Master Sheet'!C138="Area 4 (Anitha R)",'Master Sheet'!K138,"")</f>
        <v/>
      </c>
      <c r="L137" t="str">
        <f>IF('Master Sheet'!C138="Area 4 (Anitha R)",'Master Sheet'!L138,"")</f>
        <v/>
      </c>
      <c r="M137" t="str">
        <f>IF('Master Sheet'!C138="Area 4 (Anitha R)",'Master Sheet'!M138,"")</f>
        <v/>
      </c>
      <c r="N137" t="str">
        <f>IF('Master Sheet'!C138="Area 4 (Anitha R)",'Master Sheet'!N138,"")</f>
        <v/>
      </c>
      <c r="O137" t="str">
        <f>IF('Master Sheet'!C138="Area 4 (Anitha R)",'Master Sheet'!O138,"")</f>
        <v/>
      </c>
      <c r="P137" t="str">
        <f>IF('Master Sheet'!C138="Area 4 (Anitha R)",'Master Sheet'!P138,"")</f>
        <v/>
      </c>
    </row>
    <row r="138" spans="1:16" hidden="1" x14ac:dyDescent="0.25">
      <c r="A138" t="str">
        <f>IF('Master Sheet'!C139="Area 4 (Anitha R)",'Master Sheet'!A139,"")</f>
        <v/>
      </c>
      <c r="B138" t="str">
        <f>IF('Master Sheet'!C139="Area 4 (Anitha R)",'Master Sheet'!B139,"")</f>
        <v/>
      </c>
      <c r="C138" t="s">
        <v>7</v>
      </c>
      <c r="D138" t="str">
        <f>IF('Master Sheet'!C139="Area 4 (Anitha R)",'Master Sheet'!D139,"")</f>
        <v/>
      </c>
      <c r="E138" t="str">
        <f>IF('Master Sheet'!C139="Area 4 (Anitha R)",'Master Sheet'!E139,"")</f>
        <v/>
      </c>
      <c r="F138" t="str">
        <f>IF('Master Sheet'!C139="Area 4 (Anitha R)",'Master Sheet'!F139,"")</f>
        <v/>
      </c>
      <c r="G138" t="str">
        <f>IF('Master Sheet'!C139="Area 4 (Anitha R)",'Master Sheet'!G139,"")</f>
        <v/>
      </c>
      <c r="H138" t="str">
        <f>IF('Master Sheet'!C139="Area 4 (Anitha R)",'Master Sheet'!H139,"")</f>
        <v/>
      </c>
      <c r="I138" t="str">
        <f>IF('Master Sheet'!C139="Area 4 (Anitha R)",'Master Sheet'!I139,"")</f>
        <v/>
      </c>
      <c r="J138" t="str">
        <f>IF('Master Sheet'!C139="Area 4 (Anitha R)",'Master Sheet'!J139,"")</f>
        <v/>
      </c>
      <c r="K138" t="str">
        <f>IF('Master Sheet'!C139="Area 4 (Anitha R)",'Master Sheet'!K139,"")</f>
        <v/>
      </c>
      <c r="L138" t="str">
        <f>IF('Master Sheet'!C139="Area 4 (Anitha R)",'Master Sheet'!L139,"")</f>
        <v/>
      </c>
      <c r="M138" t="str">
        <f>IF('Master Sheet'!C139="Area 4 (Anitha R)",'Master Sheet'!M139,"")</f>
        <v/>
      </c>
      <c r="N138" t="str">
        <f>IF('Master Sheet'!C139="Area 4 (Anitha R)",'Master Sheet'!N139,"")</f>
        <v/>
      </c>
      <c r="O138" t="str">
        <f>IF('Master Sheet'!C139="Area 4 (Anitha R)",'Master Sheet'!O139,"")</f>
        <v/>
      </c>
      <c r="P138" t="str">
        <f>IF('Master Sheet'!C139="Area 4 (Anitha R)",'Master Sheet'!P139,"")</f>
        <v/>
      </c>
    </row>
    <row r="139" spans="1:16" hidden="1" x14ac:dyDescent="0.25">
      <c r="A139" t="str">
        <f>IF('Master Sheet'!C140="Area 4 (Anitha R)",'Master Sheet'!A140,"")</f>
        <v/>
      </c>
      <c r="B139" t="str">
        <f>IF('Master Sheet'!C140="Area 4 (Anitha R)",'Master Sheet'!B140,"")</f>
        <v/>
      </c>
      <c r="C139" t="s">
        <v>7</v>
      </c>
      <c r="D139" t="str">
        <f>IF('Master Sheet'!C140="Area 4 (Anitha R)",'Master Sheet'!D140,"")</f>
        <v/>
      </c>
      <c r="E139" t="str">
        <f>IF('Master Sheet'!C140="Area 4 (Anitha R)",'Master Sheet'!E140,"")</f>
        <v/>
      </c>
      <c r="F139" t="str">
        <f>IF('Master Sheet'!C140="Area 4 (Anitha R)",'Master Sheet'!F140,"")</f>
        <v/>
      </c>
      <c r="G139" t="str">
        <f>IF('Master Sheet'!C140="Area 4 (Anitha R)",'Master Sheet'!G140,"")</f>
        <v/>
      </c>
      <c r="H139" t="str">
        <f>IF('Master Sheet'!C140="Area 4 (Anitha R)",'Master Sheet'!H140,"")</f>
        <v/>
      </c>
      <c r="I139" t="str">
        <f>IF('Master Sheet'!C140="Area 4 (Anitha R)",'Master Sheet'!I140,"")</f>
        <v/>
      </c>
      <c r="J139" t="str">
        <f>IF('Master Sheet'!C140="Area 4 (Anitha R)",'Master Sheet'!J140,"")</f>
        <v/>
      </c>
      <c r="K139" t="str">
        <f>IF('Master Sheet'!C140="Area 4 (Anitha R)",'Master Sheet'!K140,"")</f>
        <v/>
      </c>
      <c r="L139" t="str">
        <f>IF('Master Sheet'!C140="Area 4 (Anitha R)",'Master Sheet'!L140,"")</f>
        <v/>
      </c>
      <c r="M139" t="str">
        <f>IF('Master Sheet'!C140="Area 4 (Anitha R)",'Master Sheet'!M140,"")</f>
        <v/>
      </c>
      <c r="N139" t="str">
        <f>IF('Master Sheet'!C140="Area 4 (Anitha R)",'Master Sheet'!N140,"")</f>
        <v/>
      </c>
      <c r="O139" t="str">
        <f>IF('Master Sheet'!C140="Area 4 (Anitha R)",'Master Sheet'!O140,"")</f>
        <v/>
      </c>
      <c r="P139" t="str">
        <f>IF('Master Sheet'!C140="Area 4 (Anitha R)",'Master Sheet'!P140,"")</f>
        <v/>
      </c>
    </row>
    <row r="140" spans="1:16" hidden="1" x14ac:dyDescent="0.25">
      <c r="A140" t="str">
        <f>IF('Master Sheet'!C141="Area 4 (Anitha R)",'Master Sheet'!A141,"")</f>
        <v/>
      </c>
      <c r="B140" t="str">
        <f>IF('Master Sheet'!C141="Area 4 (Anitha R)",'Master Sheet'!B141,"")</f>
        <v/>
      </c>
      <c r="C140" t="s">
        <v>7</v>
      </c>
      <c r="D140" t="str">
        <f>IF('Master Sheet'!C141="Area 4 (Anitha R)",'Master Sheet'!D141,"")</f>
        <v/>
      </c>
      <c r="E140" t="str">
        <f>IF('Master Sheet'!C141="Area 4 (Anitha R)",'Master Sheet'!E141,"")</f>
        <v/>
      </c>
      <c r="F140" t="str">
        <f>IF('Master Sheet'!C141="Area 4 (Anitha R)",'Master Sheet'!F141,"")</f>
        <v/>
      </c>
      <c r="G140" t="str">
        <f>IF('Master Sheet'!C141="Area 4 (Anitha R)",'Master Sheet'!G141,"")</f>
        <v/>
      </c>
      <c r="H140" t="str">
        <f>IF('Master Sheet'!C141="Area 4 (Anitha R)",'Master Sheet'!H141,"")</f>
        <v/>
      </c>
      <c r="I140" t="str">
        <f>IF('Master Sheet'!C141="Area 4 (Anitha R)",'Master Sheet'!I141,"")</f>
        <v/>
      </c>
      <c r="J140" t="str">
        <f>IF('Master Sheet'!C141="Area 4 (Anitha R)",'Master Sheet'!J141,"")</f>
        <v/>
      </c>
      <c r="K140" t="str">
        <f>IF('Master Sheet'!C141="Area 4 (Anitha R)",'Master Sheet'!K141,"")</f>
        <v/>
      </c>
      <c r="L140" t="str">
        <f>IF('Master Sheet'!C141="Area 4 (Anitha R)",'Master Sheet'!L141,"")</f>
        <v/>
      </c>
      <c r="M140" t="str">
        <f>IF('Master Sheet'!C141="Area 4 (Anitha R)",'Master Sheet'!M141,"")</f>
        <v/>
      </c>
      <c r="N140" t="str">
        <f>IF('Master Sheet'!C141="Area 4 (Anitha R)",'Master Sheet'!N141,"")</f>
        <v/>
      </c>
      <c r="O140" t="str">
        <f>IF('Master Sheet'!C141="Area 4 (Anitha R)",'Master Sheet'!O141,"")</f>
        <v/>
      </c>
      <c r="P140" t="str">
        <f>IF('Master Sheet'!C141="Area 4 (Anitha R)",'Master Sheet'!P141,"")</f>
        <v/>
      </c>
    </row>
    <row r="141" spans="1:16" hidden="1" x14ac:dyDescent="0.25">
      <c r="A141" t="str">
        <f>IF('Master Sheet'!C142="Area 4 (Anitha R)",'Master Sheet'!A142,"")</f>
        <v/>
      </c>
      <c r="B141" t="str">
        <f>IF('Master Sheet'!C142="Area 4 (Anitha R)",'Master Sheet'!B142,"")</f>
        <v/>
      </c>
      <c r="C141" t="s">
        <v>7</v>
      </c>
      <c r="D141" t="str">
        <f>IF('Master Sheet'!C142="Area 4 (Anitha R)",'Master Sheet'!D142,"")</f>
        <v/>
      </c>
      <c r="E141" t="str">
        <f>IF('Master Sheet'!C142="Area 4 (Anitha R)",'Master Sheet'!E142,"")</f>
        <v/>
      </c>
      <c r="F141" t="str">
        <f>IF('Master Sheet'!C142="Area 4 (Anitha R)",'Master Sheet'!F142,"")</f>
        <v/>
      </c>
      <c r="G141" t="str">
        <f>IF('Master Sheet'!C142="Area 4 (Anitha R)",'Master Sheet'!G142,"")</f>
        <v/>
      </c>
      <c r="H141" t="str">
        <f>IF('Master Sheet'!C142="Area 4 (Anitha R)",'Master Sheet'!H142,"")</f>
        <v/>
      </c>
      <c r="I141" t="str">
        <f>IF('Master Sheet'!C142="Area 4 (Anitha R)",'Master Sheet'!I142,"")</f>
        <v/>
      </c>
      <c r="J141" t="str">
        <f>IF('Master Sheet'!C142="Area 4 (Anitha R)",'Master Sheet'!J142,"")</f>
        <v/>
      </c>
      <c r="K141" t="str">
        <f>IF('Master Sheet'!C142="Area 4 (Anitha R)",'Master Sheet'!K142,"")</f>
        <v/>
      </c>
      <c r="L141" t="str">
        <f>IF('Master Sheet'!C142="Area 4 (Anitha R)",'Master Sheet'!L142,"")</f>
        <v/>
      </c>
      <c r="M141" t="str">
        <f>IF('Master Sheet'!C142="Area 4 (Anitha R)",'Master Sheet'!M142,"")</f>
        <v/>
      </c>
      <c r="N141" t="str">
        <f>IF('Master Sheet'!C142="Area 4 (Anitha R)",'Master Sheet'!N142,"")</f>
        <v/>
      </c>
      <c r="O141" t="str">
        <f>IF('Master Sheet'!C142="Area 4 (Anitha R)",'Master Sheet'!O142,"")</f>
        <v/>
      </c>
      <c r="P141" t="str">
        <f>IF('Master Sheet'!C142="Area 4 (Anitha R)",'Master Sheet'!P142,"")</f>
        <v/>
      </c>
    </row>
    <row r="142" spans="1:16" hidden="1" x14ac:dyDescent="0.25">
      <c r="A142" t="str">
        <f>IF('Master Sheet'!C143="Area 4 (Anitha R)",'Master Sheet'!A143,"")</f>
        <v/>
      </c>
      <c r="B142" t="str">
        <f>IF('Master Sheet'!C143="Area 4 (Anitha R)",'Master Sheet'!B143,"")</f>
        <v/>
      </c>
      <c r="C142" t="s">
        <v>7</v>
      </c>
      <c r="D142" t="str">
        <f>IF('Master Sheet'!C143="Area 4 (Anitha R)",'Master Sheet'!D143,"")</f>
        <v/>
      </c>
      <c r="E142" t="str">
        <f>IF('Master Sheet'!C143="Area 4 (Anitha R)",'Master Sheet'!E143,"")</f>
        <v/>
      </c>
      <c r="F142" t="str">
        <f>IF('Master Sheet'!C143="Area 4 (Anitha R)",'Master Sheet'!F143,"")</f>
        <v/>
      </c>
      <c r="G142" t="str">
        <f>IF('Master Sheet'!C143="Area 4 (Anitha R)",'Master Sheet'!G143,"")</f>
        <v/>
      </c>
      <c r="H142" t="str">
        <f>IF('Master Sheet'!C143="Area 4 (Anitha R)",'Master Sheet'!H143,"")</f>
        <v/>
      </c>
      <c r="I142" t="str">
        <f>IF('Master Sheet'!C143="Area 4 (Anitha R)",'Master Sheet'!I143,"")</f>
        <v/>
      </c>
      <c r="J142" t="str">
        <f>IF('Master Sheet'!C143="Area 4 (Anitha R)",'Master Sheet'!J143,"")</f>
        <v/>
      </c>
      <c r="K142" t="str">
        <f>IF('Master Sheet'!C143="Area 4 (Anitha R)",'Master Sheet'!K143,"")</f>
        <v/>
      </c>
      <c r="L142" t="str">
        <f>IF('Master Sheet'!C143="Area 4 (Anitha R)",'Master Sheet'!L143,"")</f>
        <v/>
      </c>
      <c r="M142" t="str">
        <f>IF('Master Sheet'!C143="Area 4 (Anitha R)",'Master Sheet'!M143,"")</f>
        <v/>
      </c>
      <c r="N142" t="str">
        <f>IF('Master Sheet'!C143="Area 4 (Anitha R)",'Master Sheet'!N143,"")</f>
        <v/>
      </c>
      <c r="O142" t="str">
        <f>IF('Master Sheet'!C143="Area 4 (Anitha R)",'Master Sheet'!O143,"")</f>
        <v/>
      </c>
      <c r="P142" t="str">
        <f>IF('Master Sheet'!C143="Area 4 (Anitha R)",'Master Sheet'!P143,"")</f>
        <v/>
      </c>
    </row>
    <row r="143" spans="1:16" hidden="1" x14ac:dyDescent="0.25">
      <c r="A143" t="str">
        <f>IF('Master Sheet'!C144="Area 4 (Anitha R)",'Master Sheet'!A144,"")</f>
        <v/>
      </c>
      <c r="B143" t="str">
        <f>IF('Master Sheet'!C144="Area 4 (Anitha R)",'Master Sheet'!B144,"")</f>
        <v/>
      </c>
      <c r="C143" t="s">
        <v>7</v>
      </c>
      <c r="D143" t="str">
        <f>IF('Master Sheet'!C144="Area 4 (Anitha R)",'Master Sheet'!D144,"")</f>
        <v/>
      </c>
      <c r="E143" t="str">
        <f>IF('Master Sheet'!C144="Area 4 (Anitha R)",'Master Sheet'!E144,"")</f>
        <v/>
      </c>
      <c r="F143" t="str">
        <f>IF('Master Sheet'!C144="Area 4 (Anitha R)",'Master Sheet'!F144,"")</f>
        <v/>
      </c>
      <c r="G143" t="str">
        <f>IF('Master Sheet'!C144="Area 4 (Anitha R)",'Master Sheet'!G144,"")</f>
        <v/>
      </c>
      <c r="H143" t="str">
        <f>IF('Master Sheet'!C144="Area 4 (Anitha R)",'Master Sheet'!H144,"")</f>
        <v/>
      </c>
      <c r="I143" t="str">
        <f>IF('Master Sheet'!C144="Area 4 (Anitha R)",'Master Sheet'!I144,"")</f>
        <v/>
      </c>
      <c r="J143" t="str">
        <f>IF('Master Sheet'!C144="Area 4 (Anitha R)",'Master Sheet'!J144,"")</f>
        <v/>
      </c>
      <c r="K143" t="str">
        <f>IF('Master Sheet'!C144="Area 4 (Anitha R)",'Master Sheet'!K144,"")</f>
        <v/>
      </c>
      <c r="L143" t="str">
        <f>IF('Master Sheet'!C144="Area 4 (Anitha R)",'Master Sheet'!L144,"")</f>
        <v/>
      </c>
      <c r="M143" t="str">
        <f>IF('Master Sheet'!C144="Area 4 (Anitha R)",'Master Sheet'!M144,"")</f>
        <v/>
      </c>
      <c r="N143" t="str">
        <f>IF('Master Sheet'!C144="Area 4 (Anitha R)",'Master Sheet'!N144,"")</f>
        <v/>
      </c>
      <c r="O143" t="str">
        <f>IF('Master Sheet'!C144="Area 4 (Anitha R)",'Master Sheet'!O144,"")</f>
        <v/>
      </c>
      <c r="P143" t="str">
        <f>IF('Master Sheet'!C144="Area 4 (Anitha R)",'Master Sheet'!P144,"")</f>
        <v/>
      </c>
    </row>
    <row r="144" spans="1:16" hidden="1" x14ac:dyDescent="0.25">
      <c r="A144" t="str">
        <f>IF('Master Sheet'!C145="Area 4 (Anitha R)",'Master Sheet'!A145,"")</f>
        <v/>
      </c>
      <c r="B144" t="str">
        <f>IF('Master Sheet'!C145="Area 4 (Anitha R)",'Master Sheet'!B145,"")</f>
        <v/>
      </c>
      <c r="C144" t="s">
        <v>7</v>
      </c>
      <c r="D144" t="str">
        <f>IF('Master Sheet'!C145="Area 4 (Anitha R)",'Master Sheet'!D145,"")</f>
        <v/>
      </c>
      <c r="E144" t="str">
        <f>IF('Master Sheet'!C145="Area 4 (Anitha R)",'Master Sheet'!E145,"")</f>
        <v/>
      </c>
      <c r="F144" t="str">
        <f>IF('Master Sheet'!C145="Area 4 (Anitha R)",'Master Sheet'!F145,"")</f>
        <v/>
      </c>
      <c r="G144" t="str">
        <f>IF('Master Sheet'!C145="Area 4 (Anitha R)",'Master Sheet'!G145,"")</f>
        <v/>
      </c>
      <c r="H144" t="str">
        <f>IF('Master Sheet'!C145="Area 4 (Anitha R)",'Master Sheet'!H145,"")</f>
        <v/>
      </c>
      <c r="I144" t="str">
        <f>IF('Master Sheet'!C145="Area 4 (Anitha R)",'Master Sheet'!I145,"")</f>
        <v/>
      </c>
      <c r="J144" t="str">
        <f>IF('Master Sheet'!C145="Area 4 (Anitha R)",'Master Sheet'!J145,"")</f>
        <v/>
      </c>
      <c r="K144" t="str">
        <f>IF('Master Sheet'!C145="Area 4 (Anitha R)",'Master Sheet'!K145,"")</f>
        <v/>
      </c>
      <c r="L144" t="str">
        <f>IF('Master Sheet'!C145="Area 4 (Anitha R)",'Master Sheet'!L145,"")</f>
        <v/>
      </c>
      <c r="M144" t="str">
        <f>IF('Master Sheet'!C145="Area 4 (Anitha R)",'Master Sheet'!M145,"")</f>
        <v/>
      </c>
      <c r="N144" t="str">
        <f>IF('Master Sheet'!C145="Area 4 (Anitha R)",'Master Sheet'!N145,"")</f>
        <v/>
      </c>
      <c r="O144" t="str">
        <f>IF('Master Sheet'!C145="Area 4 (Anitha R)",'Master Sheet'!O145,"")</f>
        <v/>
      </c>
      <c r="P144" t="str">
        <f>IF('Master Sheet'!C145="Area 4 (Anitha R)",'Master Sheet'!P145,"")</f>
        <v/>
      </c>
    </row>
    <row r="145" spans="1:16" hidden="1" x14ac:dyDescent="0.25">
      <c r="A145" t="str">
        <f>IF('Master Sheet'!C146="Area 4 (Anitha R)",'Master Sheet'!A146,"")</f>
        <v/>
      </c>
      <c r="B145" t="str">
        <f>IF('Master Sheet'!C146="Area 4 (Anitha R)",'Master Sheet'!B146,"")</f>
        <v/>
      </c>
      <c r="C145" t="s">
        <v>7</v>
      </c>
      <c r="D145" t="str">
        <f>IF('Master Sheet'!C146="Area 4 (Anitha R)",'Master Sheet'!D146,"")</f>
        <v/>
      </c>
      <c r="E145" t="str">
        <f>IF('Master Sheet'!C146="Area 4 (Anitha R)",'Master Sheet'!E146,"")</f>
        <v/>
      </c>
      <c r="F145" t="str">
        <f>IF('Master Sheet'!C146="Area 4 (Anitha R)",'Master Sheet'!F146,"")</f>
        <v/>
      </c>
      <c r="G145" t="str">
        <f>IF('Master Sheet'!C146="Area 4 (Anitha R)",'Master Sheet'!G146,"")</f>
        <v/>
      </c>
      <c r="H145" t="str">
        <f>IF('Master Sheet'!C146="Area 4 (Anitha R)",'Master Sheet'!H146,"")</f>
        <v/>
      </c>
      <c r="I145" t="str">
        <f>IF('Master Sheet'!C146="Area 4 (Anitha R)",'Master Sheet'!I146,"")</f>
        <v/>
      </c>
      <c r="J145" t="str">
        <f>IF('Master Sheet'!C146="Area 4 (Anitha R)",'Master Sheet'!J146,"")</f>
        <v/>
      </c>
      <c r="K145" t="str">
        <f>IF('Master Sheet'!C146="Area 4 (Anitha R)",'Master Sheet'!K146,"")</f>
        <v/>
      </c>
      <c r="L145" t="str">
        <f>IF('Master Sheet'!C146="Area 4 (Anitha R)",'Master Sheet'!L146,"")</f>
        <v/>
      </c>
      <c r="M145" t="str">
        <f>IF('Master Sheet'!C146="Area 4 (Anitha R)",'Master Sheet'!M146,"")</f>
        <v/>
      </c>
      <c r="N145" t="str">
        <f>IF('Master Sheet'!C146="Area 4 (Anitha R)",'Master Sheet'!N146,"")</f>
        <v/>
      </c>
      <c r="O145" t="str">
        <f>IF('Master Sheet'!C146="Area 4 (Anitha R)",'Master Sheet'!O146,"")</f>
        <v/>
      </c>
      <c r="P145" t="str">
        <f>IF('Master Sheet'!C146="Area 4 (Anitha R)",'Master Sheet'!P146,"")</f>
        <v/>
      </c>
    </row>
    <row r="146" spans="1:16" hidden="1" x14ac:dyDescent="0.25">
      <c r="A146" t="str">
        <f>IF('Master Sheet'!C147="Area 4 (Anitha R)",'Master Sheet'!A147,"")</f>
        <v/>
      </c>
      <c r="B146" t="str">
        <f>IF('Master Sheet'!C147="Area 4 (Anitha R)",'Master Sheet'!B147,"")</f>
        <v/>
      </c>
      <c r="C146" t="s">
        <v>7</v>
      </c>
      <c r="D146" t="str">
        <f>IF('Master Sheet'!C147="Area 4 (Anitha R)",'Master Sheet'!D147,"")</f>
        <v/>
      </c>
      <c r="E146" t="str">
        <f>IF('Master Sheet'!C147="Area 4 (Anitha R)",'Master Sheet'!E147,"")</f>
        <v/>
      </c>
      <c r="F146" t="str">
        <f>IF('Master Sheet'!C147="Area 4 (Anitha R)",'Master Sheet'!F147,"")</f>
        <v/>
      </c>
      <c r="G146" t="str">
        <f>IF('Master Sheet'!C147="Area 4 (Anitha R)",'Master Sheet'!G147,"")</f>
        <v/>
      </c>
      <c r="H146" t="str">
        <f>IF('Master Sheet'!C147="Area 4 (Anitha R)",'Master Sheet'!H147,"")</f>
        <v/>
      </c>
      <c r="I146" t="str">
        <f>IF('Master Sheet'!C147="Area 4 (Anitha R)",'Master Sheet'!I147,"")</f>
        <v/>
      </c>
      <c r="J146" t="str">
        <f>IF('Master Sheet'!C147="Area 4 (Anitha R)",'Master Sheet'!J147,"")</f>
        <v/>
      </c>
      <c r="K146" t="str">
        <f>IF('Master Sheet'!C147="Area 4 (Anitha R)",'Master Sheet'!K147,"")</f>
        <v/>
      </c>
      <c r="L146" t="str">
        <f>IF('Master Sheet'!C147="Area 4 (Anitha R)",'Master Sheet'!L147,"")</f>
        <v/>
      </c>
      <c r="M146" t="str">
        <f>IF('Master Sheet'!C147="Area 4 (Anitha R)",'Master Sheet'!M147,"")</f>
        <v/>
      </c>
      <c r="N146" t="str">
        <f>IF('Master Sheet'!C147="Area 4 (Anitha R)",'Master Sheet'!N147,"")</f>
        <v/>
      </c>
      <c r="O146" t="str">
        <f>IF('Master Sheet'!C147="Area 4 (Anitha R)",'Master Sheet'!O147,"")</f>
        <v/>
      </c>
      <c r="P146" t="str">
        <f>IF('Master Sheet'!C147="Area 4 (Anitha R)",'Master Sheet'!P147,"")</f>
        <v/>
      </c>
    </row>
    <row r="147" spans="1:16" hidden="1" x14ac:dyDescent="0.25">
      <c r="A147" t="str">
        <f>IF('Master Sheet'!C148="Area 4 (Anitha R)",'Master Sheet'!A148,"")</f>
        <v/>
      </c>
      <c r="B147" t="str">
        <f>IF('Master Sheet'!C148="Area 4 (Anitha R)",'Master Sheet'!B148,"")</f>
        <v/>
      </c>
      <c r="C147" t="s">
        <v>7</v>
      </c>
      <c r="D147" t="str">
        <f>IF('Master Sheet'!C148="Area 4 (Anitha R)",'Master Sheet'!D148,"")</f>
        <v/>
      </c>
      <c r="E147" t="str">
        <f>IF('Master Sheet'!C148="Area 4 (Anitha R)",'Master Sheet'!E148,"")</f>
        <v/>
      </c>
      <c r="F147" t="str">
        <f>IF('Master Sheet'!C148="Area 4 (Anitha R)",'Master Sheet'!F148,"")</f>
        <v/>
      </c>
      <c r="G147" t="str">
        <f>IF('Master Sheet'!C148="Area 4 (Anitha R)",'Master Sheet'!G148,"")</f>
        <v/>
      </c>
      <c r="H147" t="str">
        <f>IF('Master Sheet'!C148="Area 4 (Anitha R)",'Master Sheet'!H148,"")</f>
        <v/>
      </c>
      <c r="I147" t="str">
        <f>IF('Master Sheet'!C148="Area 4 (Anitha R)",'Master Sheet'!I148,"")</f>
        <v/>
      </c>
      <c r="J147" t="str">
        <f>IF('Master Sheet'!C148="Area 4 (Anitha R)",'Master Sheet'!J148,"")</f>
        <v/>
      </c>
      <c r="K147" t="str">
        <f>IF('Master Sheet'!C148="Area 4 (Anitha R)",'Master Sheet'!K148,"")</f>
        <v/>
      </c>
      <c r="L147" t="str">
        <f>IF('Master Sheet'!C148="Area 4 (Anitha R)",'Master Sheet'!L148,"")</f>
        <v/>
      </c>
      <c r="M147" t="str">
        <f>IF('Master Sheet'!C148="Area 4 (Anitha R)",'Master Sheet'!M148,"")</f>
        <v/>
      </c>
      <c r="N147" t="str">
        <f>IF('Master Sheet'!C148="Area 4 (Anitha R)",'Master Sheet'!N148,"")</f>
        <v/>
      </c>
      <c r="O147" t="str">
        <f>IF('Master Sheet'!C148="Area 4 (Anitha R)",'Master Sheet'!O148,"")</f>
        <v/>
      </c>
      <c r="P147" t="str">
        <f>IF('Master Sheet'!C148="Area 4 (Anitha R)",'Master Sheet'!P148,"")</f>
        <v/>
      </c>
    </row>
    <row r="148" spans="1:16" hidden="1" x14ac:dyDescent="0.25">
      <c r="A148" t="str">
        <f>IF('Master Sheet'!C149="Area 4 (Anitha R)",'Master Sheet'!A149,"")</f>
        <v/>
      </c>
      <c r="B148" t="str">
        <f>IF('Master Sheet'!C149="Area 4 (Anitha R)",'Master Sheet'!B149,"")</f>
        <v/>
      </c>
      <c r="C148" t="s">
        <v>7</v>
      </c>
      <c r="D148" t="str">
        <f>IF('Master Sheet'!C149="Area 4 (Anitha R)",'Master Sheet'!D149,"")</f>
        <v/>
      </c>
      <c r="E148" t="str">
        <f>IF('Master Sheet'!C149="Area 4 (Anitha R)",'Master Sheet'!E149,"")</f>
        <v/>
      </c>
      <c r="F148" t="str">
        <f>IF('Master Sheet'!C149="Area 4 (Anitha R)",'Master Sheet'!F149,"")</f>
        <v/>
      </c>
      <c r="G148" t="str">
        <f>IF('Master Sheet'!C149="Area 4 (Anitha R)",'Master Sheet'!G149,"")</f>
        <v/>
      </c>
      <c r="H148" t="str">
        <f>IF('Master Sheet'!C149="Area 4 (Anitha R)",'Master Sheet'!H149,"")</f>
        <v/>
      </c>
      <c r="I148" t="str">
        <f>IF('Master Sheet'!C149="Area 4 (Anitha R)",'Master Sheet'!I149,"")</f>
        <v/>
      </c>
      <c r="J148" t="str">
        <f>IF('Master Sheet'!C149="Area 4 (Anitha R)",'Master Sheet'!J149,"")</f>
        <v/>
      </c>
      <c r="K148" t="str">
        <f>IF('Master Sheet'!C149="Area 4 (Anitha R)",'Master Sheet'!K149,"")</f>
        <v/>
      </c>
      <c r="L148" t="str">
        <f>IF('Master Sheet'!C149="Area 4 (Anitha R)",'Master Sheet'!L149,"")</f>
        <v/>
      </c>
      <c r="M148" t="str">
        <f>IF('Master Sheet'!C149="Area 4 (Anitha R)",'Master Sheet'!M149,"")</f>
        <v/>
      </c>
      <c r="N148" t="str">
        <f>IF('Master Sheet'!C149="Area 4 (Anitha R)",'Master Sheet'!N149,"")</f>
        <v/>
      </c>
      <c r="O148" t="str">
        <f>IF('Master Sheet'!C149="Area 4 (Anitha R)",'Master Sheet'!O149,"")</f>
        <v/>
      </c>
      <c r="P148" t="str">
        <f>IF('Master Sheet'!C149="Area 4 (Anitha R)",'Master Sheet'!P149,"")</f>
        <v/>
      </c>
    </row>
    <row r="149" spans="1:16" hidden="1" x14ac:dyDescent="0.25">
      <c r="A149" t="str">
        <f>IF('Master Sheet'!C150="Area 4 (Anitha R)",'Master Sheet'!A150,"")</f>
        <v/>
      </c>
      <c r="B149" t="str">
        <f>IF('Master Sheet'!C150="Area 4 (Anitha R)",'Master Sheet'!B150,"")</f>
        <v/>
      </c>
      <c r="C149" t="s">
        <v>7</v>
      </c>
      <c r="D149" t="str">
        <f>IF('Master Sheet'!C150="Area 4 (Anitha R)",'Master Sheet'!D150,"")</f>
        <v/>
      </c>
      <c r="E149" t="str">
        <f>IF('Master Sheet'!C150="Area 4 (Anitha R)",'Master Sheet'!E150,"")</f>
        <v/>
      </c>
      <c r="F149" t="str">
        <f>IF('Master Sheet'!C150="Area 4 (Anitha R)",'Master Sheet'!F150,"")</f>
        <v/>
      </c>
      <c r="G149" t="str">
        <f>IF('Master Sheet'!C150="Area 4 (Anitha R)",'Master Sheet'!G150,"")</f>
        <v/>
      </c>
      <c r="H149" t="str">
        <f>IF('Master Sheet'!C150="Area 4 (Anitha R)",'Master Sheet'!H150,"")</f>
        <v/>
      </c>
      <c r="I149" t="str">
        <f>IF('Master Sheet'!C150="Area 4 (Anitha R)",'Master Sheet'!I150,"")</f>
        <v/>
      </c>
      <c r="J149" t="str">
        <f>IF('Master Sheet'!C150="Area 4 (Anitha R)",'Master Sheet'!J150,"")</f>
        <v/>
      </c>
      <c r="K149" t="str">
        <f>IF('Master Sheet'!C150="Area 4 (Anitha R)",'Master Sheet'!K150,"")</f>
        <v/>
      </c>
      <c r="L149" t="str">
        <f>IF('Master Sheet'!C150="Area 4 (Anitha R)",'Master Sheet'!L150,"")</f>
        <v/>
      </c>
      <c r="M149" t="str">
        <f>IF('Master Sheet'!C150="Area 4 (Anitha R)",'Master Sheet'!M150,"")</f>
        <v/>
      </c>
      <c r="N149" t="str">
        <f>IF('Master Sheet'!C150="Area 4 (Anitha R)",'Master Sheet'!N150,"")</f>
        <v/>
      </c>
      <c r="O149" t="str">
        <f>IF('Master Sheet'!C150="Area 4 (Anitha R)",'Master Sheet'!O150,"")</f>
        <v/>
      </c>
      <c r="P149" t="str">
        <f>IF('Master Sheet'!C150="Area 4 (Anitha R)",'Master Sheet'!P150,"")</f>
        <v/>
      </c>
    </row>
    <row r="150" spans="1:16" hidden="1" x14ac:dyDescent="0.25">
      <c r="A150" t="str">
        <f>IF('Master Sheet'!C151="Area 4 (Anitha R)",'Master Sheet'!A151,"")</f>
        <v/>
      </c>
      <c r="B150" t="str">
        <f>IF('Master Sheet'!C151="Area 4 (Anitha R)",'Master Sheet'!B151,"")</f>
        <v/>
      </c>
      <c r="C150" t="s">
        <v>7</v>
      </c>
      <c r="D150" t="str">
        <f>IF('Master Sheet'!C151="Area 4 (Anitha R)",'Master Sheet'!D151,"")</f>
        <v/>
      </c>
      <c r="E150" t="str">
        <f>IF('Master Sheet'!C151="Area 4 (Anitha R)",'Master Sheet'!E151,"")</f>
        <v/>
      </c>
      <c r="F150" t="str">
        <f>IF('Master Sheet'!C151="Area 4 (Anitha R)",'Master Sheet'!F151,"")</f>
        <v/>
      </c>
      <c r="G150" t="str">
        <f>IF('Master Sheet'!C151="Area 4 (Anitha R)",'Master Sheet'!G151,"")</f>
        <v/>
      </c>
      <c r="H150" t="str">
        <f>IF('Master Sheet'!C151="Area 4 (Anitha R)",'Master Sheet'!H151,"")</f>
        <v/>
      </c>
      <c r="I150" t="str">
        <f>IF('Master Sheet'!C151="Area 4 (Anitha R)",'Master Sheet'!I151,"")</f>
        <v/>
      </c>
      <c r="J150" t="str">
        <f>IF('Master Sheet'!C151="Area 4 (Anitha R)",'Master Sheet'!J151,"")</f>
        <v/>
      </c>
      <c r="K150" t="str">
        <f>IF('Master Sheet'!C151="Area 4 (Anitha R)",'Master Sheet'!K151,"")</f>
        <v/>
      </c>
      <c r="L150" t="str">
        <f>IF('Master Sheet'!C151="Area 4 (Anitha R)",'Master Sheet'!L151,"")</f>
        <v/>
      </c>
      <c r="M150" t="str">
        <f>IF('Master Sheet'!C151="Area 4 (Anitha R)",'Master Sheet'!M151,"")</f>
        <v/>
      </c>
      <c r="N150" t="str">
        <f>IF('Master Sheet'!C151="Area 4 (Anitha R)",'Master Sheet'!N151,"")</f>
        <v/>
      </c>
      <c r="O150" t="str">
        <f>IF('Master Sheet'!C151="Area 4 (Anitha R)",'Master Sheet'!O151,"")</f>
        <v/>
      </c>
      <c r="P150" t="str">
        <f>IF('Master Sheet'!C151="Area 4 (Anitha R)",'Master Sheet'!P151,"")</f>
        <v/>
      </c>
    </row>
    <row r="151" spans="1:16" hidden="1" x14ac:dyDescent="0.25">
      <c r="A151" t="str">
        <f>IF('Master Sheet'!C152="Area 4 (Anitha R)",'Master Sheet'!A152,"")</f>
        <v/>
      </c>
      <c r="B151" t="str">
        <f>IF('Master Sheet'!C152="Area 4 (Anitha R)",'Master Sheet'!B152,"")</f>
        <v/>
      </c>
      <c r="C151" t="s">
        <v>7</v>
      </c>
      <c r="D151" t="str">
        <f>IF('Master Sheet'!C152="Area 4 (Anitha R)",'Master Sheet'!D152,"")</f>
        <v/>
      </c>
      <c r="E151" t="str">
        <f>IF('Master Sheet'!C152="Area 4 (Anitha R)",'Master Sheet'!E152,"")</f>
        <v/>
      </c>
      <c r="F151" t="str">
        <f>IF('Master Sheet'!C152="Area 4 (Anitha R)",'Master Sheet'!F152,"")</f>
        <v/>
      </c>
      <c r="G151" t="str">
        <f>IF('Master Sheet'!C152="Area 4 (Anitha R)",'Master Sheet'!G152,"")</f>
        <v/>
      </c>
      <c r="H151" t="str">
        <f>IF('Master Sheet'!C152="Area 4 (Anitha R)",'Master Sheet'!H152,"")</f>
        <v/>
      </c>
      <c r="I151" t="str">
        <f>IF('Master Sheet'!C152="Area 4 (Anitha R)",'Master Sheet'!I152,"")</f>
        <v/>
      </c>
      <c r="J151" t="str">
        <f>IF('Master Sheet'!C152="Area 4 (Anitha R)",'Master Sheet'!J152,"")</f>
        <v/>
      </c>
      <c r="K151" t="str">
        <f>IF('Master Sheet'!C152="Area 4 (Anitha R)",'Master Sheet'!K152,"")</f>
        <v/>
      </c>
      <c r="L151" t="str">
        <f>IF('Master Sheet'!C152="Area 4 (Anitha R)",'Master Sheet'!L152,"")</f>
        <v/>
      </c>
      <c r="M151" t="str">
        <f>IF('Master Sheet'!C152="Area 4 (Anitha R)",'Master Sheet'!M152,"")</f>
        <v/>
      </c>
      <c r="N151" t="str">
        <f>IF('Master Sheet'!C152="Area 4 (Anitha R)",'Master Sheet'!N152,"")</f>
        <v/>
      </c>
      <c r="O151" t="str">
        <f>IF('Master Sheet'!C152="Area 4 (Anitha R)",'Master Sheet'!O152,"")</f>
        <v/>
      </c>
      <c r="P151" t="str">
        <f>IF('Master Sheet'!C152="Area 4 (Anitha R)",'Master Sheet'!P152,"")</f>
        <v/>
      </c>
    </row>
    <row r="152" spans="1:16" ht="15.75" x14ac:dyDescent="0.25">
      <c r="A152" s="2"/>
      <c r="B152" s="2"/>
      <c r="D152" s="30">
        <f>SUBTOTAL(9,D69:D151)</f>
        <v>2800</v>
      </c>
      <c r="E152" s="30">
        <f t="shared" ref="E152:M152" si="0">SUBTOTAL(9,E69:E151)</f>
        <v>3300</v>
      </c>
      <c r="F152" s="30">
        <f t="shared" si="0"/>
        <v>2950</v>
      </c>
      <c r="G152" s="30">
        <f t="shared" si="0"/>
        <v>1950</v>
      </c>
      <c r="H152" s="30">
        <f t="shared" si="0"/>
        <v>0</v>
      </c>
      <c r="I152" s="30">
        <f t="shared" si="0"/>
        <v>0</v>
      </c>
      <c r="J152" s="30">
        <f t="shared" si="0"/>
        <v>0</v>
      </c>
      <c r="K152" s="30">
        <f t="shared" si="0"/>
        <v>0</v>
      </c>
      <c r="L152" s="30">
        <f t="shared" si="0"/>
        <v>0</v>
      </c>
      <c r="M152" s="30">
        <f t="shared" si="0"/>
        <v>0</v>
      </c>
      <c r="N152" s="30">
        <f>D152+E152+F152+G152+H152+I152+J152+K152+L152+M152</f>
        <v>11000</v>
      </c>
      <c r="O152" s="31"/>
      <c r="P152" s="31"/>
    </row>
  </sheetData>
  <autoFilter ref="A1:P151">
    <filterColumn colId="0">
      <customFilters>
        <customFilter operator="notEqual" val=" "/>
      </customFilters>
    </filterColumn>
  </autoFilter>
  <printOptions horizontalCentered="1"/>
  <pageMargins left="0.75" right="0.75" top="1" bottom="1" header="0.5" footer="0.5"/>
  <pageSetup paperSize="8" scale="11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52"/>
  <sheetViews>
    <sheetView zoomScale="85" zoomScaleNormal="85" workbookViewId="0">
      <pane ySplit="77" topLeftCell="A78" activePane="bottomLeft" state="frozen"/>
      <selection pane="bottomLeft" activeCell="I159" sqref="I159"/>
    </sheetView>
  </sheetViews>
  <sheetFormatPr defaultRowHeight="15" x14ac:dyDescent="0.25"/>
  <cols>
    <col min="1" max="1" width="12.28515625" customWidth="1"/>
    <col min="2" max="2" width="27.5703125" style="11" customWidth="1"/>
    <col min="3" max="3" width="0" hidden="1" customWidth="1"/>
    <col min="4" max="13" width="8.85546875" style="1"/>
    <col min="14" max="14" width="11.5703125" style="1" customWidth="1"/>
    <col min="15" max="15" width="11.85546875" style="1" customWidth="1"/>
    <col min="16" max="16" width="10.7109375" style="1" customWidth="1"/>
  </cols>
  <sheetData>
    <row r="1" spans="1:16" s="14" customFormat="1" ht="19.899999999999999" customHeight="1" x14ac:dyDescent="0.25">
      <c r="A1" s="18" t="s">
        <v>11</v>
      </c>
      <c r="B1" s="19" t="s">
        <v>12</v>
      </c>
      <c r="C1" s="14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21" t="s">
        <v>23</v>
      </c>
      <c r="N1" s="21" t="s">
        <v>24</v>
      </c>
      <c r="O1" s="21" t="s">
        <v>25</v>
      </c>
      <c r="P1" s="21" t="s">
        <v>26</v>
      </c>
    </row>
    <row r="2" spans="1:16" hidden="1" x14ac:dyDescent="0.25">
      <c r="A2" t="str">
        <f>IF('Master Sheet'!C3="Area 5 (Renuka A)",'Master Sheet'!A3,"")</f>
        <v/>
      </c>
      <c r="B2" t="str">
        <f>IF('Master Sheet'!C3="Area 5 (Renuka A)",'Master Sheet'!B3,"")</f>
        <v/>
      </c>
      <c r="C2" t="s">
        <v>8</v>
      </c>
      <c r="D2" t="str">
        <f>IF('Master Sheet'!C3="Area 5 (Renuka A)",'Master Sheet'!D3,"")</f>
        <v/>
      </c>
      <c r="E2" t="str">
        <f>IF('Master Sheet'!C3="Area 5 (Renuka A)",'Master Sheet'!E3,"")</f>
        <v/>
      </c>
      <c r="F2" t="str">
        <f>IF('Master Sheet'!C3="Area 5 (Renuka A)",'Master Sheet'!F3,"")</f>
        <v/>
      </c>
      <c r="G2" t="str">
        <f>IF('Master Sheet'!C3="Area 5 (Renuka A)",'Master Sheet'!G3,"")</f>
        <v/>
      </c>
      <c r="H2" t="str">
        <f>IF('Master Sheet'!C3="Area 5 (Renuka A)",'Master Sheet'!H3,"")</f>
        <v/>
      </c>
      <c r="I2" t="str">
        <f>IF('Master Sheet'!C3="Area 5 (Renuka A)",'Master Sheet'!I3,"")</f>
        <v/>
      </c>
      <c r="J2" t="str">
        <f>IF('Master Sheet'!C3="Area 5 (Renuka A)",'Master Sheet'!J3,"")</f>
        <v/>
      </c>
      <c r="K2" t="str">
        <f>IF('Master Sheet'!C3="Area 5 (Renuka A)",'Master Sheet'!K3,"")</f>
        <v/>
      </c>
      <c r="L2" t="str">
        <f>IF('Master Sheet'!C3="Area 5 (Renuka A)",'Master Sheet'!L3,"")</f>
        <v/>
      </c>
      <c r="M2" t="str">
        <f>IF('Master Sheet'!C3="Area 5 (Renuka A)",'Master Sheet'!M3,"")</f>
        <v/>
      </c>
      <c r="N2" t="str">
        <f>IF('Master Sheet'!C3="Area 5 (Renuka A)",'Master Sheet'!N3,"")</f>
        <v/>
      </c>
      <c r="O2" t="str">
        <f>IF('Master Sheet'!C3="Area 5 (Renuka A)",'Master Sheet'!O3,"")</f>
        <v/>
      </c>
      <c r="P2" t="str">
        <f>IF('Master Sheet'!C3="Area 5 (Renuka A)",'Master Sheet'!P3,"")</f>
        <v/>
      </c>
    </row>
    <row r="3" spans="1:16" hidden="1" x14ac:dyDescent="0.25">
      <c r="A3" t="str">
        <f>IF('Master Sheet'!C4="Area 5 (Renuka A)",'Master Sheet'!A4,"")</f>
        <v/>
      </c>
      <c r="B3" t="str">
        <f>IF('Master Sheet'!C4="Area 5 (Renuka A)",'Master Sheet'!B4,"")</f>
        <v/>
      </c>
      <c r="C3" t="s">
        <v>8</v>
      </c>
      <c r="D3" t="str">
        <f>IF('Master Sheet'!C4="Area 5 (Renuka A)",'Master Sheet'!D4,"")</f>
        <v/>
      </c>
      <c r="E3" t="str">
        <f>IF('Master Sheet'!C4="Area 5 (Renuka A)",'Master Sheet'!E4,"")</f>
        <v/>
      </c>
      <c r="F3" t="str">
        <f>IF('Master Sheet'!C4="Area 5 (Renuka A)",'Master Sheet'!F4,"")</f>
        <v/>
      </c>
      <c r="G3" t="str">
        <f>IF('Master Sheet'!C4="Area 5 (Renuka A)",'Master Sheet'!G4,"")</f>
        <v/>
      </c>
      <c r="H3" t="str">
        <f>IF('Master Sheet'!C4="Area 5 (Renuka A)",'Master Sheet'!H4,"")</f>
        <v/>
      </c>
      <c r="I3" t="str">
        <f>IF('Master Sheet'!C4="Area 5 (Renuka A)",'Master Sheet'!I4,"")</f>
        <v/>
      </c>
      <c r="J3" t="str">
        <f>IF('Master Sheet'!C4="Area 5 (Renuka A)",'Master Sheet'!J4,"")</f>
        <v/>
      </c>
      <c r="K3" t="str">
        <f>IF('Master Sheet'!C4="Area 5 (Renuka A)",'Master Sheet'!K4,"")</f>
        <v/>
      </c>
      <c r="L3" t="str">
        <f>IF('Master Sheet'!C4="Area 5 (Renuka A)",'Master Sheet'!L4,"")</f>
        <v/>
      </c>
      <c r="M3" t="str">
        <f>IF('Master Sheet'!C4="Area 5 (Renuka A)",'Master Sheet'!M4,"")</f>
        <v/>
      </c>
      <c r="N3" t="str">
        <f>IF('Master Sheet'!C4="Area 5 (Renuka A)",'Master Sheet'!N4,"")</f>
        <v/>
      </c>
      <c r="O3" t="str">
        <f>IF('Master Sheet'!C4="Area 5 (Renuka A)",'Master Sheet'!O4,"")</f>
        <v/>
      </c>
      <c r="P3" t="str">
        <f>IF('Master Sheet'!C4="Area 5 (Renuka A)",'Master Sheet'!P4,"")</f>
        <v/>
      </c>
    </row>
    <row r="4" spans="1:16" hidden="1" x14ac:dyDescent="0.25">
      <c r="A4" t="str">
        <f>IF('Master Sheet'!C5="Area 5 (Renuka A)",'Master Sheet'!A5,"")</f>
        <v/>
      </c>
      <c r="B4" t="str">
        <f>IF('Master Sheet'!C5="Area 5 (Renuka A)",'Master Sheet'!B5,"")</f>
        <v/>
      </c>
      <c r="C4" t="s">
        <v>8</v>
      </c>
      <c r="D4" t="str">
        <f>IF('Master Sheet'!C5="Area 5 (Renuka A)",'Master Sheet'!D5,"")</f>
        <v/>
      </c>
      <c r="E4" t="str">
        <f>IF('Master Sheet'!C5="Area 5 (Renuka A)",'Master Sheet'!E5,"")</f>
        <v/>
      </c>
      <c r="F4" t="str">
        <f>IF('Master Sheet'!C5="Area 5 (Renuka A)",'Master Sheet'!F5,"")</f>
        <v/>
      </c>
      <c r="G4" t="str">
        <f>IF('Master Sheet'!C5="Area 5 (Renuka A)",'Master Sheet'!G5,"")</f>
        <v/>
      </c>
      <c r="H4" t="str">
        <f>IF('Master Sheet'!C5="Area 5 (Renuka A)",'Master Sheet'!H5,"")</f>
        <v/>
      </c>
      <c r="I4" t="str">
        <f>IF('Master Sheet'!C5="Area 5 (Renuka A)",'Master Sheet'!I5,"")</f>
        <v/>
      </c>
      <c r="J4" t="str">
        <f>IF('Master Sheet'!C5="Area 5 (Renuka A)",'Master Sheet'!J5,"")</f>
        <v/>
      </c>
      <c r="K4" t="str">
        <f>IF('Master Sheet'!C5="Area 5 (Renuka A)",'Master Sheet'!K5,"")</f>
        <v/>
      </c>
      <c r="L4" t="str">
        <f>IF('Master Sheet'!C5="Area 5 (Renuka A)",'Master Sheet'!L5,"")</f>
        <v/>
      </c>
      <c r="M4" t="str">
        <f>IF('Master Sheet'!C5="Area 5 (Renuka A)",'Master Sheet'!M5,"")</f>
        <v/>
      </c>
      <c r="N4" t="str">
        <f>IF('Master Sheet'!C5="Area 5 (Renuka A)",'Master Sheet'!N5,"")</f>
        <v/>
      </c>
      <c r="O4" t="str">
        <f>IF('Master Sheet'!C5="Area 5 (Renuka A)",'Master Sheet'!O5,"")</f>
        <v/>
      </c>
      <c r="P4" t="str">
        <f>IF('Master Sheet'!C5="Area 5 (Renuka A)",'Master Sheet'!P5,"")</f>
        <v/>
      </c>
    </row>
    <row r="5" spans="1:16" hidden="1" x14ac:dyDescent="0.25">
      <c r="A5" t="str">
        <f>IF('Master Sheet'!C6="Area 5 (Renuka A)",'Master Sheet'!A6,"")</f>
        <v/>
      </c>
      <c r="B5" t="str">
        <f>IF('Master Sheet'!C6="Area 5 (Renuka A)",'Master Sheet'!B6,"")</f>
        <v/>
      </c>
      <c r="C5" t="s">
        <v>8</v>
      </c>
      <c r="D5" t="str">
        <f>IF('Master Sheet'!C6="Area 5 (Renuka A)",'Master Sheet'!D6,"")</f>
        <v/>
      </c>
      <c r="E5" t="str">
        <f>IF('Master Sheet'!C6="Area 5 (Renuka A)",'Master Sheet'!E6,"")</f>
        <v/>
      </c>
      <c r="F5" t="str">
        <f>IF('Master Sheet'!C6="Area 5 (Renuka A)",'Master Sheet'!F6,"")</f>
        <v/>
      </c>
      <c r="G5" t="str">
        <f>IF('Master Sheet'!C6="Area 5 (Renuka A)",'Master Sheet'!G6,"")</f>
        <v/>
      </c>
      <c r="H5" t="str">
        <f>IF('Master Sheet'!C6="Area 5 (Renuka A)",'Master Sheet'!H6,"")</f>
        <v/>
      </c>
      <c r="I5" t="str">
        <f>IF('Master Sheet'!C6="Area 5 (Renuka A)",'Master Sheet'!I6,"")</f>
        <v/>
      </c>
      <c r="J5" t="str">
        <f>IF('Master Sheet'!C6="Area 5 (Renuka A)",'Master Sheet'!J6,"")</f>
        <v/>
      </c>
      <c r="K5" t="str">
        <f>IF('Master Sheet'!C6="Area 5 (Renuka A)",'Master Sheet'!K6,"")</f>
        <v/>
      </c>
      <c r="L5" t="str">
        <f>IF('Master Sheet'!C6="Area 5 (Renuka A)",'Master Sheet'!L6,"")</f>
        <v/>
      </c>
      <c r="M5" t="str">
        <f>IF('Master Sheet'!C6="Area 5 (Renuka A)",'Master Sheet'!M6,"")</f>
        <v/>
      </c>
      <c r="N5" t="str">
        <f>IF('Master Sheet'!C6="Area 5 (Renuka A)",'Master Sheet'!N6,"")</f>
        <v/>
      </c>
      <c r="O5" t="str">
        <f>IF('Master Sheet'!C6="Area 5 (Renuka A)",'Master Sheet'!O6,"")</f>
        <v/>
      </c>
      <c r="P5" t="str">
        <f>IF('Master Sheet'!C6="Area 5 (Renuka A)",'Master Sheet'!P6,"")</f>
        <v/>
      </c>
    </row>
    <row r="6" spans="1:16" hidden="1" x14ac:dyDescent="0.25">
      <c r="A6" t="str">
        <f>IF('Master Sheet'!C7="Area 5 (Renuka A)",'Master Sheet'!A7,"")</f>
        <v/>
      </c>
      <c r="B6" t="str">
        <f>IF('Master Sheet'!C7="Area 5 (Renuka A)",'Master Sheet'!B7,"")</f>
        <v/>
      </c>
      <c r="C6" t="s">
        <v>8</v>
      </c>
      <c r="D6" t="str">
        <f>IF('Master Sheet'!C7="Area 5 (Renuka A)",'Master Sheet'!D7,"")</f>
        <v/>
      </c>
      <c r="E6" t="str">
        <f>IF('Master Sheet'!C7="Area 5 (Renuka A)",'Master Sheet'!E7,"")</f>
        <v/>
      </c>
      <c r="F6" t="str">
        <f>IF('Master Sheet'!C7="Area 5 (Renuka A)",'Master Sheet'!F7,"")</f>
        <v/>
      </c>
      <c r="G6" t="str">
        <f>IF('Master Sheet'!C7="Area 5 (Renuka A)",'Master Sheet'!G7,"")</f>
        <v/>
      </c>
      <c r="H6" t="str">
        <f>IF('Master Sheet'!C7="Area 5 (Renuka A)",'Master Sheet'!H7,"")</f>
        <v/>
      </c>
      <c r="I6" t="str">
        <f>IF('Master Sheet'!C7="Area 5 (Renuka A)",'Master Sheet'!I7,"")</f>
        <v/>
      </c>
      <c r="J6" t="str">
        <f>IF('Master Sheet'!C7="Area 5 (Renuka A)",'Master Sheet'!J7,"")</f>
        <v/>
      </c>
      <c r="K6" t="str">
        <f>IF('Master Sheet'!C7="Area 5 (Renuka A)",'Master Sheet'!K7,"")</f>
        <v/>
      </c>
      <c r="L6" t="str">
        <f>IF('Master Sheet'!C7="Area 5 (Renuka A)",'Master Sheet'!L7,"")</f>
        <v/>
      </c>
      <c r="M6" t="str">
        <f>IF('Master Sheet'!C7="Area 5 (Renuka A)",'Master Sheet'!M7,"")</f>
        <v/>
      </c>
      <c r="N6" t="str">
        <f>IF('Master Sheet'!C7="Area 5 (Renuka A)",'Master Sheet'!N7,"")</f>
        <v/>
      </c>
      <c r="O6" t="str">
        <f>IF('Master Sheet'!C7="Area 5 (Renuka A)",'Master Sheet'!O7,"")</f>
        <v/>
      </c>
      <c r="P6" t="str">
        <f>IF('Master Sheet'!C7="Area 5 (Renuka A)",'Master Sheet'!P7,"")</f>
        <v/>
      </c>
    </row>
    <row r="7" spans="1:16" hidden="1" x14ac:dyDescent="0.25">
      <c r="A7" t="str">
        <f>IF('Master Sheet'!C8="Area 5 (Renuka A)",'Master Sheet'!A8,"")</f>
        <v/>
      </c>
      <c r="B7" t="str">
        <f>IF('Master Sheet'!C8="Area 5 (Renuka A)",'Master Sheet'!B8,"")</f>
        <v/>
      </c>
      <c r="C7" t="s">
        <v>8</v>
      </c>
      <c r="D7" t="str">
        <f>IF('Master Sheet'!C8="Area 5 (Renuka A)",'Master Sheet'!D8,"")</f>
        <v/>
      </c>
      <c r="E7" t="str">
        <f>IF('Master Sheet'!C8="Area 5 (Renuka A)",'Master Sheet'!E8,"")</f>
        <v/>
      </c>
      <c r="F7" t="str">
        <f>IF('Master Sheet'!C8="Area 5 (Renuka A)",'Master Sheet'!F8,"")</f>
        <v/>
      </c>
      <c r="G7" t="str">
        <f>IF('Master Sheet'!C8="Area 5 (Renuka A)",'Master Sheet'!G8,"")</f>
        <v/>
      </c>
      <c r="H7" t="str">
        <f>IF('Master Sheet'!C8="Area 5 (Renuka A)",'Master Sheet'!H8,"")</f>
        <v/>
      </c>
      <c r="I7" t="str">
        <f>IF('Master Sheet'!C8="Area 5 (Renuka A)",'Master Sheet'!I8,"")</f>
        <v/>
      </c>
      <c r="J7" t="str">
        <f>IF('Master Sheet'!C8="Area 5 (Renuka A)",'Master Sheet'!J8,"")</f>
        <v/>
      </c>
      <c r="K7" t="str">
        <f>IF('Master Sheet'!C8="Area 5 (Renuka A)",'Master Sheet'!K8,"")</f>
        <v/>
      </c>
      <c r="L7" t="str">
        <f>IF('Master Sheet'!C8="Area 5 (Renuka A)",'Master Sheet'!L8,"")</f>
        <v/>
      </c>
      <c r="M7" t="str">
        <f>IF('Master Sheet'!C8="Area 5 (Renuka A)",'Master Sheet'!M8,"")</f>
        <v/>
      </c>
      <c r="N7" t="str">
        <f>IF('Master Sheet'!C8="Area 5 (Renuka A)",'Master Sheet'!N8,"")</f>
        <v/>
      </c>
      <c r="O7" t="str">
        <f>IF('Master Sheet'!C8="Area 5 (Renuka A)",'Master Sheet'!O8,"")</f>
        <v/>
      </c>
      <c r="P7" t="str">
        <f>IF('Master Sheet'!C8="Area 5 (Renuka A)",'Master Sheet'!P8,"")</f>
        <v/>
      </c>
    </row>
    <row r="8" spans="1:16" hidden="1" x14ac:dyDescent="0.25">
      <c r="A8" t="str">
        <f>IF('Master Sheet'!C9="Area 5 (Renuka A)",'Master Sheet'!A9,"")</f>
        <v/>
      </c>
      <c r="B8" t="str">
        <f>IF('Master Sheet'!C9="Area 5 (Renuka A)",'Master Sheet'!B9,"")</f>
        <v/>
      </c>
      <c r="C8" t="s">
        <v>8</v>
      </c>
      <c r="D8" t="str">
        <f>IF('Master Sheet'!C9="Area 5 (Renuka A)",'Master Sheet'!D9,"")</f>
        <v/>
      </c>
      <c r="E8" t="str">
        <f>IF('Master Sheet'!C9="Area 5 (Renuka A)",'Master Sheet'!E9,"")</f>
        <v/>
      </c>
      <c r="F8" t="str">
        <f>IF('Master Sheet'!C9="Area 5 (Renuka A)",'Master Sheet'!F9,"")</f>
        <v/>
      </c>
      <c r="G8" t="str">
        <f>IF('Master Sheet'!C9="Area 5 (Renuka A)",'Master Sheet'!G9,"")</f>
        <v/>
      </c>
      <c r="H8" t="str">
        <f>IF('Master Sheet'!C9="Area 5 (Renuka A)",'Master Sheet'!H9,"")</f>
        <v/>
      </c>
      <c r="I8" t="str">
        <f>IF('Master Sheet'!C9="Area 5 (Renuka A)",'Master Sheet'!I9,"")</f>
        <v/>
      </c>
      <c r="J8" t="str">
        <f>IF('Master Sheet'!C9="Area 5 (Renuka A)",'Master Sheet'!J9,"")</f>
        <v/>
      </c>
      <c r="K8" t="str">
        <f>IF('Master Sheet'!C9="Area 5 (Renuka A)",'Master Sheet'!K9,"")</f>
        <v/>
      </c>
      <c r="L8" t="str">
        <f>IF('Master Sheet'!C9="Area 5 (Renuka A)",'Master Sheet'!L9,"")</f>
        <v/>
      </c>
      <c r="M8" t="str">
        <f>IF('Master Sheet'!C9="Area 5 (Renuka A)",'Master Sheet'!M9,"")</f>
        <v/>
      </c>
      <c r="N8" t="str">
        <f>IF('Master Sheet'!C9="Area 5 (Renuka A)",'Master Sheet'!N9,"")</f>
        <v/>
      </c>
      <c r="O8" t="str">
        <f>IF('Master Sheet'!C9="Area 5 (Renuka A)",'Master Sheet'!O9,"")</f>
        <v/>
      </c>
      <c r="P8" t="str">
        <f>IF('Master Sheet'!C9="Area 5 (Renuka A)",'Master Sheet'!P9,"")</f>
        <v/>
      </c>
    </row>
    <row r="9" spans="1:16" hidden="1" x14ac:dyDescent="0.25">
      <c r="A9" t="str">
        <f>IF('Master Sheet'!C10="Area 5 (Renuka A)",'Master Sheet'!A10,"")</f>
        <v/>
      </c>
      <c r="B9" t="str">
        <f>IF('Master Sheet'!C10="Area 5 (Renuka A)",'Master Sheet'!B10,"")</f>
        <v/>
      </c>
      <c r="C9" t="s">
        <v>8</v>
      </c>
      <c r="D9" t="str">
        <f>IF('Master Sheet'!C10="Area 5 (Renuka A)",'Master Sheet'!D10,"")</f>
        <v/>
      </c>
      <c r="E9" t="str">
        <f>IF('Master Sheet'!C10="Area 5 (Renuka A)",'Master Sheet'!E10,"")</f>
        <v/>
      </c>
      <c r="F9" t="str">
        <f>IF('Master Sheet'!C10="Area 5 (Renuka A)",'Master Sheet'!F10,"")</f>
        <v/>
      </c>
      <c r="G9" t="str">
        <f>IF('Master Sheet'!C10="Area 5 (Renuka A)",'Master Sheet'!G10,"")</f>
        <v/>
      </c>
      <c r="H9" t="str">
        <f>IF('Master Sheet'!C10="Area 5 (Renuka A)",'Master Sheet'!H10,"")</f>
        <v/>
      </c>
      <c r="I9" t="str">
        <f>IF('Master Sheet'!C10="Area 5 (Renuka A)",'Master Sheet'!I10,"")</f>
        <v/>
      </c>
      <c r="J9" t="str">
        <f>IF('Master Sheet'!C10="Area 5 (Renuka A)",'Master Sheet'!J10,"")</f>
        <v/>
      </c>
      <c r="K9" t="str">
        <f>IF('Master Sheet'!C10="Area 5 (Renuka A)",'Master Sheet'!K10,"")</f>
        <v/>
      </c>
      <c r="L9" t="str">
        <f>IF('Master Sheet'!C10="Area 5 (Renuka A)",'Master Sheet'!L10,"")</f>
        <v/>
      </c>
      <c r="M9" t="str">
        <f>IF('Master Sheet'!C10="Area 5 (Renuka A)",'Master Sheet'!M10,"")</f>
        <v/>
      </c>
      <c r="N9" t="str">
        <f>IF('Master Sheet'!C10="Area 5 (Renuka A)",'Master Sheet'!N10,"")</f>
        <v/>
      </c>
      <c r="O9" t="str">
        <f>IF('Master Sheet'!C10="Area 5 (Renuka A)",'Master Sheet'!O10,"")</f>
        <v/>
      </c>
      <c r="P9" t="str">
        <f>IF('Master Sheet'!C10="Area 5 (Renuka A)",'Master Sheet'!P10,"")</f>
        <v/>
      </c>
    </row>
    <row r="10" spans="1:16" hidden="1" x14ac:dyDescent="0.25">
      <c r="A10" t="str">
        <f>IF('Master Sheet'!C11="Area 5 (Renuka A)",'Master Sheet'!A11,"")</f>
        <v/>
      </c>
      <c r="B10" t="str">
        <f>IF('Master Sheet'!C11="Area 5 (Renuka A)",'Master Sheet'!B11,"")</f>
        <v/>
      </c>
      <c r="C10" t="s">
        <v>8</v>
      </c>
      <c r="D10" t="str">
        <f>IF('Master Sheet'!C11="Area 5 (Renuka A)",'Master Sheet'!D11,"")</f>
        <v/>
      </c>
      <c r="E10" t="str">
        <f>IF('Master Sheet'!C11="Area 5 (Renuka A)",'Master Sheet'!E11,"")</f>
        <v/>
      </c>
      <c r="F10" t="str">
        <f>IF('Master Sheet'!C11="Area 5 (Renuka A)",'Master Sheet'!F11,"")</f>
        <v/>
      </c>
      <c r="G10" t="str">
        <f>IF('Master Sheet'!C11="Area 5 (Renuka A)",'Master Sheet'!G11,"")</f>
        <v/>
      </c>
      <c r="H10" t="str">
        <f>IF('Master Sheet'!C11="Area 5 (Renuka A)",'Master Sheet'!H11,"")</f>
        <v/>
      </c>
      <c r="I10" t="str">
        <f>IF('Master Sheet'!C11="Area 5 (Renuka A)",'Master Sheet'!I11,"")</f>
        <v/>
      </c>
      <c r="J10" t="str">
        <f>IF('Master Sheet'!C11="Area 5 (Renuka A)",'Master Sheet'!J11,"")</f>
        <v/>
      </c>
      <c r="K10" t="str">
        <f>IF('Master Sheet'!C11="Area 5 (Renuka A)",'Master Sheet'!K11,"")</f>
        <v/>
      </c>
      <c r="L10" t="str">
        <f>IF('Master Sheet'!C11="Area 5 (Renuka A)",'Master Sheet'!L11,"")</f>
        <v/>
      </c>
      <c r="M10" t="str">
        <f>IF('Master Sheet'!C11="Area 5 (Renuka A)",'Master Sheet'!M11,"")</f>
        <v/>
      </c>
      <c r="N10" t="str">
        <f>IF('Master Sheet'!C11="Area 5 (Renuka A)",'Master Sheet'!N11,"")</f>
        <v/>
      </c>
      <c r="O10" t="str">
        <f>IF('Master Sheet'!C11="Area 5 (Renuka A)",'Master Sheet'!O11,"")</f>
        <v/>
      </c>
      <c r="P10" t="str">
        <f>IF('Master Sheet'!C11="Area 5 (Renuka A)",'Master Sheet'!P11,"")</f>
        <v/>
      </c>
    </row>
    <row r="11" spans="1:16" hidden="1" x14ac:dyDescent="0.25">
      <c r="A11" t="str">
        <f>IF('Master Sheet'!C12="Area 5 (Renuka A)",'Master Sheet'!A12,"")</f>
        <v/>
      </c>
      <c r="B11" t="str">
        <f>IF('Master Sheet'!C12="Area 5 (Renuka A)",'Master Sheet'!B12,"")</f>
        <v/>
      </c>
      <c r="C11" t="s">
        <v>8</v>
      </c>
      <c r="D11" t="str">
        <f>IF('Master Sheet'!C12="Area 5 (Renuka A)",'Master Sheet'!D12,"")</f>
        <v/>
      </c>
      <c r="E11" t="str">
        <f>IF('Master Sheet'!C12="Area 5 (Renuka A)",'Master Sheet'!E12,"")</f>
        <v/>
      </c>
      <c r="F11" t="str">
        <f>IF('Master Sheet'!C12="Area 5 (Renuka A)",'Master Sheet'!F12,"")</f>
        <v/>
      </c>
      <c r="G11" t="str">
        <f>IF('Master Sheet'!C12="Area 5 (Renuka A)",'Master Sheet'!G12,"")</f>
        <v/>
      </c>
      <c r="H11" t="str">
        <f>IF('Master Sheet'!C12="Area 5 (Renuka A)",'Master Sheet'!H12,"")</f>
        <v/>
      </c>
      <c r="I11" t="str">
        <f>IF('Master Sheet'!C12="Area 5 (Renuka A)",'Master Sheet'!I12,"")</f>
        <v/>
      </c>
      <c r="J11" t="str">
        <f>IF('Master Sheet'!C12="Area 5 (Renuka A)",'Master Sheet'!J12,"")</f>
        <v/>
      </c>
      <c r="K11" t="str">
        <f>IF('Master Sheet'!C12="Area 5 (Renuka A)",'Master Sheet'!K12,"")</f>
        <v/>
      </c>
      <c r="L11" t="str">
        <f>IF('Master Sheet'!C12="Area 5 (Renuka A)",'Master Sheet'!L12,"")</f>
        <v/>
      </c>
      <c r="M11" t="str">
        <f>IF('Master Sheet'!C12="Area 5 (Renuka A)",'Master Sheet'!M12,"")</f>
        <v/>
      </c>
      <c r="N11" t="str">
        <f>IF('Master Sheet'!C12="Area 5 (Renuka A)",'Master Sheet'!N12,"")</f>
        <v/>
      </c>
      <c r="O11" t="str">
        <f>IF('Master Sheet'!C12="Area 5 (Renuka A)",'Master Sheet'!O12,"")</f>
        <v/>
      </c>
      <c r="P11" t="str">
        <f>IF('Master Sheet'!C12="Area 5 (Renuka A)",'Master Sheet'!P12,"")</f>
        <v/>
      </c>
    </row>
    <row r="12" spans="1:16" hidden="1" x14ac:dyDescent="0.25">
      <c r="A12" t="str">
        <f>IF('Master Sheet'!C13="Area 5 (Renuka A)",'Master Sheet'!A13,"")</f>
        <v/>
      </c>
      <c r="B12" t="str">
        <f>IF('Master Sheet'!C13="Area 5 (Renuka A)",'Master Sheet'!B13,"")</f>
        <v/>
      </c>
      <c r="C12" t="s">
        <v>8</v>
      </c>
      <c r="D12" t="str">
        <f>IF('Master Sheet'!C13="Area 5 (Renuka A)",'Master Sheet'!D13,"")</f>
        <v/>
      </c>
      <c r="E12" t="str">
        <f>IF('Master Sheet'!C13="Area 5 (Renuka A)",'Master Sheet'!E13,"")</f>
        <v/>
      </c>
      <c r="F12" t="str">
        <f>IF('Master Sheet'!C13="Area 5 (Renuka A)",'Master Sheet'!F13,"")</f>
        <v/>
      </c>
      <c r="G12" t="str">
        <f>IF('Master Sheet'!C13="Area 5 (Renuka A)",'Master Sheet'!G13,"")</f>
        <v/>
      </c>
      <c r="H12" t="str">
        <f>IF('Master Sheet'!C13="Area 5 (Renuka A)",'Master Sheet'!H13,"")</f>
        <v/>
      </c>
      <c r="I12" t="str">
        <f>IF('Master Sheet'!C13="Area 5 (Renuka A)",'Master Sheet'!I13,"")</f>
        <v/>
      </c>
      <c r="J12" t="str">
        <f>IF('Master Sheet'!C13="Area 5 (Renuka A)",'Master Sheet'!J13,"")</f>
        <v/>
      </c>
      <c r="K12" t="str">
        <f>IF('Master Sheet'!C13="Area 5 (Renuka A)",'Master Sheet'!K13,"")</f>
        <v/>
      </c>
      <c r="L12" t="str">
        <f>IF('Master Sheet'!C13="Area 5 (Renuka A)",'Master Sheet'!L13,"")</f>
        <v/>
      </c>
      <c r="M12" t="str">
        <f>IF('Master Sheet'!C13="Area 5 (Renuka A)",'Master Sheet'!M13,"")</f>
        <v/>
      </c>
      <c r="N12" t="str">
        <f>IF('Master Sheet'!C13="Area 5 (Renuka A)",'Master Sheet'!N13,"")</f>
        <v/>
      </c>
      <c r="O12" t="str">
        <f>IF('Master Sheet'!C13="Area 5 (Renuka A)",'Master Sheet'!O13,"")</f>
        <v/>
      </c>
      <c r="P12" t="str">
        <f>IF('Master Sheet'!C13="Area 5 (Renuka A)",'Master Sheet'!P13,"")</f>
        <v/>
      </c>
    </row>
    <row r="13" spans="1:16" hidden="1" x14ac:dyDescent="0.25">
      <c r="A13" t="str">
        <f>IF('Master Sheet'!C14="Area 5 (Renuka A)",'Master Sheet'!A14,"")</f>
        <v/>
      </c>
      <c r="B13" t="str">
        <f>IF('Master Sheet'!C14="Area 5 (Renuka A)",'Master Sheet'!B14,"")</f>
        <v/>
      </c>
      <c r="C13" t="s">
        <v>8</v>
      </c>
      <c r="D13" t="str">
        <f>IF('Master Sheet'!C14="Area 5 (Renuka A)",'Master Sheet'!D14,"")</f>
        <v/>
      </c>
      <c r="E13" t="str">
        <f>IF('Master Sheet'!C14="Area 5 (Renuka A)",'Master Sheet'!E14,"")</f>
        <v/>
      </c>
      <c r="F13" t="str">
        <f>IF('Master Sheet'!C14="Area 5 (Renuka A)",'Master Sheet'!F14,"")</f>
        <v/>
      </c>
      <c r="G13" t="str">
        <f>IF('Master Sheet'!C14="Area 5 (Renuka A)",'Master Sheet'!G14,"")</f>
        <v/>
      </c>
      <c r="H13" t="str">
        <f>IF('Master Sheet'!C14="Area 5 (Renuka A)",'Master Sheet'!H14,"")</f>
        <v/>
      </c>
      <c r="I13" t="str">
        <f>IF('Master Sheet'!C14="Area 5 (Renuka A)",'Master Sheet'!I14,"")</f>
        <v/>
      </c>
      <c r="J13" t="str">
        <f>IF('Master Sheet'!C14="Area 5 (Renuka A)",'Master Sheet'!J14,"")</f>
        <v/>
      </c>
      <c r="K13" t="str">
        <f>IF('Master Sheet'!C14="Area 5 (Renuka A)",'Master Sheet'!K14,"")</f>
        <v/>
      </c>
      <c r="L13" t="str">
        <f>IF('Master Sheet'!C14="Area 5 (Renuka A)",'Master Sheet'!L14,"")</f>
        <v/>
      </c>
      <c r="M13" t="str">
        <f>IF('Master Sheet'!C14="Area 5 (Renuka A)",'Master Sheet'!M14,"")</f>
        <v/>
      </c>
      <c r="N13" t="str">
        <f>IF('Master Sheet'!C14="Area 5 (Renuka A)",'Master Sheet'!N14,"")</f>
        <v/>
      </c>
      <c r="O13" t="str">
        <f>IF('Master Sheet'!C14="Area 5 (Renuka A)",'Master Sheet'!O14,"")</f>
        <v/>
      </c>
      <c r="P13" t="str">
        <f>IF('Master Sheet'!C14="Area 5 (Renuka A)",'Master Sheet'!P14,"")</f>
        <v/>
      </c>
    </row>
    <row r="14" spans="1:16" hidden="1" x14ac:dyDescent="0.25">
      <c r="A14" t="str">
        <f>IF('Master Sheet'!C15="Area 5 (Renuka A)",'Master Sheet'!A15,"")</f>
        <v/>
      </c>
      <c r="B14" t="str">
        <f>IF('Master Sheet'!C15="Area 5 (Renuka A)",'Master Sheet'!B15,"")</f>
        <v/>
      </c>
      <c r="C14" t="s">
        <v>8</v>
      </c>
      <c r="D14" t="str">
        <f>IF('Master Sheet'!C15="Area 5 (Renuka A)",'Master Sheet'!D15,"")</f>
        <v/>
      </c>
      <c r="E14" t="str">
        <f>IF('Master Sheet'!C15="Area 5 (Renuka A)",'Master Sheet'!E15,"")</f>
        <v/>
      </c>
      <c r="F14" t="str">
        <f>IF('Master Sheet'!C15="Area 5 (Renuka A)",'Master Sheet'!F15,"")</f>
        <v/>
      </c>
      <c r="G14" t="str">
        <f>IF('Master Sheet'!C15="Area 5 (Renuka A)",'Master Sheet'!G15,"")</f>
        <v/>
      </c>
      <c r="H14" t="str">
        <f>IF('Master Sheet'!C15="Area 5 (Renuka A)",'Master Sheet'!H15,"")</f>
        <v/>
      </c>
      <c r="I14" t="str">
        <f>IF('Master Sheet'!C15="Area 5 (Renuka A)",'Master Sheet'!I15,"")</f>
        <v/>
      </c>
      <c r="J14" t="str">
        <f>IF('Master Sheet'!C15="Area 5 (Renuka A)",'Master Sheet'!J15,"")</f>
        <v/>
      </c>
      <c r="K14" t="str">
        <f>IF('Master Sheet'!C15="Area 5 (Renuka A)",'Master Sheet'!K15,"")</f>
        <v/>
      </c>
      <c r="L14" t="str">
        <f>IF('Master Sheet'!C15="Area 5 (Renuka A)",'Master Sheet'!L15,"")</f>
        <v/>
      </c>
      <c r="M14" t="str">
        <f>IF('Master Sheet'!C15="Area 5 (Renuka A)",'Master Sheet'!M15,"")</f>
        <v/>
      </c>
      <c r="N14" t="str">
        <f>IF('Master Sheet'!C15="Area 5 (Renuka A)",'Master Sheet'!N15,"")</f>
        <v/>
      </c>
      <c r="O14" t="str">
        <f>IF('Master Sheet'!C15="Area 5 (Renuka A)",'Master Sheet'!O15,"")</f>
        <v/>
      </c>
      <c r="P14" t="str">
        <f>IF('Master Sheet'!C15="Area 5 (Renuka A)",'Master Sheet'!P15,"")</f>
        <v/>
      </c>
    </row>
    <row r="15" spans="1:16" hidden="1" x14ac:dyDescent="0.25">
      <c r="A15" t="str">
        <f>IF('Master Sheet'!C16="Area 5 (Renuka A)",'Master Sheet'!A16,"")</f>
        <v/>
      </c>
      <c r="B15" t="str">
        <f>IF('Master Sheet'!C16="Area 5 (Renuka A)",'Master Sheet'!B16,"")</f>
        <v/>
      </c>
      <c r="C15" t="s">
        <v>8</v>
      </c>
      <c r="D15" t="str">
        <f>IF('Master Sheet'!C16="Area 5 (Renuka A)",'Master Sheet'!D16,"")</f>
        <v/>
      </c>
      <c r="E15" t="str">
        <f>IF('Master Sheet'!C16="Area 5 (Renuka A)",'Master Sheet'!E16,"")</f>
        <v/>
      </c>
      <c r="F15" t="str">
        <f>IF('Master Sheet'!C16="Area 5 (Renuka A)",'Master Sheet'!F16,"")</f>
        <v/>
      </c>
      <c r="G15" t="str">
        <f>IF('Master Sheet'!C16="Area 5 (Renuka A)",'Master Sheet'!G16,"")</f>
        <v/>
      </c>
      <c r="H15" t="str">
        <f>IF('Master Sheet'!C16="Area 5 (Renuka A)",'Master Sheet'!H16,"")</f>
        <v/>
      </c>
      <c r="I15" t="str">
        <f>IF('Master Sheet'!C16="Area 5 (Renuka A)",'Master Sheet'!I16,"")</f>
        <v/>
      </c>
      <c r="J15" t="str">
        <f>IF('Master Sheet'!C16="Area 5 (Renuka A)",'Master Sheet'!J16,"")</f>
        <v/>
      </c>
      <c r="K15" t="str">
        <f>IF('Master Sheet'!C16="Area 5 (Renuka A)",'Master Sheet'!K16,"")</f>
        <v/>
      </c>
      <c r="L15" t="str">
        <f>IF('Master Sheet'!C16="Area 5 (Renuka A)",'Master Sheet'!L16,"")</f>
        <v/>
      </c>
      <c r="M15" t="str">
        <f>IF('Master Sheet'!C16="Area 5 (Renuka A)",'Master Sheet'!M16,"")</f>
        <v/>
      </c>
      <c r="N15" t="str">
        <f>IF('Master Sheet'!C16="Area 5 (Renuka A)",'Master Sheet'!N16,"")</f>
        <v/>
      </c>
      <c r="O15" t="str">
        <f>IF('Master Sheet'!C16="Area 5 (Renuka A)",'Master Sheet'!O16,"")</f>
        <v/>
      </c>
      <c r="P15" t="str">
        <f>IF('Master Sheet'!C16="Area 5 (Renuka A)",'Master Sheet'!P16,"")</f>
        <v/>
      </c>
    </row>
    <row r="16" spans="1:16" hidden="1" x14ac:dyDescent="0.25">
      <c r="A16" t="str">
        <f>IF('Master Sheet'!C17="Area 5 (Renuka A)",'Master Sheet'!A17,"")</f>
        <v/>
      </c>
      <c r="B16" t="str">
        <f>IF('Master Sheet'!C17="Area 5 (Renuka A)",'Master Sheet'!B17,"")</f>
        <v/>
      </c>
      <c r="C16" t="s">
        <v>8</v>
      </c>
      <c r="D16" t="str">
        <f>IF('Master Sheet'!C17="Area 5 (Renuka A)",'Master Sheet'!D17,"")</f>
        <v/>
      </c>
      <c r="E16" t="str">
        <f>IF('Master Sheet'!C17="Area 5 (Renuka A)",'Master Sheet'!E17,"")</f>
        <v/>
      </c>
      <c r="F16" t="str">
        <f>IF('Master Sheet'!C17="Area 5 (Renuka A)",'Master Sheet'!F17,"")</f>
        <v/>
      </c>
      <c r="G16" t="str">
        <f>IF('Master Sheet'!C17="Area 5 (Renuka A)",'Master Sheet'!G17,"")</f>
        <v/>
      </c>
      <c r="H16" t="str">
        <f>IF('Master Sheet'!C17="Area 5 (Renuka A)",'Master Sheet'!H17,"")</f>
        <v/>
      </c>
      <c r="I16" t="str">
        <f>IF('Master Sheet'!C17="Area 5 (Renuka A)",'Master Sheet'!I17,"")</f>
        <v/>
      </c>
      <c r="J16" t="str">
        <f>IF('Master Sheet'!C17="Area 5 (Renuka A)",'Master Sheet'!J17,"")</f>
        <v/>
      </c>
      <c r="K16" t="str">
        <f>IF('Master Sheet'!C17="Area 5 (Renuka A)",'Master Sheet'!K17,"")</f>
        <v/>
      </c>
      <c r="L16" t="str">
        <f>IF('Master Sheet'!C17="Area 5 (Renuka A)",'Master Sheet'!L17,"")</f>
        <v/>
      </c>
      <c r="M16" t="str">
        <f>IF('Master Sheet'!C17="Area 5 (Renuka A)",'Master Sheet'!M17,"")</f>
        <v/>
      </c>
      <c r="N16" t="str">
        <f>IF('Master Sheet'!C17="Area 5 (Renuka A)",'Master Sheet'!N17,"")</f>
        <v/>
      </c>
      <c r="O16" t="str">
        <f>IF('Master Sheet'!C17="Area 5 (Renuka A)",'Master Sheet'!O17,"")</f>
        <v/>
      </c>
      <c r="P16" t="str">
        <f>IF('Master Sheet'!C17="Area 5 (Renuka A)",'Master Sheet'!P17,"")</f>
        <v/>
      </c>
    </row>
    <row r="17" spans="1:16" hidden="1" x14ac:dyDescent="0.25">
      <c r="A17" t="str">
        <f>IF('Master Sheet'!C18="Area 5 (Renuka A)",'Master Sheet'!A18,"")</f>
        <v/>
      </c>
      <c r="B17" t="str">
        <f>IF('Master Sheet'!C18="Area 5 (Renuka A)",'Master Sheet'!B18,"")</f>
        <v/>
      </c>
      <c r="C17" t="s">
        <v>8</v>
      </c>
      <c r="D17" t="str">
        <f>IF('Master Sheet'!C18="Area 5 (Renuka A)",'Master Sheet'!D18,"")</f>
        <v/>
      </c>
      <c r="E17" t="str">
        <f>IF('Master Sheet'!C18="Area 5 (Renuka A)",'Master Sheet'!E18,"")</f>
        <v/>
      </c>
      <c r="F17" t="str">
        <f>IF('Master Sheet'!C18="Area 5 (Renuka A)",'Master Sheet'!F18,"")</f>
        <v/>
      </c>
      <c r="G17" t="str">
        <f>IF('Master Sheet'!C18="Area 5 (Renuka A)",'Master Sheet'!G18,"")</f>
        <v/>
      </c>
      <c r="H17" t="str">
        <f>IF('Master Sheet'!C18="Area 5 (Renuka A)",'Master Sheet'!H18,"")</f>
        <v/>
      </c>
      <c r="I17" t="str">
        <f>IF('Master Sheet'!C18="Area 5 (Renuka A)",'Master Sheet'!I18,"")</f>
        <v/>
      </c>
      <c r="J17" t="str">
        <f>IF('Master Sheet'!C18="Area 5 (Renuka A)",'Master Sheet'!J18,"")</f>
        <v/>
      </c>
      <c r="K17" t="str">
        <f>IF('Master Sheet'!C18="Area 5 (Renuka A)",'Master Sheet'!K18,"")</f>
        <v/>
      </c>
      <c r="L17" t="str">
        <f>IF('Master Sheet'!C18="Area 5 (Renuka A)",'Master Sheet'!L18,"")</f>
        <v/>
      </c>
      <c r="M17" t="str">
        <f>IF('Master Sheet'!C18="Area 5 (Renuka A)",'Master Sheet'!M18,"")</f>
        <v/>
      </c>
      <c r="N17" t="str">
        <f>IF('Master Sheet'!C18="Area 5 (Renuka A)",'Master Sheet'!N18,"")</f>
        <v/>
      </c>
      <c r="O17" t="str">
        <f>IF('Master Sheet'!C18="Area 5 (Renuka A)",'Master Sheet'!O18,"")</f>
        <v/>
      </c>
      <c r="P17" t="str">
        <f>IF('Master Sheet'!C18="Area 5 (Renuka A)",'Master Sheet'!P18,"")</f>
        <v/>
      </c>
    </row>
    <row r="18" spans="1:16" hidden="1" x14ac:dyDescent="0.25">
      <c r="A18" t="str">
        <f>IF('Master Sheet'!C19="Area 5 (Renuka A)",'Master Sheet'!A19,"")</f>
        <v/>
      </c>
      <c r="B18" t="str">
        <f>IF('Master Sheet'!C19="Area 5 (Renuka A)",'Master Sheet'!B19,"")</f>
        <v/>
      </c>
      <c r="C18" t="s">
        <v>8</v>
      </c>
      <c r="D18" t="str">
        <f>IF('Master Sheet'!C19="Area 5 (Renuka A)",'Master Sheet'!D19,"")</f>
        <v/>
      </c>
      <c r="E18" t="str">
        <f>IF('Master Sheet'!C19="Area 5 (Renuka A)",'Master Sheet'!E19,"")</f>
        <v/>
      </c>
      <c r="F18" t="str">
        <f>IF('Master Sheet'!C19="Area 5 (Renuka A)",'Master Sheet'!F19,"")</f>
        <v/>
      </c>
      <c r="G18" t="str">
        <f>IF('Master Sheet'!C19="Area 5 (Renuka A)",'Master Sheet'!G19,"")</f>
        <v/>
      </c>
      <c r="H18" t="str">
        <f>IF('Master Sheet'!C19="Area 5 (Renuka A)",'Master Sheet'!H19,"")</f>
        <v/>
      </c>
      <c r="I18" t="str">
        <f>IF('Master Sheet'!C19="Area 5 (Renuka A)",'Master Sheet'!I19,"")</f>
        <v/>
      </c>
      <c r="J18" t="str">
        <f>IF('Master Sheet'!C19="Area 5 (Renuka A)",'Master Sheet'!J19,"")</f>
        <v/>
      </c>
      <c r="K18" t="str">
        <f>IF('Master Sheet'!C19="Area 5 (Renuka A)",'Master Sheet'!K19,"")</f>
        <v/>
      </c>
      <c r="L18" t="str">
        <f>IF('Master Sheet'!C19="Area 5 (Renuka A)",'Master Sheet'!L19,"")</f>
        <v/>
      </c>
      <c r="M18" t="str">
        <f>IF('Master Sheet'!C19="Area 5 (Renuka A)",'Master Sheet'!M19,"")</f>
        <v/>
      </c>
      <c r="N18" t="str">
        <f>IF('Master Sheet'!C19="Area 5 (Renuka A)",'Master Sheet'!N19,"")</f>
        <v/>
      </c>
      <c r="O18" t="str">
        <f>IF('Master Sheet'!C19="Area 5 (Renuka A)",'Master Sheet'!O19,"")</f>
        <v/>
      </c>
      <c r="P18" t="str">
        <f>IF('Master Sheet'!C19="Area 5 (Renuka A)",'Master Sheet'!P19,"")</f>
        <v/>
      </c>
    </row>
    <row r="19" spans="1:16" hidden="1" x14ac:dyDescent="0.25">
      <c r="A19" t="str">
        <f>IF('Master Sheet'!C20="Area 5 (Renuka A)",'Master Sheet'!A20,"")</f>
        <v/>
      </c>
      <c r="B19" t="str">
        <f>IF('Master Sheet'!C20="Area 5 (Renuka A)",'Master Sheet'!B20,"")</f>
        <v/>
      </c>
      <c r="C19" t="s">
        <v>8</v>
      </c>
      <c r="D19" t="str">
        <f>IF('Master Sheet'!C20="Area 5 (Renuka A)",'Master Sheet'!D20,"")</f>
        <v/>
      </c>
      <c r="E19" t="str">
        <f>IF('Master Sheet'!C20="Area 5 (Renuka A)",'Master Sheet'!E20,"")</f>
        <v/>
      </c>
      <c r="F19" t="str">
        <f>IF('Master Sheet'!C20="Area 5 (Renuka A)",'Master Sheet'!F20,"")</f>
        <v/>
      </c>
      <c r="G19" t="str">
        <f>IF('Master Sheet'!C20="Area 5 (Renuka A)",'Master Sheet'!G20,"")</f>
        <v/>
      </c>
      <c r="H19" t="str">
        <f>IF('Master Sheet'!C20="Area 5 (Renuka A)",'Master Sheet'!H20,"")</f>
        <v/>
      </c>
      <c r="I19" t="str">
        <f>IF('Master Sheet'!C20="Area 5 (Renuka A)",'Master Sheet'!I20,"")</f>
        <v/>
      </c>
      <c r="J19" t="str">
        <f>IF('Master Sheet'!C20="Area 5 (Renuka A)",'Master Sheet'!J20,"")</f>
        <v/>
      </c>
      <c r="K19" t="str">
        <f>IF('Master Sheet'!C20="Area 5 (Renuka A)",'Master Sheet'!K20,"")</f>
        <v/>
      </c>
      <c r="L19" t="str">
        <f>IF('Master Sheet'!C20="Area 5 (Renuka A)",'Master Sheet'!L20,"")</f>
        <v/>
      </c>
      <c r="M19" t="str">
        <f>IF('Master Sheet'!C20="Area 5 (Renuka A)",'Master Sheet'!M20,"")</f>
        <v/>
      </c>
      <c r="N19" t="str">
        <f>IF('Master Sheet'!C20="Area 5 (Renuka A)",'Master Sheet'!N20,"")</f>
        <v/>
      </c>
      <c r="O19" t="str">
        <f>IF('Master Sheet'!C20="Area 5 (Renuka A)",'Master Sheet'!O20,"")</f>
        <v/>
      </c>
      <c r="P19" t="str">
        <f>IF('Master Sheet'!C20="Area 5 (Renuka A)",'Master Sheet'!P20,"")</f>
        <v/>
      </c>
    </row>
    <row r="20" spans="1:16" hidden="1" x14ac:dyDescent="0.25">
      <c r="A20" t="str">
        <f>IF('Master Sheet'!C21="Area 5 (Renuka A)",'Master Sheet'!A21,"")</f>
        <v/>
      </c>
      <c r="B20" t="str">
        <f>IF('Master Sheet'!C21="Area 5 (Renuka A)",'Master Sheet'!B21,"")</f>
        <v/>
      </c>
      <c r="C20" t="s">
        <v>8</v>
      </c>
      <c r="D20" t="str">
        <f>IF('Master Sheet'!C21="Area 5 (Renuka A)",'Master Sheet'!D21,"")</f>
        <v/>
      </c>
      <c r="E20" t="str">
        <f>IF('Master Sheet'!C21="Area 5 (Renuka A)",'Master Sheet'!E21,"")</f>
        <v/>
      </c>
      <c r="F20" t="str">
        <f>IF('Master Sheet'!C21="Area 5 (Renuka A)",'Master Sheet'!F21,"")</f>
        <v/>
      </c>
      <c r="G20" t="str">
        <f>IF('Master Sheet'!C21="Area 5 (Renuka A)",'Master Sheet'!G21,"")</f>
        <v/>
      </c>
      <c r="H20" t="str">
        <f>IF('Master Sheet'!C21="Area 5 (Renuka A)",'Master Sheet'!H21,"")</f>
        <v/>
      </c>
      <c r="I20" t="str">
        <f>IF('Master Sheet'!C21="Area 5 (Renuka A)",'Master Sheet'!I21,"")</f>
        <v/>
      </c>
      <c r="J20" t="str">
        <f>IF('Master Sheet'!C21="Area 5 (Renuka A)",'Master Sheet'!J21,"")</f>
        <v/>
      </c>
      <c r="K20" t="str">
        <f>IF('Master Sheet'!C21="Area 5 (Renuka A)",'Master Sheet'!K21,"")</f>
        <v/>
      </c>
      <c r="L20" t="str">
        <f>IF('Master Sheet'!C21="Area 5 (Renuka A)",'Master Sheet'!L21,"")</f>
        <v/>
      </c>
      <c r="M20" t="str">
        <f>IF('Master Sheet'!C21="Area 5 (Renuka A)",'Master Sheet'!M21,"")</f>
        <v/>
      </c>
      <c r="N20" t="str">
        <f>IF('Master Sheet'!C21="Area 5 (Renuka A)",'Master Sheet'!N21,"")</f>
        <v/>
      </c>
      <c r="O20" t="str">
        <f>IF('Master Sheet'!C21="Area 5 (Renuka A)",'Master Sheet'!O21,"")</f>
        <v/>
      </c>
      <c r="P20" t="str">
        <f>IF('Master Sheet'!C21="Area 5 (Renuka A)",'Master Sheet'!P21,"")</f>
        <v/>
      </c>
    </row>
    <row r="21" spans="1:16" hidden="1" x14ac:dyDescent="0.25">
      <c r="A21" t="str">
        <f>IF('Master Sheet'!C22="Area 5 (Renuka A)",'Master Sheet'!A22,"")</f>
        <v/>
      </c>
      <c r="B21" t="str">
        <f>IF('Master Sheet'!C22="Area 5 (Renuka A)",'Master Sheet'!B22,"")</f>
        <v/>
      </c>
      <c r="C21" t="s">
        <v>8</v>
      </c>
      <c r="D21" t="str">
        <f>IF('Master Sheet'!C22="Area 5 (Renuka A)",'Master Sheet'!D22,"")</f>
        <v/>
      </c>
      <c r="E21" t="str">
        <f>IF('Master Sheet'!C22="Area 5 (Renuka A)",'Master Sheet'!E22,"")</f>
        <v/>
      </c>
      <c r="F21" t="str">
        <f>IF('Master Sheet'!C22="Area 5 (Renuka A)",'Master Sheet'!F22,"")</f>
        <v/>
      </c>
      <c r="G21" t="str">
        <f>IF('Master Sheet'!C22="Area 5 (Renuka A)",'Master Sheet'!G22,"")</f>
        <v/>
      </c>
      <c r="H21" t="str">
        <f>IF('Master Sheet'!C22="Area 5 (Renuka A)",'Master Sheet'!H22,"")</f>
        <v/>
      </c>
      <c r="I21" t="str">
        <f>IF('Master Sheet'!C22="Area 5 (Renuka A)",'Master Sheet'!I22,"")</f>
        <v/>
      </c>
      <c r="J21" t="str">
        <f>IF('Master Sheet'!C22="Area 5 (Renuka A)",'Master Sheet'!J22,"")</f>
        <v/>
      </c>
      <c r="K21" t="str">
        <f>IF('Master Sheet'!C22="Area 5 (Renuka A)",'Master Sheet'!K22,"")</f>
        <v/>
      </c>
      <c r="L21" t="str">
        <f>IF('Master Sheet'!C22="Area 5 (Renuka A)",'Master Sheet'!L22,"")</f>
        <v/>
      </c>
      <c r="M21" t="str">
        <f>IF('Master Sheet'!C22="Area 5 (Renuka A)",'Master Sheet'!M22,"")</f>
        <v/>
      </c>
      <c r="N21" t="str">
        <f>IF('Master Sheet'!C22="Area 5 (Renuka A)",'Master Sheet'!N22,"")</f>
        <v/>
      </c>
      <c r="O21" t="str">
        <f>IF('Master Sheet'!C22="Area 5 (Renuka A)",'Master Sheet'!O22,"")</f>
        <v/>
      </c>
      <c r="P21" t="str">
        <f>IF('Master Sheet'!C22="Area 5 (Renuka A)",'Master Sheet'!P22,"")</f>
        <v/>
      </c>
    </row>
    <row r="22" spans="1:16" hidden="1" x14ac:dyDescent="0.25">
      <c r="A22" t="str">
        <f>IF('Master Sheet'!C23="Area 5 (Renuka A)",'Master Sheet'!A23,"")</f>
        <v/>
      </c>
      <c r="B22" t="str">
        <f>IF('Master Sheet'!C23="Area 5 (Renuka A)",'Master Sheet'!B23,"")</f>
        <v/>
      </c>
      <c r="C22" t="s">
        <v>8</v>
      </c>
      <c r="D22" t="str">
        <f>IF('Master Sheet'!C23="Area 5 (Renuka A)",'Master Sheet'!D23,"")</f>
        <v/>
      </c>
      <c r="E22" t="str">
        <f>IF('Master Sheet'!C23="Area 5 (Renuka A)",'Master Sheet'!E23,"")</f>
        <v/>
      </c>
      <c r="F22" t="str">
        <f>IF('Master Sheet'!C23="Area 5 (Renuka A)",'Master Sheet'!F23,"")</f>
        <v/>
      </c>
      <c r="G22" t="str">
        <f>IF('Master Sheet'!C23="Area 5 (Renuka A)",'Master Sheet'!G23,"")</f>
        <v/>
      </c>
      <c r="H22" t="str">
        <f>IF('Master Sheet'!C23="Area 5 (Renuka A)",'Master Sheet'!H23,"")</f>
        <v/>
      </c>
      <c r="I22" t="str">
        <f>IF('Master Sheet'!C23="Area 5 (Renuka A)",'Master Sheet'!I23,"")</f>
        <v/>
      </c>
      <c r="J22" t="str">
        <f>IF('Master Sheet'!C23="Area 5 (Renuka A)",'Master Sheet'!J23,"")</f>
        <v/>
      </c>
      <c r="K22" t="str">
        <f>IF('Master Sheet'!C23="Area 5 (Renuka A)",'Master Sheet'!K23,"")</f>
        <v/>
      </c>
      <c r="L22" t="str">
        <f>IF('Master Sheet'!C23="Area 5 (Renuka A)",'Master Sheet'!L23,"")</f>
        <v/>
      </c>
      <c r="M22" t="str">
        <f>IF('Master Sheet'!C23="Area 5 (Renuka A)",'Master Sheet'!M23,"")</f>
        <v/>
      </c>
      <c r="N22" t="str">
        <f>IF('Master Sheet'!C23="Area 5 (Renuka A)",'Master Sheet'!N23,"")</f>
        <v/>
      </c>
      <c r="O22" t="str">
        <f>IF('Master Sheet'!C23="Area 5 (Renuka A)",'Master Sheet'!O23,"")</f>
        <v/>
      </c>
      <c r="P22" t="str">
        <f>IF('Master Sheet'!C23="Area 5 (Renuka A)",'Master Sheet'!P23,"")</f>
        <v/>
      </c>
    </row>
    <row r="23" spans="1:16" hidden="1" x14ac:dyDescent="0.25">
      <c r="A23" t="str">
        <f>IF('Master Sheet'!C24="Area 5 (Renuka A)",'Master Sheet'!A24,"")</f>
        <v/>
      </c>
      <c r="B23" t="str">
        <f>IF('Master Sheet'!C24="Area 5 (Renuka A)",'Master Sheet'!B24,"")</f>
        <v/>
      </c>
      <c r="C23" t="s">
        <v>8</v>
      </c>
      <c r="D23" t="str">
        <f>IF('Master Sheet'!C24="Area 5 (Renuka A)",'Master Sheet'!D24,"")</f>
        <v/>
      </c>
      <c r="E23" t="str">
        <f>IF('Master Sheet'!C24="Area 5 (Renuka A)",'Master Sheet'!E24,"")</f>
        <v/>
      </c>
      <c r="F23" t="str">
        <f>IF('Master Sheet'!C24="Area 5 (Renuka A)",'Master Sheet'!F24,"")</f>
        <v/>
      </c>
      <c r="G23" t="str">
        <f>IF('Master Sheet'!C24="Area 5 (Renuka A)",'Master Sheet'!G24,"")</f>
        <v/>
      </c>
      <c r="H23" t="str">
        <f>IF('Master Sheet'!C24="Area 5 (Renuka A)",'Master Sheet'!H24,"")</f>
        <v/>
      </c>
      <c r="I23" t="str">
        <f>IF('Master Sheet'!C24="Area 5 (Renuka A)",'Master Sheet'!I24,"")</f>
        <v/>
      </c>
      <c r="J23" t="str">
        <f>IF('Master Sheet'!C24="Area 5 (Renuka A)",'Master Sheet'!J24,"")</f>
        <v/>
      </c>
      <c r="K23" t="str">
        <f>IF('Master Sheet'!C24="Area 5 (Renuka A)",'Master Sheet'!K24,"")</f>
        <v/>
      </c>
      <c r="L23" t="str">
        <f>IF('Master Sheet'!C24="Area 5 (Renuka A)",'Master Sheet'!L24,"")</f>
        <v/>
      </c>
      <c r="M23" t="str">
        <f>IF('Master Sheet'!C24="Area 5 (Renuka A)",'Master Sheet'!M24,"")</f>
        <v/>
      </c>
      <c r="N23" t="str">
        <f>IF('Master Sheet'!C24="Area 5 (Renuka A)",'Master Sheet'!N24,"")</f>
        <v/>
      </c>
      <c r="O23" t="str">
        <f>IF('Master Sheet'!C24="Area 5 (Renuka A)",'Master Sheet'!O24,"")</f>
        <v/>
      </c>
      <c r="P23" t="str">
        <f>IF('Master Sheet'!C24="Area 5 (Renuka A)",'Master Sheet'!P24,"")</f>
        <v/>
      </c>
    </row>
    <row r="24" spans="1:16" hidden="1" x14ac:dyDescent="0.25">
      <c r="A24" t="str">
        <f>IF('Master Sheet'!C25="Area 5 (Renuka A)",'Master Sheet'!A25,"")</f>
        <v/>
      </c>
      <c r="B24" t="str">
        <f>IF('Master Sheet'!C25="Area 5 (Renuka A)",'Master Sheet'!B25,"")</f>
        <v/>
      </c>
      <c r="C24" t="s">
        <v>8</v>
      </c>
      <c r="D24" t="str">
        <f>IF('Master Sheet'!C25="Area 5 (Renuka A)",'Master Sheet'!D25,"")</f>
        <v/>
      </c>
      <c r="E24" t="str">
        <f>IF('Master Sheet'!C25="Area 5 (Renuka A)",'Master Sheet'!E25,"")</f>
        <v/>
      </c>
      <c r="F24" t="str">
        <f>IF('Master Sheet'!C25="Area 5 (Renuka A)",'Master Sheet'!F25,"")</f>
        <v/>
      </c>
      <c r="G24" t="str">
        <f>IF('Master Sheet'!C25="Area 5 (Renuka A)",'Master Sheet'!G25,"")</f>
        <v/>
      </c>
      <c r="H24" t="str">
        <f>IF('Master Sheet'!C25="Area 5 (Renuka A)",'Master Sheet'!H25,"")</f>
        <v/>
      </c>
      <c r="I24" t="str">
        <f>IF('Master Sheet'!C25="Area 5 (Renuka A)",'Master Sheet'!I25,"")</f>
        <v/>
      </c>
      <c r="J24" t="str">
        <f>IF('Master Sheet'!C25="Area 5 (Renuka A)",'Master Sheet'!J25,"")</f>
        <v/>
      </c>
      <c r="K24" t="str">
        <f>IF('Master Sheet'!C25="Area 5 (Renuka A)",'Master Sheet'!K25,"")</f>
        <v/>
      </c>
      <c r="L24" t="str">
        <f>IF('Master Sheet'!C25="Area 5 (Renuka A)",'Master Sheet'!L25,"")</f>
        <v/>
      </c>
      <c r="M24" t="str">
        <f>IF('Master Sheet'!C25="Area 5 (Renuka A)",'Master Sheet'!M25,"")</f>
        <v/>
      </c>
      <c r="N24" t="str">
        <f>IF('Master Sheet'!C25="Area 5 (Renuka A)",'Master Sheet'!N25,"")</f>
        <v/>
      </c>
      <c r="O24" t="str">
        <f>IF('Master Sheet'!C25="Area 5 (Renuka A)",'Master Sheet'!O25,"")</f>
        <v/>
      </c>
      <c r="P24" t="str">
        <f>IF('Master Sheet'!C25="Area 5 (Renuka A)",'Master Sheet'!P25,"")</f>
        <v/>
      </c>
    </row>
    <row r="25" spans="1:16" hidden="1" x14ac:dyDescent="0.25">
      <c r="A25" t="str">
        <f>IF('Master Sheet'!C26="Area 5 (Renuka A)",'Master Sheet'!A26,"")</f>
        <v/>
      </c>
      <c r="B25" t="str">
        <f>IF('Master Sheet'!C26="Area 5 (Renuka A)",'Master Sheet'!B26,"")</f>
        <v/>
      </c>
      <c r="C25" t="s">
        <v>8</v>
      </c>
      <c r="D25" t="str">
        <f>IF('Master Sheet'!C26="Area 5 (Renuka A)",'Master Sheet'!D26,"")</f>
        <v/>
      </c>
      <c r="E25" t="str">
        <f>IF('Master Sheet'!C26="Area 5 (Renuka A)",'Master Sheet'!E26,"")</f>
        <v/>
      </c>
      <c r="F25" t="str">
        <f>IF('Master Sheet'!C26="Area 5 (Renuka A)",'Master Sheet'!F26,"")</f>
        <v/>
      </c>
      <c r="G25" t="str">
        <f>IF('Master Sheet'!C26="Area 5 (Renuka A)",'Master Sheet'!G26,"")</f>
        <v/>
      </c>
      <c r="H25" t="str">
        <f>IF('Master Sheet'!C26="Area 5 (Renuka A)",'Master Sheet'!H26,"")</f>
        <v/>
      </c>
      <c r="I25" t="str">
        <f>IF('Master Sheet'!C26="Area 5 (Renuka A)",'Master Sheet'!I26,"")</f>
        <v/>
      </c>
      <c r="J25" t="str">
        <f>IF('Master Sheet'!C26="Area 5 (Renuka A)",'Master Sheet'!J26,"")</f>
        <v/>
      </c>
      <c r="K25" t="str">
        <f>IF('Master Sheet'!C26="Area 5 (Renuka A)",'Master Sheet'!K26,"")</f>
        <v/>
      </c>
      <c r="L25" t="str">
        <f>IF('Master Sheet'!C26="Area 5 (Renuka A)",'Master Sheet'!L26,"")</f>
        <v/>
      </c>
      <c r="M25" t="str">
        <f>IF('Master Sheet'!C26="Area 5 (Renuka A)",'Master Sheet'!M26,"")</f>
        <v/>
      </c>
      <c r="N25" t="str">
        <f>IF('Master Sheet'!C26="Area 5 (Renuka A)",'Master Sheet'!N26,"")</f>
        <v/>
      </c>
      <c r="O25" t="str">
        <f>IF('Master Sheet'!C26="Area 5 (Renuka A)",'Master Sheet'!O26,"")</f>
        <v/>
      </c>
      <c r="P25" t="str">
        <f>IF('Master Sheet'!C26="Area 5 (Renuka A)",'Master Sheet'!P26,"")</f>
        <v/>
      </c>
    </row>
    <row r="26" spans="1:16" hidden="1" x14ac:dyDescent="0.25">
      <c r="A26" t="str">
        <f>IF('Master Sheet'!C27="Area 5 (Renuka A)",'Master Sheet'!A27,"")</f>
        <v/>
      </c>
      <c r="B26" t="str">
        <f>IF('Master Sheet'!C27="Area 5 (Renuka A)",'Master Sheet'!B27,"")</f>
        <v/>
      </c>
      <c r="C26" t="s">
        <v>8</v>
      </c>
      <c r="D26" t="str">
        <f>IF('Master Sheet'!C27="Area 5 (Renuka A)",'Master Sheet'!D27,"")</f>
        <v/>
      </c>
      <c r="E26" t="str">
        <f>IF('Master Sheet'!C27="Area 5 (Renuka A)",'Master Sheet'!E27,"")</f>
        <v/>
      </c>
      <c r="F26" t="str">
        <f>IF('Master Sheet'!C27="Area 5 (Renuka A)",'Master Sheet'!F27,"")</f>
        <v/>
      </c>
      <c r="G26" t="str">
        <f>IF('Master Sheet'!C27="Area 5 (Renuka A)",'Master Sheet'!G27,"")</f>
        <v/>
      </c>
      <c r="H26" t="str">
        <f>IF('Master Sheet'!C27="Area 5 (Renuka A)",'Master Sheet'!H27,"")</f>
        <v/>
      </c>
      <c r="I26" t="str">
        <f>IF('Master Sheet'!C27="Area 5 (Renuka A)",'Master Sheet'!I27,"")</f>
        <v/>
      </c>
      <c r="J26" t="str">
        <f>IF('Master Sheet'!C27="Area 5 (Renuka A)",'Master Sheet'!J27,"")</f>
        <v/>
      </c>
      <c r="K26" t="str">
        <f>IF('Master Sheet'!C27="Area 5 (Renuka A)",'Master Sheet'!K27,"")</f>
        <v/>
      </c>
      <c r="L26" t="str">
        <f>IF('Master Sheet'!C27="Area 5 (Renuka A)",'Master Sheet'!L27,"")</f>
        <v/>
      </c>
      <c r="M26" t="str">
        <f>IF('Master Sheet'!C27="Area 5 (Renuka A)",'Master Sheet'!M27,"")</f>
        <v/>
      </c>
      <c r="N26" t="str">
        <f>IF('Master Sheet'!C27="Area 5 (Renuka A)",'Master Sheet'!N27,"")</f>
        <v/>
      </c>
      <c r="O26" t="str">
        <f>IF('Master Sheet'!C27="Area 5 (Renuka A)",'Master Sheet'!O27,"")</f>
        <v/>
      </c>
      <c r="P26" t="str">
        <f>IF('Master Sheet'!C27="Area 5 (Renuka A)",'Master Sheet'!P27,"")</f>
        <v/>
      </c>
    </row>
    <row r="27" spans="1:16" hidden="1" x14ac:dyDescent="0.25">
      <c r="A27" t="str">
        <f>IF('Master Sheet'!C28="Area 5 (Renuka A)",'Master Sheet'!A28,"")</f>
        <v/>
      </c>
      <c r="B27" t="str">
        <f>IF('Master Sheet'!C28="Area 5 (Renuka A)",'Master Sheet'!B28,"")</f>
        <v/>
      </c>
      <c r="C27" t="s">
        <v>8</v>
      </c>
      <c r="D27" t="str">
        <f>IF('Master Sheet'!C28="Area 5 (Renuka A)",'Master Sheet'!D28,"")</f>
        <v/>
      </c>
      <c r="E27" t="str">
        <f>IF('Master Sheet'!C28="Area 5 (Renuka A)",'Master Sheet'!E28,"")</f>
        <v/>
      </c>
      <c r="F27" t="str">
        <f>IF('Master Sheet'!C28="Area 5 (Renuka A)",'Master Sheet'!F28,"")</f>
        <v/>
      </c>
      <c r="G27" t="str">
        <f>IF('Master Sheet'!C28="Area 5 (Renuka A)",'Master Sheet'!G28,"")</f>
        <v/>
      </c>
      <c r="H27" t="str">
        <f>IF('Master Sheet'!C28="Area 5 (Renuka A)",'Master Sheet'!H28,"")</f>
        <v/>
      </c>
      <c r="I27" t="str">
        <f>IF('Master Sheet'!C28="Area 5 (Renuka A)",'Master Sheet'!I28,"")</f>
        <v/>
      </c>
      <c r="J27" t="str">
        <f>IF('Master Sheet'!C28="Area 5 (Renuka A)",'Master Sheet'!J28,"")</f>
        <v/>
      </c>
      <c r="K27" t="str">
        <f>IF('Master Sheet'!C28="Area 5 (Renuka A)",'Master Sheet'!K28,"")</f>
        <v/>
      </c>
      <c r="L27" t="str">
        <f>IF('Master Sheet'!C28="Area 5 (Renuka A)",'Master Sheet'!L28,"")</f>
        <v/>
      </c>
      <c r="M27" t="str">
        <f>IF('Master Sheet'!C28="Area 5 (Renuka A)",'Master Sheet'!M28,"")</f>
        <v/>
      </c>
      <c r="N27" t="str">
        <f>IF('Master Sheet'!C28="Area 5 (Renuka A)",'Master Sheet'!N28,"")</f>
        <v/>
      </c>
      <c r="O27" t="str">
        <f>IF('Master Sheet'!C28="Area 5 (Renuka A)",'Master Sheet'!O28,"")</f>
        <v/>
      </c>
      <c r="P27" t="str">
        <f>IF('Master Sheet'!C28="Area 5 (Renuka A)",'Master Sheet'!P28,"")</f>
        <v/>
      </c>
    </row>
    <row r="28" spans="1:16" hidden="1" x14ac:dyDescent="0.25">
      <c r="A28" t="str">
        <f>IF('Master Sheet'!C29="Area 5 (Renuka A)",'Master Sheet'!A29,"")</f>
        <v/>
      </c>
      <c r="B28" t="str">
        <f>IF('Master Sheet'!C29="Area 5 (Renuka A)",'Master Sheet'!B29,"")</f>
        <v/>
      </c>
      <c r="C28" t="s">
        <v>8</v>
      </c>
      <c r="D28" t="str">
        <f>IF('Master Sheet'!C29="Area 5 (Renuka A)",'Master Sheet'!D29,"")</f>
        <v/>
      </c>
      <c r="E28" t="str">
        <f>IF('Master Sheet'!C29="Area 5 (Renuka A)",'Master Sheet'!E29,"")</f>
        <v/>
      </c>
      <c r="F28" t="str">
        <f>IF('Master Sheet'!C29="Area 5 (Renuka A)",'Master Sheet'!F29,"")</f>
        <v/>
      </c>
      <c r="G28" t="str">
        <f>IF('Master Sheet'!C29="Area 5 (Renuka A)",'Master Sheet'!G29,"")</f>
        <v/>
      </c>
      <c r="H28" t="str">
        <f>IF('Master Sheet'!C29="Area 5 (Renuka A)",'Master Sheet'!H29,"")</f>
        <v/>
      </c>
      <c r="I28" t="str">
        <f>IF('Master Sheet'!C29="Area 5 (Renuka A)",'Master Sheet'!I29,"")</f>
        <v/>
      </c>
      <c r="J28" t="str">
        <f>IF('Master Sheet'!C29="Area 5 (Renuka A)",'Master Sheet'!J29,"")</f>
        <v/>
      </c>
      <c r="K28" t="str">
        <f>IF('Master Sheet'!C29="Area 5 (Renuka A)",'Master Sheet'!K29,"")</f>
        <v/>
      </c>
      <c r="L28" t="str">
        <f>IF('Master Sheet'!C29="Area 5 (Renuka A)",'Master Sheet'!L29,"")</f>
        <v/>
      </c>
      <c r="M28" t="str">
        <f>IF('Master Sheet'!C29="Area 5 (Renuka A)",'Master Sheet'!M29,"")</f>
        <v/>
      </c>
      <c r="N28" t="str">
        <f>IF('Master Sheet'!C29="Area 5 (Renuka A)",'Master Sheet'!N29,"")</f>
        <v/>
      </c>
      <c r="O28" t="str">
        <f>IF('Master Sheet'!C29="Area 5 (Renuka A)",'Master Sheet'!O29,"")</f>
        <v/>
      </c>
      <c r="P28" t="str">
        <f>IF('Master Sheet'!C29="Area 5 (Renuka A)",'Master Sheet'!P29,"")</f>
        <v/>
      </c>
    </row>
    <row r="29" spans="1:16" hidden="1" x14ac:dyDescent="0.25">
      <c r="A29" t="str">
        <f>IF('Master Sheet'!C30="Area 5 (Renuka A)",'Master Sheet'!A30,"")</f>
        <v/>
      </c>
      <c r="B29" t="str">
        <f>IF('Master Sheet'!C30="Area 5 (Renuka A)",'Master Sheet'!B30,"")</f>
        <v/>
      </c>
      <c r="C29" t="s">
        <v>8</v>
      </c>
      <c r="D29" t="str">
        <f>IF('Master Sheet'!C30="Area 5 (Renuka A)",'Master Sheet'!D30,"")</f>
        <v/>
      </c>
      <c r="E29" t="str">
        <f>IF('Master Sheet'!C30="Area 5 (Renuka A)",'Master Sheet'!E30,"")</f>
        <v/>
      </c>
      <c r="F29" t="str">
        <f>IF('Master Sheet'!C30="Area 5 (Renuka A)",'Master Sheet'!F30,"")</f>
        <v/>
      </c>
      <c r="G29" t="str">
        <f>IF('Master Sheet'!C30="Area 5 (Renuka A)",'Master Sheet'!G30,"")</f>
        <v/>
      </c>
      <c r="H29" t="str">
        <f>IF('Master Sheet'!C30="Area 5 (Renuka A)",'Master Sheet'!H30,"")</f>
        <v/>
      </c>
      <c r="I29" t="str">
        <f>IF('Master Sheet'!C30="Area 5 (Renuka A)",'Master Sheet'!I30,"")</f>
        <v/>
      </c>
      <c r="J29" t="str">
        <f>IF('Master Sheet'!C30="Area 5 (Renuka A)",'Master Sheet'!J30,"")</f>
        <v/>
      </c>
      <c r="K29" t="str">
        <f>IF('Master Sheet'!C30="Area 5 (Renuka A)",'Master Sheet'!K30,"")</f>
        <v/>
      </c>
      <c r="L29" t="str">
        <f>IF('Master Sheet'!C30="Area 5 (Renuka A)",'Master Sheet'!L30,"")</f>
        <v/>
      </c>
      <c r="M29" t="str">
        <f>IF('Master Sheet'!C30="Area 5 (Renuka A)",'Master Sheet'!M30,"")</f>
        <v/>
      </c>
      <c r="N29" t="str">
        <f>IF('Master Sheet'!C30="Area 5 (Renuka A)",'Master Sheet'!N30,"")</f>
        <v/>
      </c>
      <c r="O29" t="str">
        <f>IF('Master Sheet'!C30="Area 5 (Renuka A)",'Master Sheet'!O30,"")</f>
        <v/>
      </c>
      <c r="P29" t="str">
        <f>IF('Master Sheet'!C30="Area 5 (Renuka A)",'Master Sheet'!P30,"")</f>
        <v/>
      </c>
    </row>
    <row r="30" spans="1:16" hidden="1" x14ac:dyDescent="0.25">
      <c r="A30" t="str">
        <f>IF('Master Sheet'!C31="Area 5 (Renuka A)",'Master Sheet'!A31,"")</f>
        <v/>
      </c>
      <c r="B30" t="str">
        <f>IF('Master Sheet'!C31="Area 5 (Renuka A)",'Master Sheet'!B31,"")</f>
        <v/>
      </c>
      <c r="C30" t="s">
        <v>8</v>
      </c>
      <c r="D30" t="str">
        <f>IF('Master Sheet'!C31="Area 5 (Renuka A)",'Master Sheet'!D31,"")</f>
        <v/>
      </c>
      <c r="E30" t="str">
        <f>IF('Master Sheet'!C31="Area 5 (Renuka A)",'Master Sheet'!E31,"")</f>
        <v/>
      </c>
      <c r="F30" t="str">
        <f>IF('Master Sheet'!C31="Area 5 (Renuka A)",'Master Sheet'!F31,"")</f>
        <v/>
      </c>
      <c r="G30" t="str">
        <f>IF('Master Sheet'!C31="Area 5 (Renuka A)",'Master Sheet'!G31,"")</f>
        <v/>
      </c>
      <c r="H30" t="str">
        <f>IF('Master Sheet'!C31="Area 5 (Renuka A)",'Master Sheet'!H31,"")</f>
        <v/>
      </c>
      <c r="I30" t="str">
        <f>IF('Master Sheet'!C31="Area 5 (Renuka A)",'Master Sheet'!I31,"")</f>
        <v/>
      </c>
      <c r="J30" t="str">
        <f>IF('Master Sheet'!C31="Area 5 (Renuka A)",'Master Sheet'!J31,"")</f>
        <v/>
      </c>
      <c r="K30" t="str">
        <f>IF('Master Sheet'!C31="Area 5 (Renuka A)",'Master Sheet'!K31,"")</f>
        <v/>
      </c>
      <c r="L30" t="str">
        <f>IF('Master Sheet'!C31="Area 5 (Renuka A)",'Master Sheet'!L31,"")</f>
        <v/>
      </c>
      <c r="M30" t="str">
        <f>IF('Master Sheet'!C31="Area 5 (Renuka A)",'Master Sheet'!M31,"")</f>
        <v/>
      </c>
      <c r="N30" t="str">
        <f>IF('Master Sheet'!C31="Area 5 (Renuka A)",'Master Sheet'!N31,"")</f>
        <v/>
      </c>
      <c r="O30" t="str">
        <f>IF('Master Sheet'!C31="Area 5 (Renuka A)",'Master Sheet'!O31,"")</f>
        <v/>
      </c>
      <c r="P30" t="str">
        <f>IF('Master Sheet'!C31="Area 5 (Renuka A)",'Master Sheet'!P31,"")</f>
        <v/>
      </c>
    </row>
    <row r="31" spans="1:16" hidden="1" x14ac:dyDescent="0.25">
      <c r="A31" t="str">
        <f>IF('Master Sheet'!C32="Area 5 (Renuka A)",'Master Sheet'!A32,"")</f>
        <v/>
      </c>
      <c r="B31" t="str">
        <f>IF('Master Sheet'!C32="Area 5 (Renuka A)",'Master Sheet'!B32,"")</f>
        <v/>
      </c>
      <c r="C31" t="s">
        <v>8</v>
      </c>
      <c r="D31" t="str">
        <f>IF('Master Sheet'!C32="Area 5 (Renuka A)",'Master Sheet'!D32,"")</f>
        <v/>
      </c>
      <c r="E31" t="str">
        <f>IF('Master Sheet'!C32="Area 5 (Renuka A)",'Master Sheet'!E32,"")</f>
        <v/>
      </c>
      <c r="F31" t="str">
        <f>IF('Master Sheet'!C32="Area 5 (Renuka A)",'Master Sheet'!F32,"")</f>
        <v/>
      </c>
      <c r="G31" t="str">
        <f>IF('Master Sheet'!C32="Area 5 (Renuka A)",'Master Sheet'!G32,"")</f>
        <v/>
      </c>
      <c r="H31" t="str">
        <f>IF('Master Sheet'!C32="Area 5 (Renuka A)",'Master Sheet'!H32,"")</f>
        <v/>
      </c>
      <c r="I31" t="str">
        <f>IF('Master Sheet'!C32="Area 5 (Renuka A)",'Master Sheet'!I32,"")</f>
        <v/>
      </c>
      <c r="J31" t="str">
        <f>IF('Master Sheet'!C32="Area 5 (Renuka A)",'Master Sheet'!J32,"")</f>
        <v/>
      </c>
      <c r="K31" t="str">
        <f>IF('Master Sheet'!C32="Area 5 (Renuka A)",'Master Sheet'!K32,"")</f>
        <v/>
      </c>
      <c r="L31" t="str">
        <f>IF('Master Sheet'!C32="Area 5 (Renuka A)",'Master Sheet'!L32,"")</f>
        <v/>
      </c>
      <c r="M31" t="str">
        <f>IF('Master Sheet'!C32="Area 5 (Renuka A)",'Master Sheet'!M32,"")</f>
        <v/>
      </c>
      <c r="N31" t="str">
        <f>IF('Master Sheet'!C32="Area 5 (Renuka A)",'Master Sheet'!N32,"")</f>
        <v/>
      </c>
      <c r="O31" t="str">
        <f>IF('Master Sheet'!C32="Area 5 (Renuka A)",'Master Sheet'!O32,"")</f>
        <v/>
      </c>
      <c r="P31" t="str">
        <f>IF('Master Sheet'!C32="Area 5 (Renuka A)",'Master Sheet'!P32,"")</f>
        <v/>
      </c>
    </row>
    <row r="32" spans="1:16" hidden="1" x14ac:dyDescent="0.25">
      <c r="A32" t="str">
        <f>IF('Master Sheet'!C33="Area 5 (Renuka A)",'Master Sheet'!A33,"")</f>
        <v/>
      </c>
      <c r="B32" t="str">
        <f>IF('Master Sheet'!C33="Area 5 (Renuka A)",'Master Sheet'!B33,"")</f>
        <v/>
      </c>
      <c r="C32" t="s">
        <v>8</v>
      </c>
      <c r="D32" t="str">
        <f>IF('Master Sheet'!C33="Area 5 (Renuka A)",'Master Sheet'!D33,"")</f>
        <v/>
      </c>
      <c r="E32" t="str">
        <f>IF('Master Sheet'!C33="Area 5 (Renuka A)",'Master Sheet'!E33,"")</f>
        <v/>
      </c>
      <c r="F32" t="str">
        <f>IF('Master Sheet'!C33="Area 5 (Renuka A)",'Master Sheet'!F33,"")</f>
        <v/>
      </c>
      <c r="G32" t="str">
        <f>IF('Master Sheet'!C33="Area 5 (Renuka A)",'Master Sheet'!G33,"")</f>
        <v/>
      </c>
      <c r="H32" t="str">
        <f>IF('Master Sheet'!C33="Area 5 (Renuka A)",'Master Sheet'!H33,"")</f>
        <v/>
      </c>
      <c r="I32" t="str">
        <f>IF('Master Sheet'!C33="Area 5 (Renuka A)",'Master Sheet'!I33,"")</f>
        <v/>
      </c>
      <c r="J32" t="str">
        <f>IF('Master Sheet'!C33="Area 5 (Renuka A)",'Master Sheet'!J33,"")</f>
        <v/>
      </c>
      <c r="K32" t="str">
        <f>IF('Master Sheet'!C33="Area 5 (Renuka A)",'Master Sheet'!K33,"")</f>
        <v/>
      </c>
      <c r="L32" t="str">
        <f>IF('Master Sheet'!C33="Area 5 (Renuka A)",'Master Sheet'!L33,"")</f>
        <v/>
      </c>
      <c r="M32" t="str">
        <f>IF('Master Sheet'!C33="Area 5 (Renuka A)",'Master Sheet'!M33,"")</f>
        <v/>
      </c>
      <c r="N32" t="str">
        <f>IF('Master Sheet'!C33="Area 5 (Renuka A)",'Master Sheet'!N33,"")</f>
        <v/>
      </c>
      <c r="O32" t="str">
        <f>IF('Master Sheet'!C33="Area 5 (Renuka A)",'Master Sheet'!O33,"")</f>
        <v/>
      </c>
      <c r="P32" t="str">
        <f>IF('Master Sheet'!C33="Area 5 (Renuka A)",'Master Sheet'!P33,"")</f>
        <v/>
      </c>
    </row>
    <row r="33" spans="1:16" hidden="1" x14ac:dyDescent="0.25">
      <c r="A33" t="str">
        <f>IF('Master Sheet'!C34="Area 5 (Renuka A)",'Master Sheet'!A34,"")</f>
        <v/>
      </c>
      <c r="B33" t="str">
        <f>IF('Master Sheet'!C34="Area 5 (Renuka A)",'Master Sheet'!B34,"")</f>
        <v/>
      </c>
      <c r="C33" t="s">
        <v>8</v>
      </c>
      <c r="D33" t="str">
        <f>IF('Master Sheet'!C34="Area 5 (Renuka A)",'Master Sheet'!D34,"")</f>
        <v/>
      </c>
      <c r="E33" t="str">
        <f>IF('Master Sheet'!C34="Area 5 (Renuka A)",'Master Sheet'!E34,"")</f>
        <v/>
      </c>
      <c r="F33" t="str">
        <f>IF('Master Sheet'!C34="Area 5 (Renuka A)",'Master Sheet'!F34,"")</f>
        <v/>
      </c>
      <c r="G33" t="str">
        <f>IF('Master Sheet'!C34="Area 5 (Renuka A)",'Master Sheet'!G34,"")</f>
        <v/>
      </c>
      <c r="H33" t="str">
        <f>IF('Master Sheet'!C34="Area 5 (Renuka A)",'Master Sheet'!H34,"")</f>
        <v/>
      </c>
      <c r="I33" t="str">
        <f>IF('Master Sheet'!C34="Area 5 (Renuka A)",'Master Sheet'!I34,"")</f>
        <v/>
      </c>
      <c r="J33" t="str">
        <f>IF('Master Sheet'!C34="Area 5 (Renuka A)",'Master Sheet'!J34,"")</f>
        <v/>
      </c>
      <c r="K33" t="str">
        <f>IF('Master Sheet'!C34="Area 5 (Renuka A)",'Master Sheet'!K34,"")</f>
        <v/>
      </c>
      <c r="L33" t="str">
        <f>IF('Master Sheet'!C34="Area 5 (Renuka A)",'Master Sheet'!L34,"")</f>
        <v/>
      </c>
      <c r="M33" t="str">
        <f>IF('Master Sheet'!C34="Area 5 (Renuka A)",'Master Sheet'!M34,"")</f>
        <v/>
      </c>
      <c r="N33" t="str">
        <f>IF('Master Sheet'!C34="Area 5 (Renuka A)",'Master Sheet'!N34,"")</f>
        <v/>
      </c>
      <c r="O33" t="str">
        <f>IF('Master Sheet'!C34="Area 5 (Renuka A)",'Master Sheet'!O34,"")</f>
        <v/>
      </c>
      <c r="P33" t="str">
        <f>IF('Master Sheet'!C34="Area 5 (Renuka A)",'Master Sheet'!P34,"")</f>
        <v/>
      </c>
    </row>
    <row r="34" spans="1:16" hidden="1" x14ac:dyDescent="0.25">
      <c r="A34" t="str">
        <f>IF('Master Sheet'!C35="Area 5 (Renuka A)",'Master Sheet'!A35,"")</f>
        <v/>
      </c>
      <c r="B34" t="str">
        <f>IF('Master Sheet'!C35="Area 5 (Renuka A)",'Master Sheet'!B35,"")</f>
        <v/>
      </c>
      <c r="C34" t="s">
        <v>8</v>
      </c>
      <c r="D34" t="str">
        <f>IF('Master Sheet'!C35="Area 5 (Renuka A)",'Master Sheet'!D35,"")</f>
        <v/>
      </c>
      <c r="E34" t="str">
        <f>IF('Master Sheet'!C35="Area 5 (Renuka A)",'Master Sheet'!E35,"")</f>
        <v/>
      </c>
      <c r="F34" t="str">
        <f>IF('Master Sheet'!C35="Area 5 (Renuka A)",'Master Sheet'!F35,"")</f>
        <v/>
      </c>
      <c r="G34" t="str">
        <f>IF('Master Sheet'!C35="Area 5 (Renuka A)",'Master Sheet'!G35,"")</f>
        <v/>
      </c>
      <c r="H34" t="str">
        <f>IF('Master Sheet'!C35="Area 5 (Renuka A)",'Master Sheet'!H35,"")</f>
        <v/>
      </c>
      <c r="I34" t="str">
        <f>IF('Master Sheet'!C35="Area 5 (Renuka A)",'Master Sheet'!I35,"")</f>
        <v/>
      </c>
      <c r="J34" t="str">
        <f>IF('Master Sheet'!C35="Area 5 (Renuka A)",'Master Sheet'!J35,"")</f>
        <v/>
      </c>
      <c r="K34" t="str">
        <f>IF('Master Sheet'!C35="Area 5 (Renuka A)",'Master Sheet'!K35,"")</f>
        <v/>
      </c>
      <c r="L34" t="str">
        <f>IF('Master Sheet'!C35="Area 5 (Renuka A)",'Master Sheet'!L35,"")</f>
        <v/>
      </c>
      <c r="M34" t="str">
        <f>IF('Master Sheet'!C35="Area 5 (Renuka A)",'Master Sheet'!M35,"")</f>
        <v/>
      </c>
      <c r="N34" t="str">
        <f>IF('Master Sheet'!C35="Area 5 (Renuka A)",'Master Sheet'!N35,"")</f>
        <v/>
      </c>
      <c r="O34" t="str">
        <f>IF('Master Sheet'!C35="Area 5 (Renuka A)",'Master Sheet'!O35,"")</f>
        <v/>
      </c>
      <c r="P34" t="str">
        <f>IF('Master Sheet'!C35="Area 5 (Renuka A)",'Master Sheet'!P35,"")</f>
        <v/>
      </c>
    </row>
    <row r="35" spans="1:16" hidden="1" x14ac:dyDescent="0.25">
      <c r="A35" t="str">
        <f>IF('Master Sheet'!C36="Area 5 (Renuka A)",'Master Sheet'!A36,"")</f>
        <v/>
      </c>
      <c r="B35" t="str">
        <f>IF('Master Sheet'!C36="Area 5 (Renuka A)",'Master Sheet'!B36,"")</f>
        <v/>
      </c>
      <c r="C35" t="s">
        <v>8</v>
      </c>
      <c r="D35" t="str">
        <f>IF('Master Sheet'!C36="Area 5 (Renuka A)",'Master Sheet'!D36,"")</f>
        <v/>
      </c>
      <c r="E35" t="str">
        <f>IF('Master Sheet'!C36="Area 5 (Renuka A)",'Master Sheet'!E36,"")</f>
        <v/>
      </c>
      <c r="F35" t="str">
        <f>IF('Master Sheet'!C36="Area 5 (Renuka A)",'Master Sheet'!F36,"")</f>
        <v/>
      </c>
      <c r="G35" t="str">
        <f>IF('Master Sheet'!C36="Area 5 (Renuka A)",'Master Sheet'!G36,"")</f>
        <v/>
      </c>
      <c r="H35" t="str">
        <f>IF('Master Sheet'!C36="Area 5 (Renuka A)",'Master Sheet'!H36,"")</f>
        <v/>
      </c>
      <c r="I35" t="str">
        <f>IF('Master Sheet'!C36="Area 5 (Renuka A)",'Master Sheet'!I36,"")</f>
        <v/>
      </c>
      <c r="J35" t="str">
        <f>IF('Master Sheet'!C36="Area 5 (Renuka A)",'Master Sheet'!J36,"")</f>
        <v/>
      </c>
      <c r="K35" t="str">
        <f>IF('Master Sheet'!C36="Area 5 (Renuka A)",'Master Sheet'!K36,"")</f>
        <v/>
      </c>
      <c r="L35" t="str">
        <f>IF('Master Sheet'!C36="Area 5 (Renuka A)",'Master Sheet'!L36,"")</f>
        <v/>
      </c>
      <c r="M35" t="str">
        <f>IF('Master Sheet'!C36="Area 5 (Renuka A)",'Master Sheet'!M36,"")</f>
        <v/>
      </c>
      <c r="N35" t="str">
        <f>IF('Master Sheet'!C36="Area 5 (Renuka A)",'Master Sheet'!N36,"")</f>
        <v/>
      </c>
      <c r="O35" t="str">
        <f>IF('Master Sheet'!C36="Area 5 (Renuka A)",'Master Sheet'!O36,"")</f>
        <v/>
      </c>
      <c r="P35" t="str">
        <f>IF('Master Sheet'!C36="Area 5 (Renuka A)",'Master Sheet'!P36,"")</f>
        <v/>
      </c>
    </row>
    <row r="36" spans="1:16" hidden="1" x14ac:dyDescent="0.25">
      <c r="A36" t="str">
        <f>IF('Master Sheet'!C37="Area 5 (Renuka A)",'Master Sheet'!A37,"")</f>
        <v/>
      </c>
      <c r="B36" t="str">
        <f>IF('Master Sheet'!C37="Area 5 (Renuka A)",'Master Sheet'!B37,"")</f>
        <v/>
      </c>
      <c r="C36" t="s">
        <v>8</v>
      </c>
      <c r="D36" t="str">
        <f>IF('Master Sheet'!C37="Area 5 (Renuka A)",'Master Sheet'!D37,"")</f>
        <v/>
      </c>
      <c r="E36" t="str">
        <f>IF('Master Sheet'!C37="Area 5 (Renuka A)",'Master Sheet'!E37,"")</f>
        <v/>
      </c>
      <c r="F36" t="str">
        <f>IF('Master Sheet'!C37="Area 5 (Renuka A)",'Master Sheet'!F37,"")</f>
        <v/>
      </c>
      <c r="G36" t="str">
        <f>IF('Master Sheet'!C37="Area 5 (Renuka A)",'Master Sheet'!G37,"")</f>
        <v/>
      </c>
      <c r="H36" t="str">
        <f>IF('Master Sheet'!C37="Area 5 (Renuka A)",'Master Sheet'!H37,"")</f>
        <v/>
      </c>
      <c r="I36" t="str">
        <f>IF('Master Sheet'!C37="Area 5 (Renuka A)",'Master Sheet'!I37,"")</f>
        <v/>
      </c>
      <c r="J36" t="str">
        <f>IF('Master Sheet'!C37="Area 5 (Renuka A)",'Master Sheet'!J37,"")</f>
        <v/>
      </c>
      <c r="K36" t="str">
        <f>IF('Master Sheet'!C37="Area 5 (Renuka A)",'Master Sheet'!K37,"")</f>
        <v/>
      </c>
      <c r="L36" t="str">
        <f>IF('Master Sheet'!C37="Area 5 (Renuka A)",'Master Sheet'!L37,"")</f>
        <v/>
      </c>
      <c r="M36" t="str">
        <f>IF('Master Sheet'!C37="Area 5 (Renuka A)",'Master Sheet'!M37,"")</f>
        <v/>
      </c>
      <c r="N36" t="str">
        <f>IF('Master Sheet'!C37="Area 5 (Renuka A)",'Master Sheet'!N37,"")</f>
        <v/>
      </c>
      <c r="O36" t="str">
        <f>IF('Master Sheet'!C37="Area 5 (Renuka A)",'Master Sheet'!O37,"")</f>
        <v/>
      </c>
      <c r="P36" t="str">
        <f>IF('Master Sheet'!C37="Area 5 (Renuka A)",'Master Sheet'!P37,"")</f>
        <v/>
      </c>
    </row>
    <row r="37" spans="1:16" hidden="1" x14ac:dyDescent="0.25">
      <c r="A37" t="str">
        <f>IF('Master Sheet'!C38="Area 5 (Renuka A)",'Master Sheet'!A38,"")</f>
        <v/>
      </c>
      <c r="B37" t="str">
        <f>IF('Master Sheet'!C38="Area 5 (Renuka A)",'Master Sheet'!B38,"")</f>
        <v/>
      </c>
      <c r="C37" t="s">
        <v>8</v>
      </c>
      <c r="D37" t="str">
        <f>IF('Master Sheet'!C38="Area 5 (Renuka A)",'Master Sheet'!D38,"")</f>
        <v/>
      </c>
      <c r="E37" t="str">
        <f>IF('Master Sheet'!C38="Area 5 (Renuka A)",'Master Sheet'!E38,"")</f>
        <v/>
      </c>
      <c r="F37" t="str">
        <f>IF('Master Sheet'!C38="Area 5 (Renuka A)",'Master Sheet'!F38,"")</f>
        <v/>
      </c>
      <c r="G37" t="str">
        <f>IF('Master Sheet'!C38="Area 5 (Renuka A)",'Master Sheet'!G38,"")</f>
        <v/>
      </c>
      <c r="H37" t="str">
        <f>IF('Master Sheet'!C38="Area 5 (Renuka A)",'Master Sheet'!H38,"")</f>
        <v/>
      </c>
      <c r="I37" t="str">
        <f>IF('Master Sheet'!C38="Area 5 (Renuka A)",'Master Sheet'!I38,"")</f>
        <v/>
      </c>
      <c r="J37" t="str">
        <f>IF('Master Sheet'!C38="Area 5 (Renuka A)",'Master Sheet'!J38,"")</f>
        <v/>
      </c>
      <c r="K37" t="str">
        <f>IF('Master Sheet'!C38="Area 5 (Renuka A)",'Master Sheet'!K38,"")</f>
        <v/>
      </c>
      <c r="L37" t="str">
        <f>IF('Master Sheet'!C38="Area 5 (Renuka A)",'Master Sheet'!L38,"")</f>
        <v/>
      </c>
      <c r="M37" t="str">
        <f>IF('Master Sheet'!C38="Area 5 (Renuka A)",'Master Sheet'!M38,"")</f>
        <v/>
      </c>
      <c r="N37" t="str">
        <f>IF('Master Sheet'!C38="Area 5 (Renuka A)",'Master Sheet'!N38,"")</f>
        <v/>
      </c>
      <c r="O37" t="str">
        <f>IF('Master Sheet'!C38="Area 5 (Renuka A)",'Master Sheet'!O38,"")</f>
        <v/>
      </c>
      <c r="P37" t="str">
        <f>IF('Master Sheet'!C38="Area 5 (Renuka A)",'Master Sheet'!P38,"")</f>
        <v/>
      </c>
    </row>
    <row r="38" spans="1:16" hidden="1" x14ac:dyDescent="0.25">
      <c r="A38" t="str">
        <f>IF('Master Sheet'!C39="Area 5 (Renuka A)",'Master Sheet'!A39,"")</f>
        <v/>
      </c>
      <c r="B38" t="str">
        <f>IF('Master Sheet'!C39="Area 5 (Renuka A)",'Master Sheet'!B39,"")</f>
        <v/>
      </c>
      <c r="C38" t="s">
        <v>8</v>
      </c>
      <c r="D38" t="str">
        <f>IF('Master Sheet'!C39="Area 5 (Renuka A)",'Master Sheet'!D39,"")</f>
        <v/>
      </c>
      <c r="E38" t="str">
        <f>IF('Master Sheet'!C39="Area 5 (Renuka A)",'Master Sheet'!E39,"")</f>
        <v/>
      </c>
      <c r="F38" t="str">
        <f>IF('Master Sheet'!C39="Area 5 (Renuka A)",'Master Sheet'!F39,"")</f>
        <v/>
      </c>
      <c r="G38" t="str">
        <f>IF('Master Sheet'!C39="Area 5 (Renuka A)",'Master Sheet'!G39,"")</f>
        <v/>
      </c>
      <c r="H38" t="str">
        <f>IF('Master Sheet'!C39="Area 5 (Renuka A)",'Master Sheet'!H39,"")</f>
        <v/>
      </c>
      <c r="I38" t="str">
        <f>IF('Master Sheet'!C39="Area 5 (Renuka A)",'Master Sheet'!I39,"")</f>
        <v/>
      </c>
      <c r="J38" t="str">
        <f>IF('Master Sheet'!C39="Area 5 (Renuka A)",'Master Sheet'!J39,"")</f>
        <v/>
      </c>
      <c r="K38" t="str">
        <f>IF('Master Sheet'!C39="Area 5 (Renuka A)",'Master Sheet'!K39,"")</f>
        <v/>
      </c>
      <c r="L38" t="str">
        <f>IF('Master Sheet'!C39="Area 5 (Renuka A)",'Master Sheet'!L39,"")</f>
        <v/>
      </c>
      <c r="M38" t="str">
        <f>IF('Master Sheet'!C39="Area 5 (Renuka A)",'Master Sheet'!M39,"")</f>
        <v/>
      </c>
      <c r="N38" t="str">
        <f>IF('Master Sheet'!C39="Area 5 (Renuka A)",'Master Sheet'!N39,"")</f>
        <v/>
      </c>
      <c r="O38" t="str">
        <f>IF('Master Sheet'!C39="Area 5 (Renuka A)",'Master Sheet'!O39,"")</f>
        <v/>
      </c>
      <c r="P38" t="str">
        <f>IF('Master Sheet'!C39="Area 5 (Renuka A)",'Master Sheet'!P39,"")</f>
        <v/>
      </c>
    </row>
    <row r="39" spans="1:16" hidden="1" x14ac:dyDescent="0.25">
      <c r="A39" t="str">
        <f>IF('Master Sheet'!C40="Area 5 (Renuka A)",'Master Sheet'!A40,"")</f>
        <v/>
      </c>
      <c r="B39" t="str">
        <f>IF('Master Sheet'!C40="Area 5 (Renuka A)",'Master Sheet'!B40,"")</f>
        <v/>
      </c>
      <c r="C39" t="s">
        <v>8</v>
      </c>
      <c r="D39" t="str">
        <f>IF('Master Sheet'!C40="Area 5 (Renuka A)",'Master Sheet'!D40,"")</f>
        <v/>
      </c>
      <c r="E39" t="str">
        <f>IF('Master Sheet'!C40="Area 5 (Renuka A)",'Master Sheet'!E40,"")</f>
        <v/>
      </c>
      <c r="F39" t="str">
        <f>IF('Master Sheet'!C40="Area 5 (Renuka A)",'Master Sheet'!F40,"")</f>
        <v/>
      </c>
      <c r="G39" t="str">
        <f>IF('Master Sheet'!C40="Area 5 (Renuka A)",'Master Sheet'!G40,"")</f>
        <v/>
      </c>
      <c r="H39" t="str">
        <f>IF('Master Sheet'!C40="Area 5 (Renuka A)",'Master Sheet'!H40,"")</f>
        <v/>
      </c>
      <c r="I39" t="str">
        <f>IF('Master Sheet'!C40="Area 5 (Renuka A)",'Master Sheet'!I40,"")</f>
        <v/>
      </c>
      <c r="J39" t="str">
        <f>IF('Master Sheet'!C40="Area 5 (Renuka A)",'Master Sheet'!J40,"")</f>
        <v/>
      </c>
      <c r="K39" t="str">
        <f>IF('Master Sheet'!C40="Area 5 (Renuka A)",'Master Sheet'!K40,"")</f>
        <v/>
      </c>
      <c r="L39" t="str">
        <f>IF('Master Sheet'!C40="Area 5 (Renuka A)",'Master Sheet'!L40,"")</f>
        <v/>
      </c>
      <c r="M39" t="str">
        <f>IF('Master Sheet'!C40="Area 5 (Renuka A)",'Master Sheet'!M40,"")</f>
        <v/>
      </c>
      <c r="N39" t="str">
        <f>IF('Master Sheet'!C40="Area 5 (Renuka A)",'Master Sheet'!N40,"")</f>
        <v/>
      </c>
      <c r="O39" t="str">
        <f>IF('Master Sheet'!C40="Area 5 (Renuka A)",'Master Sheet'!O40,"")</f>
        <v/>
      </c>
      <c r="P39" t="str">
        <f>IF('Master Sheet'!C40="Area 5 (Renuka A)",'Master Sheet'!P40,"")</f>
        <v/>
      </c>
    </row>
    <row r="40" spans="1:16" hidden="1" x14ac:dyDescent="0.25">
      <c r="A40" t="str">
        <f>IF('Master Sheet'!C41="Area 5 (Renuka A)",'Master Sheet'!A41,"")</f>
        <v/>
      </c>
      <c r="B40" t="str">
        <f>IF('Master Sheet'!C41="Area 5 (Renuka A)",'Master Sheet'!B41,"")</f>
        <v/>
      </c>
      <c r="C40" t="s">
        <v>8</v>
      </c>
      <c r="D40" t="str">
        <f>IF('Master Sheet'!C41="Area 5 (Renuka A)",'Master Sheet'!D41,"")</f>
        <v/>
      </c>
      <c r="E40" t="str">
        <f>IF('Master Sheet'!C41="Area 5 (Renuka A)",'Master Sheet'!E41,"")</f>
        <v/>
      </c>
      <c r="F40" t="str">
        <f>IF('Master Sheet'!C41="Area 5 (Renuka A)",'Master Sheet'!F41,"")</f>
        <v/>
      </c>
      <c r="G40" t="str">
        <f>IF('Master Sheet'!C41="Area 5 (Renuka A)",'Master Sheet'!G41,"")</f>
        <v/>
      </c>
      <c r="H40" t="str">
        <f>IF('Master Sheet'!C41="Area 5 (Renuka A)",'Master Sheet'!H41,"")</f>
        <v/>
      </c>
      <c r="I40" t="str">
        <f>IF('Master Sheet'!C41="Area 5 (Renuka A)",'Master Sheet'!I41,"")</f>
        <v/>
      </c>
      <c r="J40" t="str">
        <f>IF('Master Sheet'!C41="Area 5 (Renuka A)",'Master Sheet'!J41,"")</f>
        <v/>
      </c>
      <c r="K40" t="str">
        <f>IF('Master Sheet'!C41="Area 5 (Renuka A)",'Master Sheet'!K41,"")</f>
        <v/>
      </c>
      <c r="L40" t="str">
        <f>IF('Master Sheet'!C41="Area 5 (Renuka A)",'Master Sheet'!L41,"")</f>
        <v/>
      </c>
      <c r="M40" t="str">
        <f>IF('Master Sheet'!C41="Area 5 (Renuka A)",'Master Sheet'!M41,"")</f>
        <v/>
      </c>
      <c r="N40" t="str">
        <f>IF('Master Sheet'!C41="Area 5 (Renuka A)",'Master Sheet'!N41,"")</f>
        <v/>
      </c>
      <c r="O40" t="str">
        <f>IF('Master Sheet'!C41="Area 5 (Renuka A)",'Master Sheet'!O41,"")</f>
        <v/>
      </c>
      <c r="P40" t="str">
        <f>IF('Master Sheet'!C41="Area 5 (Renuka A)",'Master Sheet'!P41,"")</f>
        <v/>
      </c>
    </row>
    <row r="41" spans="1:16" hidden="1" x14ac:dyDescent="0.25">
      <c r="A41" t="str">
        <f>IF('Master Sheet'!C42="Area 5 (Renuka A)",'Master Sheet'!A42,"")</f>
        <v/>
      </c>
      <c r="B41" t="str">
        <f>IF('Master Sheet'!C42="Area 5 (Renuka A)",'Master Sheet'!B42,"")</f>
        <v/>
      </c>
      <c r="C41" t="s">
        <v>8</v>
      </c>
      <c r="D41" t="str">
        <f>IF('Master Sheet'!C42="Area 5 (Renuka A)",'Master Sheet'!D42,"")</f>
        <v/>
      </c>
      <c r="E41" t="str">
        <f>IF('Master Sheet'!C42="Area 5 (Renuka A)",'Master Sheet'!E42,"")</f>
        <v/>
      </c>
      <c r="F41" t="str">
        <f>IF('Master Sheet'!C42="Area 5 (Renuka A)",'Master Sheet'!F42,"")</f>
        <v/>
      </c>
      <c r="G41" t="str">
        <f>IF('Master Sheet'!C42="Area 5 (Renuka A)",'Master Sheet'!G42,"")</f>
        <v/>
      </c>
      <c r="H41" t="str">
        <f>IF('Master Sheet'!C42="Area 5 (Renuka A)",'Master Sheet'!H42,"")</f>
        <v/>
      </c>
      <c r="I41" t="str">
        <f>IF('Master Sheet'!C42="Area 5 (Renuka A)",'Master Sheet'!I42,"")</f>
        <v/>
      </c>
      <c r="J41" t="str">
        <f>IF('Master Sheet'!C42="Area 5 (Renuka A)",'Master Sheet'!J42,"")</f>
        <v/>
      </c>
      <c r="K41" t="str">
        <f>IF('Master Sheet'!C42="Area 5 (Renuka A)",'Master Sheet'!K42,"")</f>
        <v/>
      </c>
      <c r="L41" t="str">
        <f>IF('Master Sheet'!C42="Area 5 (Renuka A)",'Master Sheet'!L42,"")</f>
        <v/>
      </c>
      <c r="M41" t="str">
        <f>IF('Master Sheet'!C42="Area 5 (Renuka A)",'Master Sheet'!M42,"")</f>
        <v/>
      </c>
      <c r="N41" t="str">
        <f>IF('Master Sheet'!C42="Area 5 (Renuka A)",'Master Sheet'!N42,"")</f>
        <v/>
      </c>
      <c r="O41" t="str">
        <f>IF('Master Sheet'!C42="Area 5 (Renuka A)",'Master Sheet'!O42,"")</f>
        <v/>
      </c>
      <c r="P41" t="str">
        <f>IF('Master Sheet'!C42="Area 5 (Renuka A)",'Master Sheet'!P42,"")</f>
        <v/>
      </c>
    </row>
    <row r="42" spans="1:16" hidden="1" x14ac:dyDescent="0.25">
      <c r="A42" t="str">
        <f>IF('Master Sheet'!C43="Area 5 (Renuka A)",'Master Sheet'!A43,"")</f>
        <v/>
      </c>
      <c r="B42" t="str">
        <f>IF('Master Sheet'!C43="Area 5 (Renuka A)",'Master Sheet'!B43,"")</f>
        <v/>
      </c>
      <c r="C42" t="s">
        <v>8</v>
      </c>
      <c r="D42" t="str">
        <f>IF('Master Sheet'!C43="Area 5 (Renuka A)",'Master Sheet'!D43,"")</f>
        <v/>
      </c>
      <c r="E42" t="str">
        <f>IF('Master Sheet'!C43="Area 5 (Renuka A)",'Master Sheet'!E43,"")</f>
        <v/>
      </c>
      <c r="F42" t="str">
        <f>IF('Master Sheet'!C43="Area 5 (Renuka A)",'Master Sheet'!F43,"")</f>
        <v/>
      </c>
      <c r="G42" t="str">
        <f>IF('Master Sheet'!C43="Area 5 (Renuka A)",'Master Sheet'!G43,"")</f>
        <v/>
      </c>
      <c r="H42" t="str">
        <f>IF('Master Sheet'!C43="Area 5 (Renuka A)",'Master Sheet'!H43,"")</f>
        <v/>
      </c>
      <c r="I42" t="str">
        <f>IF('Master Sheet'!C43="Area 5 (Renuka A)",'Master Sheet'!I43,"")</f>
        <v/>
      </c>
      <c r="J42" t="str">
        <f>IF('Master Sheet'!C43="Area 5 (Renuka A)",'Master Sheet'!J43,"")</f>
        <v/>
      </c>
      <c r="K42" t="str">
        <f>IF('Master Sheet'!C43="Area 5 (Renuka A)",'Master Sheet'!K43,"")</f>
        <v/>
      </c>
      <c r="L42" t="str">
        <f>IF('Master Sheet'!C43="Area 5 (Renuka A)",'Master Sheet'!L43,"")</f>
        <v/>
      </c>
      <c r="M42" t="str">
        <f>IF('Master Sheet'!C43="Area 5 (Renuka A)",'Master Sheet'!M43,"")</f>
        <v/>
      </c>
      <c r="N42" t="str">
        <f>IF('Master Sheet'!C43="Area 5 (Renuka A)",'Master Sheet'!N43,"")</f>
        <v/>
      </c>
      <c r="O42" t="str">
        <f>IF('Master Sheet'!C43="Area 5 (Renuka A)",'Master Sheet'!O43,"")</f>
        <v/>
      </c>
      <c r="P42" t="str">
        <f>IF('Master Sheet'!C43="Area 5 (Renuka A)",'Master Sheet'!P43,"")</f>
        <v/>
      </c>
    </row>
    <row r="43" spans="1:16" hidden="1" x14ac:dyDescent="0.25">
      <c r="A43" t="str">
        <f>IF('Master Sheet'!C44="Area 5 (Renuka A)",'Master Sheet'!A44,"")</f>
        <v/>
      </c>
      <c r="B43" t="str">
        <f>IF('Master Sheet'!C44="Area 5 (Renuka A)",'Master Sheet'!B44,"")</f>
        <v/>
      </c>
      <c r="C43" t="s">
        <v>8</v>
      </c>
      <c r="D43" t="str">
        <f>IF('Master Sheet'!C44="Area 5 (Renuka A)",'Master Sheet'!D44,"")</f>
        <v/>
      </c>
      <c r="E43" t="str">
        <f>IF('Master Sheet'!C44="Area 5 (Renuka A)",'Master Sheet'!E44,"")</f>
        <v/>
      </c>
      <c r="F43" t="str">
        <f>IF('Master Sheet'!C44="Area 5 (Renuka A)",'Master Sheet'!F44,"")</f>
        <v/>
      </c>
      <c r="G43" t="str">
        <f>IF('Master Sheet'!C44="Area 5 (Renuka A)",'Master Sheet'!G44,"")</f>
        <v/>
      </c>
      <c r="H43" t="str">
        <f>IF('Master Sheet'!C44="Area 5 (Renuka A)",'Master Sheet'!H44,"")</f>
        <v/>
      </c>
      <c r="I43" t="str">
        <f>IF('Master Sheet'!C44="Area 5 (Renuka A)",'Master Sheet'!I44,"")</f>
        <v/>
      </c>
      <c r="J43" t="str">
        <f>IF('Master Sheet'!C44="Area 5 (Renuka A)",'Master Sheet'!J44,"")</f>
        <v/>
      </c>
      <c r="K43" t="str">
        <f>IF('Master Sheet'!C44="Area 5 (Renuka A)",'Master Sheet'!K44,"")</f>
        <v/>
      </c>
      <c r="L43" t="str">
        <f>IF('Master Sheet'!C44="Area 5 (Renuka A)",'Master Sheet'!L44,"")</f>
        <v/>
      </c>
      <c r="M43" t="str">
        <f>IF('Master Sheet'!C44="Area 5 (Renuka A)",'Master Sheet'!M44,"")</f>
        <v/>
      </c>
      <c r="N43" t="str">
        <f>IF('Master Sheet'!C44="Area 5 (Renuka A)",'Master Sheet'!N44,"")</f>
        <v/>
      </c>
      <c r="O43" t="str">
        <f>IF('Master Sheet'!C44="Area 5 (Renuka A)",'Master Sheet'!O44,"")</f>
        <v/>
      </c>
      <c r="P43" t="str">
        <f>IF('Master Sheet'!C44="Area 5 (Renuka A)",'Master Sheet'!P44,"")</f>
        <v/>
      </c>
    </row>
    <row r="44" spans="1:16" hidden="1" x14ac:dyDescent="0.25">
      <c r="A44" t="str">
        <f>IF('Master Sheet'!C45="Area 5 (Renuka A)",'Master Sheet'!A45,"")</f>
        <v/>
      </c>
      <c r="B44" t="str">
        <f>IF('Master Sheet'!C45="Area 5 (Renuka A)",'Master Sheet'!B45,"")</f>
        <v/>
      </c>
      <c r="C44" t="s">
        <v>8</v>
      </c>
      <c r="D44" t="str">
        <f>IF('Master Sheet'!C45="Area 5 (Renuka A)",'Master Sheet'!D45,"")</f>
        <v/>
      </c>
      <c r="E44" t="str">
        <f>IF('Master Sheet'!C45="Area 5 (Renuka A)",'Master Sheet'!E45,"")</f>
        <v/>
      </c>
      <c r="F44" t="str">
        <f>IF('Master Sheet'!C45="Area 5 (Renuka A)",'Master Sheet'!F45,"")</f>
        <v/>
      </c>
      <c r="G44" t="str">
        <f>IF('Master Sheet'!C45="Area 5 (Renuka A)",'Master Sheet'!G45,"")</f>
        <v/>
      </c>
      <c r="H44" t="str">
        <f>IF('Master Sheet'!C45="Area 5 (Renuka A)",'Master Sheet'!H45,"")</f>
        <v/>
      </c>
      <c r="I44" t="str">
        <f>IF('Master Sheet'!C45="Area 5 (Renuka A)",'Master Sheet'!I45,"")</f>
        <v/>
      </c>
      <c r="J44" t="str">
        <f>IF('Master Sheet'!C45="Area 5 (Renuka A)",'Master Sheet'!J45,"")</f>
        <v/>
      </c>
      <c r="K44" t="str">
        <f>IF('Master Sheet'!C45="Area 5 (Renuka A)",'Master Sheet'!K45,"")</f>
        <v/>
      </c>
      <c r="L44" t="str">
        <f>IF('Master Sheet'!C45="Area 5 (Renuka A)",'Master Sheet'!L45,"")</f>
        <v/>
      </c>
      <c r="M44" t="str">
        <f>IF('Master Sheet'!C45="Area 5 (Renuka A)",'Master Sheet'!M45,"")</f>
        <v/>
      </c>
      <c r="N44" t="str">
        <f>IF('Master Sheet'!C45="Area 5 (Renuka A)",'Master Sheet'!N45,"")</f>
        <v/>
      </c>
      <c r="O44" t="str">
        <f>IF('Master Sheet'!C45="Area 5 (Renuka A)",'Master Sheet'!O45,"")</f>
        <v/>
      </c>
      <c r="P44" t="str">
        <f>IF('Master Sheet'!C45="Area 5 (Renuka A)",'Master Sheet'!P45,"")</f>
        <v/>
      </c>
    </row>
    <row r="45" spans="1:16" hidden="1" x14ac:dyDescent="0.25">
      <c r="A45" t="str">
        <f>IF('Master Sheet'!C46="Area 5 (Renuka A)",'Master Sheet'!A46,"")</f>
        <v/>
      </c>
      <c r="B45" t="str">
        <f>IF('Master Sheet'!C46="Area 5 (Renuka A)",'Master Sheet'!B46,"")</f>
        <v/>
      </c>
      <c r="C45" t="s">
        <v>8</v>
      </c>
      <c r="D45" t="str">
        <f>IF('Master Sheet'!C46="Area 5 (Renuka A)",'Master Sheet'!D46,"")</f>
        <v/>
      </c>
      <c r="E45" t="str">
        <f>IF('Master Sheet'!C46="Area 5 (Renuka A)",'Master Sheet'!E46,"")</f>
        <v/>
      </c>
      <c r="F45" t="str">
        <f>IF('Master Sheet'!C46="Area 5 (Renuka A)",'Master Sheet'!F46,"")</f>
        <v/>
      </c>
      <c r="G45" t="str">
        <f>IF('Master Sheet'!C46="Area 5 (Renuka A)",'Master Sheet'!G46,"")</f>
        <v/>
      </c>
      <c r="H45" t="str">
        <f>IF('Master Sheet'!C46="Area 5 (Renuka A)",'Master Sheet'!H46,"")</f>
        <v/>
      </c>
      <c r="I45" t="str">
        <f>IF('Master Sheet'!C46="Area 5 (Renuka A)",'Master Sheet'!I46,"")</f>
        <v/>
      </c>
      <c r="J45" t="str">
        <f>IF('Master Sheet'!C46="Area 5 (Renuka A)",'Master Sheet'!J46,"")</f>
        <v/>
      </c>
      <c r="K45" t="str">
        <f>IF('Master Sheet'!C46="Area 5 (Renuka A)",'Master Sheet'!K46,"")</f>
        <v/>
      </c>
      <c r="L45" t="str">
        <f>IF('Master Sheet'!C46="Area 5 (Renuka A)",'Master Sheet'!L46,"")</f>
        <v/>
      </c>
      <c r="M45" t="str">
        <f>IF('Master Sheet'!C46="Area 5 (Renuka A)",'Master Sheet'!M46,"")</f>
        <v/>
      </c>
      <c r="N45" t="str">
        <f>IF('Master Sheet'!C46="Area 5 (Renuka A)",'Master Sheet'!N46,"")</f>
        <v/>
      </c>
      <c r="O45" t="str">
        <f>IF('Master Sheet'!C46="Area 5 (Renuka A)",'Master Sheet'!O46,"")</f>
        <v/>
      </c>
      <c r="P45" t="str">
        <f>IF('Master Sheet'!C46="Area 5 (Renuka A)",'Master Sheet'!P46,"")</f>
        <v/>
      </c>
    </row>
    <row r="46" spans="1:16" hidden="1" x14ac:dyDescent="0.25">
      <c r="A46" t="str">
        <f>IF('Master Sheet'!C47="Area 5 (Renuka A)",'Master Sheet'!A47,"")</f>
        <v/>
      </c>
      <c r="B46" t="str">
        <f>IF('Master Sheet'!C47="Area 5 (Renuka A)",'Master Sheet'!B47,"")</f>
        <v/>
      </c>
      <c r="C46" t="s">
        <v>8</v>
      </c>
      <c r="D46" t="str">
        <f>IF('Master Sheet'!C47="Area 5 (Renuka A)",'Master Sheet'!D47,"")</f>
        <v/>
      </c>
      <c r="E46" t="str">
        <f>IF('Master Sheet'!C47="Area 5 (Renuka A)",'Master Sheet'!E47,"")</f>
        <v/>
      </c>
      <c r="F46" t="str">
        <f>IF('Master Sheet'!C47="Area 5 (Renuka A)",'Master Sheet'!F47,"")</f>
        <v/>
      </c>
      <c r="G46" t="str">
        <f>IF('Master Sheet'!C47="Area 5 (Renuka A)",'Master Sheet'!G47,"")</f>
        <v/>
      </c>
      <c r="H46" t="str">
        <f>IF('Master Sheet'!C47="Area 5 (Renuka A)",'Master Sheet'!H47,"")</f>
        <v/>
      </c>
      <c r="I46" t="str">
        <f>IF('Master Sheet'!C47="Area 5 (Renuka A)",'Master Sheet'!I47,"")</f>
        <v/>
      </c>
      <c r="J46" t="str">
        <f>IF('Master Sheet'!C47="Area 5 (Renuka A)",'Master Sheet'!J47,"")</f>
        <v/>
      </c>
      <c r="K46" t="str">
        <f>IF('Master Sheet'!C47="Area 5 (Renuka A)",'Master Sheet'!K47,"")</f>
        <v/>
      </c>
      <c r="L46" t="str">
        <f>IF('Master Sheet'!C47="Area 5 (Renuka A)",'Master Sheet'!L47,"")</f>
        <v/>
      </c>
      <c r="M46" t="str">
        <f>IF('Master Sheet'!C47="Area 5 (Renuka A)",'Master Sheet'!M47,"")</f>
        <v/>
      </c>
      <c r="N46" t="str">
        <f>IF('Master Sheet'!C47="Area 5 (Renuka A)",'Master Sheet'!N47,"")</f>
        <v/>
      </c>
      <c r="O46" t="str">
        <f>IF('Master Sheet'!C47="Area 5 (Renuka A)",'Master Sheet'!O47,"")</f>
        <v/>
      </c>
      <c r="P46" t="str">
        <f>IF('Master Sheet'!C47="Area 5 (Renuka A)",'Master Sheet'!P47,"")</f>
        <v/>
      </c>
    </row>
    <row r="47" spans="1:16" hidden="1" x14ac:dyDescent="0.25">
      <c r="A47" t="str">
        <f>IF('Master Sheet'!C48="Area 5 (Renuka A)",'Master Sheet'!A48,"")</f>
        <v/>
      </c>
      <c r="B47" t="str">
        <f>IF('Master Sheet'!C48="Area 5 (Renuka A)",'Master Sheet'!B48,"")</f>
        <v/>
      </c>
      <c r="C47" t="s">
        <v>8</v>
      </c>
      <c r="D47" t="str">
        <f>IF('Master Sheet'!C48="Area 5 (Renuka A)",'Master Sheet'!D48,"")</f>
        <v/>
      </c>
      <c r="E47" t="str">
        <f>IF('Master Sheet'!C48="Area 5 (Renuka A)",'Master Sheet'!E48,"")</f>
        <v/>
      </c>
      <c r="F47" t="str">
        <f>IF('Master Sheet'!C48="Area 5 (Renuka A)",'Master Sheet'!F48,"")</f>
        <v/>
      </c>
      <c r="G47" t="str">
        <f>IF('Master Sheet'!C48="Area 5 (Renuka A)",'Master Sheet'!G48,"")</f>
        <v/>
      </c>
      <c r="H47" t="str">
        <f>IF('Master Sheet'!C48="Area 5 (Renuka A)",'Master Sheet'!H48,"")</f>
        <v/>
      </c>
      <c r="I47" t="str">
        <f>IF('Master Sheet'!C48="Area 5 (Renuka A)",'Master Sheet'!I48,"")</f>
        <v/>
      </c>
      <c r="J47" t="str">
        <f>IF('Master Sheet'!C48="Area 5 (Renuka A)",'Master Sheet'!J48,"")</f>
        <v/>
      </c>
      <c r="K47" t="str">
        <f>IF('Master Sheet'!C48="Area 5 (Renuka A)",'Master Sheet'!K48,"")</f>
        <v/>
      </c>
      <c r="L47" t="str">
        <f>IF('Master Sheet'!C48="Area 5 (Renuka A)",'Master Sheet'!L48,"")</f>
        <v/>
      </c>
      <c r="M47" t="str">
        <f>IF('Master Sheet'!C48="Area 5 (Renuka A)",'Master Sheet'!M48,"")</f>
        <v/>
      </c>
      <c r="N47" t="str">
        <f>IF('Master Sheet'!C48="Area 5 (Renuka A)",'Master Sheet'!N48,"")</f>
        <v/>
      </c>
      <c r="O47" t="str">
        <f>IF('Master Sheet'!C48="Area 5 (Renuka A)",'Master Sheet'!O48,"")</f>
        <v/>
      </c>
      <c r="P47" t="str">
        <f>IF('Master Sheet'!C48="Area 5 (Renuka A)",'Master Sheet'!P48,"")</f>
        <v/>
      </c>
    </row>
    <row r="48" spans="1:16" hidden="1" x14ac:dyDescent="0.25">
      <c r="A48" t="str">
        <f>IF('Master Sheet'!C49="Area 5 (Renuka A)",'Master Sheet'!A49,"")</f>
        <v/>
      </c>
      <c r="B48" t="str">
        <f>IF('Master Sheet'!C49="Area 5 (Renuka A)",'Master Sheet'!B49,"")</f>
        <v/>
      </c>
      <c r="C48" t="s">
        <v>8</v>
      </c>
      <c r="D48" t="str">
        <f>IF('Master Sheet'!C49="Area 5 (Renuka A)",'Master Sheet'!D49,"")</f>
        <v/>
      </c>
      <c r="E48" t="str">
        <f>IF('Master Sheet'!C49="Area 5 (Renuka A)",'Master Sheet'!E49,"")</f>
        <v/>
      </c>
      <c r="F48" t="str">
        <f>IF('Master Sheet'!C49="Area 5 (Renuka A)",'Master Sheet'!F49,"")</f>
        <v/>
      </c>
      <c r="G48" t="str">
        <f>IF('Master Sheet'!C49="Area 5 (Renuka A)",'Master Sheet'!G49,"")</f>
        <v/>
      </c>
      <c r="H48" t="str">
        <f>IF('Master Sheet'!C49="Area 5 (Renuka A)",'Master Sheet'!H49,"")</f>
        <v/>
      </c>
      <c r="I48" t="str">
        <f>IF('Master Sheet'!C49="Area 5 (Renuka A)",'Master Sheet'!I49,"")</f>
        <v/>
      </c>
      <c r="J48" t="str">
        <f>IF('Master Sheet'!C49="Area 5 (Renuka A)",'Master Sheet'!J49,"")</f>
        <v/>
      </c>
      <c r="K48" t="str">
        <f>IF('Master Sheet'!C49="Area 5 (Renuka A)",'Master Sheet'!K49,"")</f>
        <v/>
      </c>
      <c r="L48" t="str">
        <f>IF('Master Sheet'!C49="Area 5 (Renuka A)",'Master Sheet'!L49,"")</f>
        <v/>
      </c>
      <c r="M48" t="str">
        <f>IF('Master Sheet'!C49="Area 5 (Renuka A)",'Master Sheet'!M49,"")</f>
        <v/>
      </c>
      <c r="N48" t="str">
        <f>IF('Master Sheet'!C49="Area 5 (Renuka A)",'Master Sheet'!N49,"")</f>
        <v/>
      </c>
      <c r="O48" t="str">
        <f>IF('Master Sheet'!C49="Area 5 (Renuka A)",'Master Sheet'!O49,"")</f>
        <v/>
      </c>
      <c r="P48" t="str">
        <f>IF('Master Sheet'!C49="Area 5 (Renuka A)",'Master Sheet'!P49,"")</f>
        <v/>
      </c>
    </row>
    <row r="49" spans="1:16" hidden="1" x14ac:dyDescent="0.25">
      <c r="A49" t="str">
        <f>IF('Master Sheet'!C50="Area 5 (Renuka A)",'Master Sheet'!A50,"")</f>
        <v/>
      </c>
      <c r="B49" t="str">
        <f>IF('Master Sheet'!C50="Area 5 (Renuka A)",'Master Sheet'!B50,"")</f>
        <v/>
      </c>
      <c r="C49" t="s">
        <v>8</v>
      </c>
      <c r="D49" t="str">
        <f>IF('Master Sheet'!C50="Area 5 (Renuka A)",'Master Sheet'!D50,"")</f>
        <v/>
      </c>
      <c r="E49" t="str">
        <f>IF('Master Sheet'!C50="Area 5 (Renuka A)",'Master Sheet'!E50,"")</f>
        <v/>
      </c>
      <c r="F49" t="str">
        <f>IF('Master Sheet'!C50="Area 5 (Renuka A)",'Master Sheet'!F50,"")</f>
        <v/>
      </c>
      <c r="G49" t="str">
        <f>IF('Master Sheet'!C50="Area 5 (Renuka A)",'Master Sheet'!G50,"")</f>
        <v/>
      </c>
      <c r="H49" t="str">
        <f>IF('Master Sheet'!C50="Area 5 (Renuka A)",'Master Sheet'!H50,"")</f>
        <v/>
      </c>
      <c r="I49" t="str">
        <f>IF('Master Sheet'!C50="Area 5 (Renuka A)",'Master Sheet'!I50,"")</f>
        <v/>
      </c>
      <c r="J49" t="str">
        <f>IF('Master Sheet'!C50="Area 5 (Renuka A)",'Master Sheet'!J50,"")</f>
        <v/>
      </c>
      <c r="K49" t="str">
        <f>IF('Master Sheet'!C50="Area 5 (Renuka A)",'Master Sheet'!K50,"")</f>
        <v/>
      </c>
      <c r="L49" t="str">
        <f>IF('Master Sheet'!C50="Area 5 (Renuka A)",'Master Sheet'!L50,"")</f>
        <v/>
      </c>
      <c r="M49" t="str">
        <f>IF('Master Sheet'!C50="Area 5 (Renuka A)",'Master Sheet'!M50,"")</f>
        <v/>
      </c>
      <c r="N49" t="str">
        <f>IF('Master Sheet'!C50="Area 5 (Renuka A)",'Master Sheet'!N50,"")</f>
        <v/>
      </c>
      <c r="O49" t="str">
        <f>IF('Master Sheet'!C50="Area 5 (Renuka A)",'Master Sheet'!O50,"")</f>
        <v/>
      </c>
      <c r="P49" t="str">
        <f>IF('Master Sheet'!C50="Area 5 (Renuka A)",'Master Sheet'!P50,"")</f>
        <v/>
      </c>
    </row>
    <row r="50" spans="1:16" hidden="1" x14ac:dyDescent="0.25">
      <c r="A50" t="str">
        <f>IF('Master Sheet'!C51="Area 5 (Renuka A)",'Master Sheet'!A51,"")</f>
        <v/>
      </c>
      <c r="B50" t="str">
        <f>IF('Master Sheet'!C51="Area 5 (Renuka A)",'Master Sheet'!B51,"")</f>
        <v/>
      </c>
      <c r="C50" t="s">
        <v>8</v>
      </c>
      <c r="D50" t="str">
        <f>IF('Master Sheet'!C51="Area 5 (Renuka A)",'Master Sheet'!D51,"")</f>
        <v/>
      </c>
      <c r="E50" t="str">
        <f>IF('Master Sheet'!C51="Area 5 (Renuka A)",'Master Sheet'!E51,"")</f>
        <v/>
      </c>
      <c r="F50" t="str">
        <f>IF('Master Sheet'!C51="Area 5 (Renuka A)",'Master Sheet'!F51,"")</f>
        <v/>
      </c>
      <c r="G50" t="str">
        <f>IF('Master Sheet'!C51="Area 5 (Renuka A)",'Master Sheet'!G51,"")</f>
        <v/>
      </c>
      <c r="H50" t="str">
        <f>IF('Master Sheet'!C51="Area 5 (Renuka A)",'Master Sheet'!H51,"")</f>
        <v/>
      </c>
      <c r="I50" t="str">
        <f>IF('Master Sheet'!C51="Area 5 (Renuka A)",'Master Sheet'!I51,"")</f>
        <v/>
      </c>
      <c r="J50" t="str">
        <f>IF('Master Sheet'!C51="Area 5 (Renuka A)",'Master Sheet'!J51,"")</f>
        <v/>
      </c>
      <c r="K50" t="str">
        <f>IF('Master Sheet'!C51="Area 5 (Renuka A)",'Master Sheet'!K51,"")</f>
        <v/>
      </c>
      <c r="L50" t="str">
        <f>IF('Master Sheet'!C51="Area 5 (Renuka A)",'Master Sheet'!L51,"")</f>
        <v/>
      </c>
      <c r="M50" t="str">
        <f>IF('Master Sheet'!C51="Area 5 (Renuka A)",'Master Sheet'!M51,"")</f>
        <v/>
      </c>
      <c r="N50" t="str">
        <f>IF('Master Sheet'!C51="Area 5 (Renuka A)",'Master Sheet'!N51,"")</f>
        <v/>
      </c>
      <c r="O50" t="str">
        <f>IF('Master Sheet'!C51="Area 5 (Renuka A)",'Master Sheet'!O51,"")</f>
        <v/>
      </c>
      <c r="P50" t="str">
        <f>IF('Master Sheet'!C51="Area 5 (Renuka A)",'Master Sheet'!P51,"")</f>
        <v/>
      </c>
    </row>
    <row r="51" spans="1:16" hidden="1" x14ac:dyDescent="0.25">
      <c r="A51" t="str">
        <f>IF('Master Sheet'!C52="Area 5 (Renuka A)",'Master Sheet'!A52,"")</f>
        <v/>
      </c>
      <c r="B51" t="str">
        <f>IF('Master Sheet'!C52="Area 5 (Renuka A)",'Master Sheet'!B52,"")</f>
        <v/>
      </c>
      <c r="C51" t="s">
        <v>8</v>
      </c>
      <c r="D51" t="str">
        <f>IF('Master Sheet'!C52="Area 5 (Renuka A)",'Master Sheet'!D52,"")</f>
        <v/>
      </c>
      <c r="E51" t="str">
        <f>IF('Master Sheet'!C52="Area 5 (Renuka A)",'Master Sheet'!E52,"")</f>
        <v/>
      </c>
      <c r="F51" t="str">
        <f>IF('Master Sheet'!C52="Area 5 (Renuka A)",'Master Sheet'!F52,"")</f>
        <v/>
      </c>
      <c r="G51" t="str">
        <f>IF('Master Sheet'!C52="Area 5 (Renuka A)",'Master Sheet'!G52,"")</f>
        <v/>
      </c>
      <c r="H51" t="str">
        <f>IF('Master Sheet'!C52="Area 5 (Renuka A)",'Master Sheet'!H52,"")</f>
        <v/>
      </c>
      <c r="I51" t="str">
        <f>IF('Master Sheet'!C52="Area 5 (Renuka A)",'Master Sheet'!I52,"")</f>
        <v/>
      </c>
      <c r="J51" t="str">
        <f>IF('Master Sheet'!C52="Area 5 (Renuka A)",'Master Sheet'!J52,"")</f>
        <v/>
      </c>
      <c r="K51" t="str">
        <f>IF('Master Sheet'!C52="Area 5 (Renuka A)",'Master Sheet'!K52,"")</f>
        <v/>
      </c>
      <c r="L51" t="str">
        <f>IF('Master Sheet'!C52="Area 5 (Renuka A)",'Master Sheet'!L52,"")</f>
        <v/>
      </c>
      <c r="M51" t="str">
        <f>IF('Master Sheet'!C52="Area 5 (Renuka A)",'Master Sheet'!M52,"")</f>
        <v/>
      </c>
      <c r="N51" t="str">
        <f>IF('Master Sheet'!C52="Area 5 (Renuka A)",'Master Sheet'!N52,"")</f>
        <v/>
      </c>
      <c r="O51" t="str">
        <f>IF('Master Sheet'!C52="Area 5 (Renuka A)",'Master Sheet'!O52,"")</f>
        <v/>
      </c>
      <c r="P51" t="str">
        <f>IF('Master Sheet'!C52="Area 5 (Renuka A)",'Master Sheet'!P52,"")</f>
        <v/>
      </c>
    </row>
    <row r="52" spans="1:16" hidden="1" x14ac:dyDescent="0.25">
      <c r="A52" t="str">
        <f>IF('Master Sheet'!C53="Area 5 (Renuka A)",'Master Sheet'!A53,"")</f>
        <v/>
      </c>
      <c r="B52" t="str">
        <f>IF('Master Sheet'!C53="Area 5 (Renuka A)",'Master Sheet'!B53,"")</f>
        <v/>
      </c>
      <c r="C52" t="s">
        <v>8</v>
      </c>
      <c r="D52" t="str">
        <f>IF('Master Sheet'!C53="Area 5 (Renuka A)",'Master Sheet'!D53,"")</f>
        <v/>
      </c>
      <c r="E52" t="str">
        <f>IF('Master Sheet'!C53="Area 5 (Renuka A)",'Master Sheet'!E53,"")</f>
        <v/>
      </c>
      <c r="F52" t="str">
        <f>IF('Master Sheet'!C53="Area 5 (Renuka A)",'Master Sheet'!F53,"")</f>
        <v/>
      </c>
      <c r="G52" t="str">
        <f>IF('Master Sheet'!C53="Area 5 (Renuka A)",'Master Sheet'!G53,"")</f>
        <v/>
      </c>
      <c r="H52" t="str">
        <f>IF('Master Sheet'!C53="Area 5 (Renuka A)",'Master Sheet'!H53,"")</f>
        <v/>
      </c>
      <c r="I52" t="str">
        <f>IF('Master Sheet'!C53="Area 5 (Renuka A)",'Master Sheet'!I53,"")</f>
        <v/>
      </c>
      <c r="J52" t="str">
        <f>IF('Master Sheet'!C53="Area 5 (Renuka A)",'Master Sheet'!J53,"")</f>
        <v/>
      </c>
      <c r="K52" t="str">
        <f>IF('Master Sheet'!C53="Area 5 (Renuka A)",'Master Sheet'!K53,"")</f>
        <v/>
      </c>
      <c r="L52" t="str">
        <f>IF('Master Sheet'!C53="Area 5 (Renuka A)",'Master Sheet'!L53,"")</f>
        <v/>
      </c>
      <c r="M52" t="str">
        <f>IF('Master Sheet'!C53="Area 5 (Renuka A)",'Master Sheet'!M53,"")</f>
        <v/>
      </c>
      <c r="N52" t="str">
        <f>IF('Master Sheet'!C53="Area 5 (Renuka A)",'Master Sheet'!N53,"")</f>
        <v/>
      </c>
      <c r="O52" t="str">
        <f>IF('Master Sheet'!C53="Area 5 (Renuka A)",'Master Sheet'!O53,"")</f>
        <v/>
      </c>
      <c r="P52" t="str">
        <f>IF('Master Sheet'!C53="Area 5 (Renuka A)",'Master Sheet'!P53,"")</f>
        <v/>
      </c>
    </row>
    <row r="53" spans="1:16" hidden="1" x14ac:dyDescent="0.25">
      <c r="A53" t="str">
        <f>IF('Master Sheet'!C54="Area 5 (Renuka A)",'Master Sheet'!A54,"")</f>
        <v/>
      </c>
      <c r="B53" t="str">
        <f>IF('Master Sheet'!C54="Area 5 (Renuka A)",'Master Sheet'!B54,"")</f>
        <v/>
      </c>
      <c r="C53" t="s">
        <v>8</v>
      </c>
      <c r="D53" t="str">
        <f>IF('Master Sheet'!C54="Area 5 (Renuka A)",'Master Sheet'!D54,"")</f>
        <v/>
      </c>
      <c r="E53" t="str">
        <f>IF('Master Sheet'!C54="Area 5 (Renuka A)",'Master Sheet'!E54,"")</f>
        <v/>
      </c>
      <c r="F53" t="str">
        <f>IF('Master Sheet'!C54="Area 5 (Renuka A)",'Master Sheet'!F54,"")</f>
        <v/>
      </c>
      <c r="G53" t="str">
        <f>IF('Master Sheet'!C54="Area 5 (Renuka A)",'Master Sheet'!G54,"")</f>
        <v/>
      </c>
      <c r="H53" t="str">
        <f>IF('Master Sheet'!C54="Area 5 (Renuka A)",'Master Sheet'!H54,"")</f>
        <v/>
      </c>
      <c r="I53" t="str">
        <f>IF('Master Sheet'!C54="Area 5 (Renuka A)",'Master Sheet'!I54,"")</f>
        <v/>
      </c>
      <c r="J53" t="str">
        <f>IF('Master Sheet'!C54="Area 5 (Renuka A)",'Master Sheet'!J54,"")</f>
        <v/>
      </c>
      <c r="K53" t="str">
        <f>IF('Master Sheet'!C54="Area 5 (Renuka A)",'Master Sheet'!K54,"")</f>
        <v/>
      </c>
      <c r="L53" t="str">
        <f>IF('Master Sheet'!C54="Area 5 (Renuka A)",'Master Sheet'!L54,"")</f>
        <v/>
      </c>
      <c r="M53" t="str">
        <f>IF('Master Sheet'!C54="Area 5 (Renuka A)",'Master Sheet'!M54,"")</f>
        <v/>
      </c>
      <c r="N53" t="str">
        <f>IF('Master Sheet'!C54="Area 5 (Renuka A)",'Master Sheet'!N54,"")</f>
        <v/>
      </c>
      <c r="O53" t="str">
        <f>IF('Master Sheet'!C54="Area 5 (Renuka A)",'Master Sheet'!O54,"")</f>
        <v/>
      </c>
      <c r="P53" t="str">
        <f>IF('Master Sheet'!C54="Area 5 (Renuka A)",'Master Sheet'!P54,"")</f>
        <v/>
      </c>
    </row>
    <row r="54" spans="1:16" hidden="1" x14ac:dyDescent="0.25">
      <c r="A54" t="str">
        <f>IF('Master Sheet'!C55="Area 5 (Renuka A)",'Master Sheet'!A55,"")</f>
        <v/>
      </c>
      <c r="B54" t="str">
        <f>IF('Master Sheet'!C55="Area 5 (Renuka A)",'Master Sheet'!B55,"")</f>
        <v/>
      </c>
      <c r="C54" t="s">
        <v>8</v>
      </c>
      <c r="D54" t="str">
        <f>IF('Master Sheet'!C55="Area 5 (Renuka A)",'Master Sheet'!D55,"")</f>
        <v/>
      </c>
      <c r="E54" t="str">
        <f>IF('Master Sheet'!C55="Area 5 (Renuka A)",'Master Sheet'!E55,"")</f>
        <v/>
      </c>
      <c r="F54" t="str">
        <f>IF('Master Sheet'!C55="Area 5 (Renuka A)",'Master Sheet'!F55,"")</f>
        <v/>
      </c>
      <c r="G54" t="str">
        <f>IF('Master Sheet'!C55="Area 5 (Renuka A)",'Master Sheet'!G55,"")</f>
        <v/>
      </c>
      <c r="H54" t="str">
        <f>IF('Master Sheet'!C55="Area 5 (Renuka A)",'Master Sheet'!H55,"")</f>
        <v/>
      </c>
      <c r="I54" t="str">
        <f>IF('Master Sheet'!C55="Area 5 (Renuka A)",'Master Sheet'!I55,"")</f>
        <v/>
      </c>
      <c r="J54" t="str">
        <f>IF('Master Sheet'!C55="Area 5 (Renuka A)",'Master Sheet'!J55,"")</f>
        <v/>
      </c>
      <c r="K54" t="str">
        <f>IF('Master Sheet'!C55="Area 5 (Renuka A)",'Master Sheet'!K55,"")</f>
        <v/>
      </c>
      <c r="L54" t="str">
        <f>IF('Master Sheet'!C55="Area 5 (Renuka A)",'Master Sheet'!L55,"")</f>
        <v/>
      </c>
      <c r="M54" t="str">
        <f>IF('Master Sheet'!C55="Area 5 (Renuka A)",'Master Sheet'!M55,"")</f>
        <v/>
      </c>
      <c r="N54" t="str">
        <f>IF('Master Sheet'!C55="Area 5 (Renuka A)",'Master Sheet'!N55,"")</f>
        <v/>
      </c>
      <c r="O54" t="str">
        <f>IF('Master Sheet'!C55="Area 5 (Renuka A)",'Master Sheet'!O55,"")</f>
        <v/>
      </c>
      <c r="P54" t="str">
        <f>IF('Master Sheet'!C55="Area 5 (Renuka A)",'Master Sheet'!P55,"")</f>
        <v/>
      </c>
    </row>
    <row r="55" spans="1:16" hidden="1" x14ac:dyDescent="0.25">
      <c r="A55" t="str">
        <f>IF('Master Sheet'!C56="Area 5 (Renuka A)",'Master Sheet'!A56,"")</f>
        <v/>
      </c>
      <c r="B55" t="str">
        <f>IF('Master Sheet'!C56="Area 5 (Renuka A)",'Master Sheet'!B56,"")</f>
        <v/>
      </c>
      <c r="C55" t="s">
        <v>8</v>
      </c>
      <c r="D55" t="str">
        <f>IF('Master Sheet'!C56="Area 5 (Renuka A)",'Master Sheet'!D56,"")</f>
        <v/>
      </c>
      <c r="E55" t="str">
        <f>IF('Master Sheet'!C56="Area 5 (Renuka A)",'Master Sheet'!E56,"")</f>
        <v/>
      </c>
      <c r="F55" t="str">
        <f>IF('Master Sheet'!C56="Area 5 (Renuka A)",'Master Sheet'!F56,"")</f>
        <v/>
      </c>
      <c r="G55" t="str">
        <f>IF('Master Sheet'!C56="Area 5 (Renuka A)",'Master Sheet'!G56,"")</f>
        <v/>
      </c>
      <c r="H55" t="str">
        <f>IF('Master Sheet'!C56="Area 5 (Renuka A)",'Master Sheet'!H56,"")</f>
        <v/>
      </c>
      <c r="I55" t="str">
        <f>IF('Master Sheet'!C56="Area 5 (Renuka A)",'Master Sheet'!I56,"")</f>
        <v/>
      </c>
      <c r="J55" t="str">
        <f>IF('Master Sheet'!C56="Area 5 (Renuka A)",'Master Sheet'!J56,"")</f>
        <v/>
      </c>
      <c r="K55" t="str">
        <f>IF('Master Sheet'!C56="Area 5 (Renuka A)",'Master Sheet'!K56,"")</f>
        <v/>
      </c>
      <c r="L55" t="str">
        <f>IF('Master Sheet'!C56="Area 5 (Renuka A)",'Master Sheet'!L56,"")</f>
        <v/>
      </c>
      <c r="M55" t="str">
        <f>IF('Master Sheet'!C56="Area 5 (Renuka A)",'Master Sheet'!M56,"")</f>
        <v/>
      </c>
      <c r="N55" t="str">
        <f>IF('Master Sheet'!C56="Area 5 (Renuka A)",'Master Sheet'!N56,"")</f>
        <v/>
      </c>
      <c r="O55" t="str">
        <f>IF('Master Sheet'!C56="Area 5 (Renuka A)",'Master Sheet'!O56,"")</f>
        <v/>
      </c>
      <c r="P55" t="str">
        <f>IF('Master Sheet'!C56="Area 5 (Renuka A)",'Master Sheet'!P56,"")</f>
        <v/>
      </c>
    </row>
    <row r="56" spans="1:16" hidden="1" x14ac:dyDescent="0.25">
      <c r="A56" t="str">
        <f>IF('Master Sheet'!C57="Area 5 (Renuka A)",'Master Sheet'!A57,"")</f>
        <v/>
      </c>
      <c r="B56" t="str">
        <f>IF('Master Sheet'!C57="Area 5 (Renuka A)",'Master Sheet'!B57,"")</f>
        <v/>
      </c>
      <c r="C56" t="s">
        <v>8</v>
      </c>
      <c r="D56" t="str">
        <f>IF('Master Sheet'!C57="Area 5 (Renuka A)",'Master Sheet'!D57,"")</f>
        <v/>
      </c>
      <c r="E56" t="str">
        <f>IF('Master Sheet'!C57="Area 5 (Renuka A)",'Master Sheet'!E57,"")</f>
        <v/>
      </c>
      <c r="F56" t="str">
        <f>IF('Master Sheet'!C57="Area 5 (Renuka A)",'Master Sheet'!F57,"")</f>
        <v/>
      </c>
      <c r="G56" t="str">
        <f>IF('Master Sheet'!C57="Area 5 (Renuka A)",'Master Sheet'!G57,"")</f>
        <v/>
      </c>
      <c r="H56" t="str">
        <f>IF('Master Sheet'!C57="Area 5 (Renuka A)",'Master Sheet'!H57,"")</f>
        <v/>
      </c>
      <c r="I56" t="str">
        <f>IF('Master Sheet'!C57="Area 5 (Renuka A)",'Master Sheet'!I57,"")</f>
        <v/>
      </c>
      <c r="J56" t="str">
        <f>IF('Master Sheet'!C57="Area 5 (Renuka A)",'Master Sheet'!J57,"")</f>
        <v/>
      </c>
      <c r="K56" t="str">
        <f>IF('Master Sheet'!C57="Area 5 (Renuka A)",'Master Sheet'!K57,"")</f>
        <v/>
      </c>
      <c r="L56" t="str">
        <f>IF('Master Sheet'!C57="Area 5 (Renuka A)",'Master Sheet'!L57,"")</f>
        <v/>
      </c>
      <c r="M56" t="str">
        <f>IF('Master Sheet'!C57="Area 5 (Renuka A)",'Master Sheet'!M57,"")</f>
        <v/>
      </c>
      <c r="N56" t="str">
        <f>IF('Master Sheet'!C57="Area 5 (Renuka A)",'Master Sheet'!N57,"")</f>
        <v/>
      </c>
      <c r="O56" t="str">
        <f>IF('Master Sheet'!C57="Area 5 (Renuka A)",'Master Sheet'!O57,"")</f>
        <v/>
      </c>
      <c r="P56" t="str">
        <f>IF('Master Sheet'!C57="Area 5 (Renuka A)",'Master Sheet'!P57,"")</f>
        <v/>
      </c>
    </row>
    <row r="57" spans="1:16" hidden="1" x14ac:dyDescent="0.25">
      <c r="A57" t="str">
        <f>IF('Master Sheet'!C58="Area 5 (Renuka A)",'Master Sheet'!A58,"")</f>
        <v/>
      </c>
      <c r="B57" t="str">
        <f>IF('Master Sheet'!C58="Area 5 (Renuka A)",'Master Sheet'!B58,"")</f>
        <v/>
      </c>
      <c r="C57" t="s">
        <v>8</v>
      </c>
      <c r="D57" t="str">
        <f>IF('Master Sheet'!C58="Area 5 (Renuka A)",'Master Sheet'!D58,"")</f>
        <v/>
      </c>
      <c r="E57" t="str">
        <f>IF('Master Sheet'!C58="Area 5 (Renuka A)",'Master Sheet'!E58,"")</f>
        <v/>
      </c>
      <c r="F57" t="str">
        <f>IF('Master Sheet'!C58="Area 5 (Renuka A)",'Master Sheet'!F58,"")</f>
        <v/>
      </c>
      <c r="G57" t="str">
        <f>IF('Master Sheet'!C58="Area 5 (Renuka A)",'Master Sheet'!G58,"")</f>
        <v/>
      </c>
      <c r="H57" t="str">
        <f>IF('Master Sheet'!C58="Area 5 (Renuka A)",'Master Sheet'!H58,"")</f>
        <v/>
      </c>
      <c r="I57" t="str">
        <f>IF('Master Sheet'!C58="Area 5 (Renuka A)",'Master Sheet'!I58,"")</f>
        <v/>
      </c>
      <c r="J57" t="str">
        <f>IF('Master Sheet'!C58="Area 5 (Renuka A)",'Master Sheet'!J58,"")</f>
        <v/>
      </c>
      <c r="K57" t="str">
        <f>IF('Master Sheet'!C58="Area 5 (Renuka A)",'Master Sheet'!K58,"")</f>
        <v/>
      </c>
      <c r="L57" t="str">
        <f>IF('Master Sheet'!C58="Area 5 (Renuka A)",'Master Sheet'!L58,"")</f>
        <v/>
      </c>
      <c r="M57" t="str">
        <f>IF('Master Sheet'!C58="Area 5 (Renuka A)",'Master Sheet'!M58,"")</f>
        <v/>
      </c>
      <c r="N57" t="str">
        <f>IF('Master Sheet'!C58="Area 5 (Renuka A)",'Master Sheet'!N58,"")</f>
        <v/>
      </c>
      <c r="O57" t="str">
        <f>IF('Master Sheet'!C58="Area 5 (Renuka A)",'Master Sheet'!O58,"")</f>
        <v/>
      </c>
      <c r="P57" t="str">
        <f>IF('Master Sheet'!C58="Area 5 (Renuka A)",'Master Sheet'!P58,"")</f>
        <v/>
      </c>
    </row>
    <row r="58" spans="1:16" hidden="1" x14ac:dyDescent="0.25">
      <c r="A58" t="str">
        <f>IF('Master Sheet'!C59="Area 5 (Renuka A)",'Master Sheet'!A59,"")</f>
        <v/>
      </c>
      <c r="B58" t="str">
        <f>IF('Master Sheet'!C59="Area 5 (Renuka A)",'Master Sheet'!B59,"")</f>
        <v/>
      </c>
      <c r="C58" t="s">
        <v>8</v>
      </c>
      <c r="D58" t="str">
        <f>IF('Master Sheet'!C59="Area 5 (Renuka A)",'Master Sheet'!D59,"")</f>
        <v/>
      </c>
      <c r="E58" t="str">
        <f>IF('Master Sheet'!C59="Area 5 (Renuka A)",'Master Sheet'!E59,"")</f>
        <v/>
      </c>
      <c r="F58" t="str">
        <f>IF('Master Sheet'!C59="Area 5 (Renuka A)",'Master Sheet'!F59,"")</f>
        <v/>
      </c>
      <c r="G58" t="str">
        <f>IF('Master Sheet'!C59="Area 5 (Renuka A)",'Master Sheet'!G59,"")</f>
        <v/>
      </c>
      <c r="H58" t="str">
        <f>IF('Master Sheet'!C59="Area 5 (Renuka A)",'Master Sheet'!H59,"")</f>
        <v/>
      </c>
      <c r="I58" t="str">
        <f>IF('Master Sheet'!C59="Area 5 (Renuka A)",'Master Sheet'!I59,"")</f>
        <v/>
      </c>
      <c r="J58" t="str">
        <f>IF('Master Sheet'!C59="Area 5 (Renuka A)",'Master Sheet'!J59,"")</f>
        <v/>
      </c>
      <c r="K58" t="str">
        <f>IF('Master Sheet'!C59="Area 5 (Renuka A)",'Master Sheet'!K59,"")</f>
        <v/>
      </c>
      <c r="L58" t="str">
        <f>IF('Master Sheet'!C59="Area 5 (Renuka A)",'Master Sheet'!L59,"")</f>
        <v/>
      </c>
      <c r="M58" t="str">
        <f>IF('Master Sheet'!C59="Area 5 (Renuka A)",'Master Sheet'!M59,"")</f>
        <v/>
      </c>
      <c r="N58" t="str">
        <f>IF('Master Sheet'!C59="Area 5 (Renuka A)",'Master Sheet'!N59,"")</f>
        <v/>
      </c>
      <c r="O58" t="str">
        <f>IF('Master Sheet'!C59="Area 5 (Renuka A)",'Master Sheet'!O59,"")</f>
        <v/>
      </c>
      <c r="P58" t="str">
        <f>IF('Master Sheet'!C59="Area 5 (Renuka A)",'Master Sheet'!P59,"")</f>
        <v/>
      </c>
    </row>
    <row r="59" spans="1:16" hidden="1" x14ac:dyDescent="0.25">
      <c r="A59" t="str">
        <f>IF('Master Sheet'!C60="Area 5 (Renuka A)",'Master Sheet'!A60,"")</f>
        <v/>
      </c>
      <c r="B59" t="str">
        <f>IF('Master Sheet'!C60="Area 5 (Renuka A)",'Master Sheet'!B60,"")</f>
        <v/>
      </c>
      <c r="C59" t="s">
        <v>8</v>
      </c>
      <c r="D59" t="str">
        <f>IF('Master Sheet'!C60="Area 5 (Renuka A)",'Master Sheet'!D60,"")</f>
        <v/>
      </c>
      <c r="E59" t="str">
        <f>IF('Master Sheet'!C60="Area 5 (Renuka A)",'Master Sheet'!E60,"")</f>
        <v/>
      </c>
      <c r="F59" t="str">
        <f>IF('Master Sheet'!C60="Area 5 (Renuka A)",'Master Sheet'!F60,"")</f>
        <v/>
      </c>
      <c r="G59" t="str">
        <f>IF('Master Sheet'!C60="Area 5 (Renuka A)",'Master Sheet'!G60,"")</f>
        <v/>
      </c>
      <c r="H59" t="str">
        <f>IF('Master Sheet'!C60="Area 5 (Renuka A)",'Master Sheet'!H60,"")</f>
        <v/>
      </c>
      <c r="I59" t="str">
        <f>IF('Master Sheet'!C60="Area 5 (Renuka A)",'Master Sheet'!I60,"")</f>
        <v/>
      </c>
      <c r="J59" t="str">
        <f>IF('Master Sheet'!C60="Area 5 (Renuka A)",'Master Sheet'!J60,"")</f>
        <v/>
      </c>
      <c r="K59" t="str">
        <f>IF('Master Sheet'!C60="Area 5 (Renuka A)",'Master Sheet'!K60,"")</f>
        <v/>
      </c>
      <c r="L59" t="str">
        <f>IF('Master Sheet'!C60="Area 5 (Renuka A)",'Master Sheet'!L60,"")</f>
        <v/>
      </c>
      <c r="M59" t="str">
        <f>IF('Master Sheet'!C60="Area 5 (Renuka A)",'Master Sheet'!M60,"")</f>
        <v/>
      </c>
      <c r="N59" t="str">
        <f>IF('Master Sheet'!C60="Area 5 (Renuka A)",'Master Sheet'!N60,"")</f>
        <v/>
      </c>
      <c r="O59" t="str">
        <f>IF('Master Sheet'!C60="Area 5 (Renuka A)",'Master Sheet'!O60,"")</f>
        <v/>
      </c>
      <c r="P59" t="str">
        <f>IF('Master Sheet'!C60="Area 5 (Renuka A)",'Master Sheet'!P60,"")</f>
        <v/>
      </c>
    </row>
    <row r="60" spans="1:16" hidden="1" x14ac:dyDescent="0.25">
      <c r="A60" t="str">
        <f>IF('Master Sheet'!C61="Area 5 (Renuka A)",'Master Sheet'!A61,"")</f>
        <v/>
      </c>
      <c r="B60" t="str">
        <f>IF('Master Sheet'!C61="Area 5 (Renuka A)",'Master Sheet'!B61,"")</f>
        <v/>
      </c>
      <c r="C60" t="s">
        <v>8</v>
      </c>
      <c r="D60" t="str">
        <f>IF('Master Sheet'!C61="Area 5 (Renuka A)",'Master Sheet'!D61,"")</f>
        <v/>
      </c>
      <c r="E60" t="str">
        <f>IF('Master Sheet'!C61="Area 5 (Renuka A)",'Master Sheet'!E61,"")</f>
        <v/>
      </c>
      <c r="F60" t="str">
        <f>IF('Master Sheet'!C61="Area 5 (Renuka A)",'Master Sheet'!F61,"")</f>
        <v/>
      </c>
      <c r="G60" t="str">
        <f>IF('Master Sheet'!C61="Area 5 (Renuka A)",'Master Sheet'!G61,"")</f>
        <v/>
      </c>
      <c r="H60" t="str">
        <f>IF('Master Sheet'!C61="Area 5 (Renuka A)",'Master Sheet'!H61,"")</f>
        <v/>
      </c>
      <c r="I60" t="str">
        <f>IF('Master Sheet'!C61="Area 5 (Renuka A)",'Master Sheet'!I61,"")</f>
        <v/>
      </c>
      <c r="J60" t="str">
        <f>IF('Master Sheet'!C61="Area 5 (Renuka A)",'Master Sheet'!J61,"")</f>
        <v/>
      </c>
      <c r="K60" t="str">
        <f>IF('Master Sheet'!C61="Area 5 (Renuka A)",'Master Sheet'!K61,"")</f>
        <v/>
      </c>
      <c r="L60" t="str">
        <f>IF('Master Sheet'!C61="Area 5 (Renuka A)",'Master Sheet'!L61,"")</f>
        <v/>
      </c>
      <c r="M60" t="str">
        <f>IF('Master Sheet'!C61="Area 5 (Renuka A)",'Master Sheet'!M61,"")</f>
        <v/>
      </c>
      <c r="N60" t="str">
        <f>IF('Master Sheet'!C61="Area 5 (Renuka A)",'Master Sheet'!N61,"")</f>
        <v/>
      </c>
      <c r="O60" t="str">
        <f>IF('Master Sheet'!C61="Area 5 (Renuka A)",'Master Sheet'!O61,"")</f>
        <v/>
      </c>
      <c r="P60" t="str">
        <f>IF('Master Sheet'!C61="Area 5 (Renuka A)",'Master Sheet'!P61,"")</f>
        <v/>
      </c>
    </row>
    <row r="61" spans="1:16" hidden="1" x14ac:dyDescent="0.25">
      <c r="A61" t="str">
        <f>IF('Master Sheet'!C62="Area 5 (Renuka A)",'Master Sheet'!A62,"")</f>
        <v/>
      </c>
      <c r="B61" t="str">
        <f>IF('Master Sheet'!C62="Area 5 (Renuka A)",'Master Sheet'!B62,"")</f>
        <v/>
      </c>
      <c r="C61" t="s">
        <v>8</v>
      </c>
      <c r="D61" t="str">
        <f>IF('Master Sheet'!C62="Area 5 (Renuka A)",'Master Sheet'!D62,"")</f>
        <v/>
      </c>
      <c r="E61" t="str">
        <f>IF('Master Sheet'!C62="Area 5 (Renuka A)",'Master Sheet'!E62,"")</f>
        <v/>
      </c>
      <c r="F61" t="str">
        <f>IF('Master Sheet'!C62="Area 5 (Renuka A)",'Master Sheet'!F62,"")</f>
        <v/>
      </c>
      <c r="G61" t="str">
        <f>IF('Master Sheet'!C62="Area 5 (Renuka A)",'Master Sheet'!G62,"")</f>
        <v/>
      </c>
      <c r="H61" t="str">
        <f>IF('Master Sheet'!C62="Area 5 (Renuka A)",'Master Sheet'!H62,"")</f>
        <v/>
      </c>
      <c r="I61" t="str">
        <f>IF('Master Sheet'!C62="Area 5 (Renuka A)",'Master Sheet'!I62,"")</f>
        <v/>
      </c>
      <c r="J61" t="str">
        <f>IF('Master Sheet'!C62="Area 5 (Renuka A)",'Master Sheet'!J62,"")</f>
        <v/>
      </c>
      <c r="K61" t="str">
        <f>IF('Master Sheet'!C62="Area 5 (Renuka A)",'Master Sheet'!K62,"")</f>
        <v/>
      </c>
      <c r="L61" t="str">
        <f>IF('Master Sheet'!C62="Area 5 (Renuka A)",'Master Sheet'!L62,"")</f>
        <v/>
      </c>
      <c r="M61" t="str">
        <f>IF('Master Sheet'!C62="Area 5 (Renuka A)",'Master Sheet'!M62,"")</f>
        <v/>
      </c>
      <c r="N61" t="str">
        <f>IF('Master Sheet'!C62="Area 5 (Renuka A)",'Master Sheet'!N62,"")</f>
        <v/>
      </c>
      <c r="O61" t="str">
        <f>IF('Master Sheet'!C62="Area 5 (Renuka A)",'Master Sheet'!O62,"")</f>
        <v/>
      </c>
      <c r="P61" t="str">
        <f>IF('Master Sheet'!C62="Area 5 (Renuka A)",'Master Sheet'!P62,"")</f>
        <v/>
      </c>
    </row>
    <row r="62" spans="1:16" hidden="1" x14ac:dyDescent="0.25">
      <c r="A62" t="str">
        <f>IF('Master Sheet'!C63="Area 5 (Renuka A)",'Master Sheet'!A63,"")</f>
        <v/>
      </c>
      <c r="B62" t="str">
        <f>IF('Master Sheet'!C63="Area 5 (Renuka A)",'Master Sheet'!B63,"")</f>
        <v/>
      </c>
      <c r="C62" t="s">
        <v>8</v>
      </c>
      <c r="D62" t="str">
        <f>IF('Master Sheet'!C63="Area 5 (Renuka A)",'Master Sheet'!D63,"")</f>
        <v/>
      </c>
      <c r="E62" t="str">
        <f>IF('Master Sheet'!C63="Area 5 (Renuka A)",'Master Sheet'!E63,"")</f>
        <v/>
      </c>
      <c r="F62" t="str">
        <f>IF('Master Sheet'!C63="Area 5 (Renuka A)",'Master Sheet'!F63,"")</f>
        <v/>
      </c>
      <c r="G62" t="str">
        <f>IF('Master Sheet'!C63="Area 5 (Renuka A)",'Master Sheet'!G63,"")</f>
        <v/>
      </c>
      <c r="H62" t="str">
        <f>IF('Master Sheet'!C63="Area 5 (Renuka A)",'Master Sheet'!H63,"")</f>
        <v/>
      </c>
      <c r="I62" t="str">
        <f>IF('Master Sheet'!C63="Area 5 (Renuka A)",'Master Sheet'!I63,"")</f>
        <v/>
      </c>
      <c r="J62" t="str">
        <f>IF('Master Sheet'!C63="Area 5 (Renuka A)",'Master Sheet'!J63,"")</f>
        <v/>
      </c>
      <c r="K62" t="str">
        <f>IF('Master Sheet'!C63="Area 5 (Renuka A)",'Master Sheet'!K63,"")</f>
        <v/>
      </c>
      <c r="L62" t="str">
        <f>IF('Master Sheet'!C63="Area 5 (Renuka A)",'Master Sheet'!L63,"")</f>
        <v/>
      </c>
      <c r="M62" t="str">
        <f>IF('Master Sheet'!C63="Area 5 (Renuka A)",'Master Sheet'!M63,"")</f>
        <v/>
      </c>
      <c r="N62" t="str">
        <f>IF('Master Sheet'!C63="Area 5 (Renuka A)",'Master Sheet'!N63,"")</f>
        <v/>
      </c>
      <c r="O62" t="str">
        <f>IF('Master Sheet'!C63="Area 5 (Renuka A)",'Master Sheet'!O63,"")</f>
        <v/>
      </c>
      <c r="P62" t="str">
        <f>IF('Master Sheet'!C63="Area 5 (Renuka A)",'Master Sheet'!P63,"")</f>
        <v/>
      </c>
    </row>
    <row r="63" spans="1:16" hidden="1" x14ac:dyDescent="0.25">
      <c r="A63" t="str">
        <f>IF('Master Sheet'!C64="Area 5 (Renuka A)",'Master Sheet'!A64,"")</f>
        <v/>
      </c>
      <c r="B63" t="str">
        <f>IF('Master Sheet'!C64="Area 5 (Renuka A)",'Master Sheet'!B64,"")</f>
        <v/>
      </c>
      <c r="C63" t="s">
        <v>8</v>
      </c>
      <c r="D63" t="str">
        <f>IF('Master Sheet'!C64="Area 5 (Renuka A)",'Master Sheet'!D64,"")</f>
        <v/>
      </c>
      <c r="E63" t="str">
        <f>IF('Master Sheet'!C64="Area 5 (Renuka A)",'Master Sheet'!E64,"")</f>
        <v/>
      </c>
      <c r="F63" t="str">
        <f>IF('Master Sheet'!C64="Area 5 (Renuka A)",'Master Sheet'!F64,"")</f>
        <v/>
      </c>
      <c r="G63" t="str">
        <f>IF('Master Sheet'!C64="Area 5 (Renuka A)",'Master Sheet'!G64,"")</f>
        <v/>
      </c>
      <c r="H63" t="str">
        <f>IF('Master Sheet'!C64="Area 5 (Renuka A)",'Master Sheet'!H64,"")</f>
        <v/>
      </c>
      <c r="I63" t="str">
        <f>IF('Master Sheet'!C64="Area 5 (Renuka A)",'Master Sheet'!I64,"")</f>
        <v/>
      </c>
      <c r="J63" t="str">
        <f>IF('Master Sheet'!C64="Area 5 (Renuka A)",'Master Sheet'!J64,"")</f>
        <v/>
      </c>
      <c r="K63" t="str">
        <f>IF('Master Sheet'!C64="Area 5 (Renuka A)",'Master Sheet'!K64,"")</f>
        <v/>
      </c>
      <c r="L63" t="str">
        <f>IF('Master Sheet'!C64="Area 5 (Renuka A)",'Master Sheet'!L64,"")</f>
        <v/>
      </c>
      <c r="M63" t="str">
        <f>IF('Master Sheet'!C64="Area 5 (Renuka A)",'Master Sheet'!M64,"")</f>
        <v/>
      </c>
      <c r="N63" t="str">
        <f>IF('Master Sheet'!C64="Area 5 (Renuka A)",'Master Sheet'!N64,"")</f>
        <v/>
      </c>
      <c r="O63" t="str">
        <f>IF('Master Sheet'!C64="Area 5 (Renuka A)",'Master Sheet'!O64,"")</f>
        <v/>
      </c>
      <c r="P63" t="str">
        <f>IF('Master Sheet'!C64="Area 5 (Renuka A)",'Master Sheet'!P64,"")</f>
        <v/>
      </c>
    </row>
    <row r="64" spans="1:16" hidden="1" x14ac:dyDescent="0.25">
      <c r="A64" t="str">
        <f>IF('Master Sheet'!C65="Area 5 (Renuka A)",'Master Sheet'!A65,"")</f>
        <v/>
      </c>
      <c r="B64" t="str">
        <f>IF('Master Sheet'!C65="Area 5 (Renuka A)",'Master Sheet'!B65,"")</f>
        <v/>
      </c>
      <c r="C64" t="s">
        <v>8</v>
      </c>
      <c r="D64" t="str">
        <f>IF('Master Sheet'!C65="Area 5 (Renuka A)",'Master Sheet'!D65,"")</f>
        <v/>
      </c>
      <c r="E64" t="str">
        <f>IF('Master Sheet'!C65="Area 5 (Renuka A)",'Master Sheet'!E65,"")</f>
        <v/>
      </c>
      <c r="F64" t="str">
        <f>IF('Master Sheet'!C65="Area 5 (Renuka A)",'Master Sheet'!F65,"")</f>
        <v/>
      </c>
      <c r="G64" t="str">
        <f>IF('Master Sheet'!C65="Area 5 (Renuka A)",'Master Sheet'!G65,"")</f>
        <v/>
      </c>
      <c r="H64" t="str">
        <f>IF('Master Sheet'!C65="Area 5 (Renuka A)",'Master Sheet'!H65,"")</f>
        <v/>
      </c>
      <c r="I64" t="str">
        <f>IF('Master Sheet'!C65="Area 5 (Renuka A)",'Master Sheet'!I65,"")</f>
        <v/>
      </c>
      <c r="J64" t="str">
        <f>IF('Master Sheet'!C65="Area 5 (Renuka A)",'Master Sheet'!J65,"")</f>
        <v/>
      </c>
      <c r="K64" t="str">
        <f>IF('Master Sheet'!C65="Area 5 (Renuka A)",'Master Sheet'!K65,"")</f>
        <v/>
      </c>
      <c r="L64" t="str">
        <f>IF('Master Sheet'!C65="Area 5 (Renuka A)",'Master Sheet'!L65,"")</f>
        <v/>
      </c>
      <c r="M64" t="str">
        <f>IF('Master Sheet'!C65="Area 5 (Renuka A)",'Master Sheet'!M65,"")</f>
        <v/>
      </c>
      <c r="N64" t="str">
        <f>IF('Master Sheet'!C65="Area 5 (Renuka A)",'Master Sheet'!N65,"")</f>
        <v/>
      </c>
      <c r="O64" t="str">
        <f>IF('Master Sheet'!C65="Area 5 (Renuka A)",'Master Sheet'!O65,"")</f>
        <v/>
      </c>
      <c r="P64" t="str">
        <f>IF('Master Sheet'!C65="Area 5 (Renuka A)",'Master Sheet'!P65,"")</f>
        <v/>
      </c>
    </row>
    <row r="65" spans="1:16" hidden="1" x14ac:dyDescent="0.25">
      <c r="A65" t="str">
        <f>IF('Master Sheet'!C66="Area 5 (Renuka A)",'Master Sheet'!A66,"")</f>
        <v/>
      </c>
      <c r="B65" t="str">
        <f>IF('Master Sheet'!C66="Area 5 (Renuka A)",'Master Sheet'!B66,"")</f>
        <v/>
      </c>
      <c r="C65" t="s">
        <v>8</v>
      </c>
      <c r="D65" t="str">
        <f>IF('Master Sheet'!C66="Area 5 (Renuka A)",'Master Sheet'!D66,"")</f>
        <v/>
      </c>
      <c r="E65" t="str">
        <f>IF('Master Sheet'!C66="Area 5 (Renuka A)",'Master Sheet'!E66,"")</f>
        <v/>
      </c>
      <c r="F65" t="str">
        <f>IF('Master Sheet'!C66="Area 5 (Renuka A)",'Master Sheet'!F66,"")</f>
        <v/>
      </c>
      <c r="G65" t="str">
        <f>IF('Master Sheet'!C66="Area 5 (Renuka A)",'Master Sheet'!G66,"")</f>
        <v/>
      </c>
      <c r="H65" t="str">
        <f>IF('Master Sheet'!C66="Area 5 (Renuka A)",'Master Sheet'!H66,"")</f>
        <v/>
      </c>
      <c r="I65" t="str">
        <f>IF('Master Sheet'!C66="Area 5 (Renuka A)",'Master Sheet'!I66,"")</f>
        <v/>
      </c>
      <c r="J65" t="str">
        <f>IF('Master Sheet'!C66="Area 5 (Renuka A)",'Master Sheet'!J66,"")</f>
        <v/>
      </c>
      <c r="K65" t="str">
        <f>IF('Master Sheet'!C66="Area 5 (Renuka A)",'Master Sheet'!K66,"")</f>
        <v/>
      </c>
      <c r="L65" t="str">
        <f>IF('Master Sheet'!C66="Area 5 (Renuka A)",'Master Sheet'!L66,"")</f>
        <v/>
      </c>
      <c r="M65" t="str">
        <f>IF('Master Sheet'!C66="Area 5 (Renuka A)",'Master Sheet'!M66,"")</f>
        <v/>
      </c>
      <c r="N65" t="str">
        <f>IF('Master Sheet'!C66="Area 5 (Renuka A)",'Master Sheet'!N66,"")</f>
        <v/>
      </c>
      <c r="O65" t="str">
        <f>IF('Master Sheet'!C66="Area 5 (Renuka A)",'Master Sheet'!O66,"")</f>
        <v/>
      </c>
      <c r="P65" t="str">
        <f>IF('Master Sheet'!C66="Area 5 (Renuka A)",'Master Sheet'!P66,"")</f>
        <v/>
      </c>
    </row>
    <row r="66" spans="1:16" hidden="1" x14ac:dyDescent="0.25">
      <c r="A66" t="str">
        <f>IF('Master Sheet'!C67="Area 5 (Renuka A)",'Master Sheet'!A67,"")</f>
        <v/>
      </c>
      <c r="B66" t="str">
        <f>IF('Master Sheet'!C67="Area 5 (Renuka A)",'Master Sheet'!B67,"")</f>
        <v/>
      </c>
      <c r="C66" t="s">
        <v>8</v>
      </c>
      <c r="D66" t="str">
        <f>IF('Master Sheet'!C67="Area 5 (Renuka A)",'Master Sheet'!D67,"")</f>
        <v/>
      </c>
      <c r="E66" t="str">
        <f>IF('Master Sheet'!C67="Area 5 (Renuka A)",'Master Sheet'!E67,"")</f>
        <v/>
      </c>
      <c r="F66" t="str">
        <f>IF('Master Sheet'!C67="Area 5 (Renuka A)",'Master Sheet'!F67,"")</f>
        <v/>
      </c>
      <c r="G66" t="str">
        <f>IF('Master Sheet'!C67="Area 5 (Renuka A)",'Master Sheet'!G67,"")</f>
        <v/>
      </c>
      <c r="H66" t="str">
        <f>IF('Master Sheet'!C67="Area 5 (Renuka A)",'Master Sheet'!H67,"")</f>
        <v/>
      </c>
      <c r="I66" t="str">
        <f>IF('Master Sheet'!C67="Area 5 (Renuka A)",'Master Sheet'!I67,"")</f>
        <v/>
      </c>
      <c r="J66" t="str">
        <f>IF('Master Sheet'!C67="Area 5 (Renuka A)",'Master Sheet'!J67,"")</f>
        <v/>
      </c>
      <c r="K66" t="str">
        <f>IF('Master Sheet'!C67="Area 5 (Renuka A)",'Master Sheet'!K67,"")</f>
        <v/>
      </c>
      <c r="L66" t="str">
        <f>IF('Master Sheet'!C67="Area 5 (Renuka A)",'Master Sheet'!L67,"")</f>
        <v/>
      </c>
      <c r="M66" t="str">
        <f>IF('Master Sheet'!C67="Area 5 (Renuka A)",'Master Sheet'!M67,"")</f>
        <v/>
      </c>
      <c r="N66" t="str">
        <f>IF('Master Sheet'!C67="Area 5 (Renuka A)",'Master Sheet'!N67,"")</f>
        <v/>
      </c>
      <c r="O66" t="str">
        <f>IF('Master Sheet'!C67="Area 5 (Renuka A)",'Master Sheet'!O67,"")</f>
        <v/>
      </c>
      <c r="P66" t="str">
        <f>IF('Master Sheet'!C67="Area 5 (Renuka A)",'Master Sheet'!P67,"")</f>
        <v/>
      </c>
    </row>
    <row r="67" spans="1:16" hidden="1" x14ac:dyDescent="0.25">
      <c r="A67" t="str">
        <f>IF('Master Sheet'!C68="Area 5 (Renuka A)",'Master Sheet'!A68,"")</f>
        <v/>
      </c>
      <c r="B67" t="str">
        <f>IF('Master Sheet'!C68="Area 5 (Renuka A)",'Master Sheet'!B68,"")</f>
        <v/>
      </c>
      <c r="C67" t="s">
        <v>8</v>
      </c>
      <c r="D67" t="str">
        <f>IF('Master Sheet'!C68="Area 5 (Renuka A)",'Master Sheet'!D68,"")</f>
        <v/>
      </c>
      <c r="E67" t="str">
        <f>IF('Master Sheet'!C68="Area 5 (Renuka A)",'Master Sheet'!E68,"")</f>
        <v/>
      </c>
      <c r="F67" t="str">
        <f>IF('Master Sheet'!C68="Area 5 (Renuka A)",'Master Sheet'!F68,"")</f>
        <v/>
      </c>
      <c r="G67" t="str">
        <f>IF('Master Sheet'!C68="Area 5 (Renuka A)",'Master Sheet'!G68,"")</f>
        <v/>
      </c>
      <c r="H67" t="str">
        <f>IF('Master Sheet'!C68="Area 5 (Renuka A)",'Master Sheet'!H68,"")</f>
        <v/>
      </c>
      <c r="I67" t="str">
        <f>IF('Master Sheet'!C68="Area 5 (Renuka A)",'Master Sheet'!I68,"")</f>
        <v/>
      </c>
      <c r="J67" t="str">
        <f>IF('Master Sheet'!C68="Area 5 (Renuka A)",'Master Sheet'!J68,"")</f>
        <v/>
      </c>
      <c r="K67" t="str">
        <f>IF('Master Sheet'!C68="Area 5 (Renuka A)",'Master Sheet'!K68,"")</f>
        <v/>
      </c>
      <c r="L67" t="str">
        <f>IF('Master Sheet'!C68="Area 5 (Renuka A)",'Master Sheet'!L68,"")</f>
        <v/>
      </c>
      <c r="M67" t="str">
        <f>IF('Master Sheet'!C68="Area 5 (Renuka A)",'Master Sheet'!M68,"")</f>
        <v/>
      </c>
      <c r="N67" t="str">
        <f>IF('Master Sheet'!C68="Area 5 (Renuka A)",'Master Sheet'!N68,"")</f>
        <v/>
      </c>
      <c r="O67" t="str">
        <f>IF('Master Sheet'!C68="Area 5 (Renuka A)",'Master Sheet'!O68,"")</f>
        <v/>
      </c>
      <c r="P67" t="str">
        <f>IF('Master Sheet'!C68="Area 5 (Renuka A)",'Master Sheet'!P68,"")</f>
        <v/>
      </c>
    </row>
    <row r="68" spans="1:16" hidden="1" x14ac:dyDescent="0.25">
      <c r="A68" t="str">
        <f>IF('Master Sheet'!C69="Area 5 (Renuka A)",'Master Sheet'!A69,"")</f>
        <v/>
      </c>
      <c r="B68" t="str">
        <f>IF('Master Sheet'!C69="Area 5 (Renuka A)",'Master Sheet'!B69,"")</f>
        <v/>
      </c>
      <c r="C68" t="s">
        <v>8</v>
      </c>
      <c r="D68" t="str">
        <f>IF('Master Sheet'!C69="Area 5 (Renuka A)",'Master Sheet'!D69,"")</f>
        <v/>
      </c>
      <c r="E68" t="str">
        <f>IF('Master Sheet'!C69="Area 5 (Renuka A)",'Master Sheet'!E69,"")</f>
        <v/>
      </c>
      <c r="F68" t="str">
        <f>IF('Master Sheet'!C69="Area 5 (Renuka A)",'Master Sheet'!F69,"")</f>
        <v/>
      </c>
      <c r="G68" t="str">
        <f>IF('Master Sheet'!C69="Area 5 (Renuka A)",'Master Sheet'!G69,"")</f>
        <v/>
      </c>
      <c r="H68" t="str">
        <f>IF('Master Sheet'!C69="Area 5 (Renuka A)",'Master Sheet'!H69,"")</f>
        <v/>
      </c>
      <c r="I68" t="str">
        <f>IF('Master Sheet'!C69="Area 5 (Renuka A)",'Master Sheet'!I69,"")</f>
        <v/>
      </c>
      <c r="J68" t="str">
        <f>IF('Master Sheet'!C69="Area 5 (Renuka A)",'Master Sheet'!J69,"")</f>
        <v/>
      </c>
      <c r="K68" t="str">
        <f>IF('Master Sheet'!C69="Area 5 (Renuka A)",'Master Sheet'!K69,"")</f>
        <v/>
      </c>
      <c r="L68" t="str">
        <f>IF('Master Sheet'!C69="Area 5 (Renuka A)",'Master Sheet'!L69,"")</f>
        <v/>
      </c>
      <c r="M68" t="str">
        <f>IF('Master Sheet'!C69="Area 5 (Renuka A)",'Master Sheet'!M69,"")</f>
        <v/>
      </c>
      <c r="N68" t="str">
        <f>IF('Master Sheet'!C69="Area 5 (Renuka A)",'Master Sheet'!N69,"")</f>
        <v/>
      </c>
      <c r="O68" t="str">
        <f>IF('Master Sheet'!C69="Area 5 (Renuka A)",'Master Sheet'!O69,"")</f>
        <v/>
      </c>
      <c r="P68" t="str">
        <f>IF('Master Sheet'!C69="Area 5 (Renuka A)",'Master Sheet'!P69,"")</f>
        <v/>
      </c>
    </row>
    <row r="69" spans="1:16" hidden="1" x14ac:dyDescent="0.25">
      <c r="A69" t="str">
        <f>IF('Master Sheet'!C70="Area 5 (Renuka A)",'Master Sheet'!A70,"")</f>
        <v/>
      </c>
      <c r="B69" t="str">
        <f>IF('Master Sheet'!C70="Area 5 (Renuka A)",'Master Sheet'!B70,"")</f>
        <v/>
      </c>
      <c r="C69" t="s">
        <v>8</v>
      </c>
      <c r="D69" t="str">
        <f>IF('Master Sheet'!C70="Area 5 (Renuka A)",'Master Sheet'!D70,"")</f>
        <v/>
      </c>
      <c r="E69" t="str">
        <f>IF('Master Sheet'!C70="Area 5 (Renuka A)",'Master Sheet'!E70,"")</f>
        <v/>
      </c>
      <c r="F69" t="str">
        <f>IF('Master Sheet'!C70="Area 5 (Renuka A)",'Master Sheet'!F70,"")</f>
        <v/>
      </c>
      <c r="G69" t="str">
        <f>IF('Master Sheet'!C70="Area 5 (Renuka A)",'Master Sheet'!G70,"")</f>
        <v/>
      </c>
      <c r="H69" t="str">
        <f>IF('Master Sheet'!C70="Area 5 (Renuka A)",'Master Sheet'!H70,"")</f>
        <v/>
      </c>
      <c r="I69" t="str">
        <f>IF('Master Sheet'!C70="Area 5 (Renuka A)",'Master Sheet'!I70,"")</f>
        <v/>
      </c>
      <c r="J69" t="str">
        <f>IF('Master Sheet'!C70="Area 5 (Renuka A)",'Master Sheet'!J70,"")</f>
        <v/>
      </c>
      <c r="K69" t="str">
        <f>IF('Master Sheet'!C70="Area 5 (Renuka A)",'Master Sheet'!K70,"")</f>
        <v/>
      </c>
      <c r="L69" t="str">
        <f>IF('Master Sheet'!C70="Area 5 (Renuka A)",'Master Sheet'!L70,"")</f>
        <v/>
      </c>
      <c r="M69" t="str">
        <f>IF('Master Sheet'!C70="Area 5 (Renuka A)",'Master Sheet'!M70,"")</f>
        <v/>
      </c>
      <c r="N69" t="str">
        <f>IF('Master Sheet'!C70="Area 5 (Renuka A)",'Master Sheet'!N70,"")</f>
        <v/>
      </c>
      <c r="O69" t="str">
        <f>IF('Master Sheet'!C70="Area 5 (Renuka A)",'Master Sheet'!O70,"")</f>
        <v/>
      </c>
      <c r="P69" t="str">
        <f>IF('Master Sheet'!C70="Area 5 (Renuka A)",'Master Sheet'!P70,"")</f>
        <v/>
      </c>
    </row>
    <row r="70" spans="1:16" hidden="1" x14ac:dyDescent="0.25">
      <c r="A70" t="str">
        <f>IF('Master Sheet'!C71="Area 5 (Renuka A)",'Master Sheet'!A71,"")</f>
        <v/>
      </c>
      <c r="B70" t="str">
        <f>IF('Master Sheet'!C71="Area 5 (Renuka A)",'Master Sheet'!B71,"")</f>
        <v/>
      </c>
      <c r="C70" t="s">
        <v>8</v>
      </c>
      <c r="D70" t="str">
        <f>IF('Master Sheet'!C71="Area 5 (Renuka A)",'Master Sheet'!D71,"")</f>
        <v/>
      </c>
      <c r="E70" t="str">
        <f>IF('Master Sheet'!C71="Area 5 (Renuka A)",'Master Sheet'!E71,"")</f>
        <v/>
      </c>
      <c r="F70" t="str">
        <f>IF('Master Sheet'!C71="Area 5 (Renuka A)",'Master Sheet'!F71,"")</f>
        <v/>
      </c>
      <c r="G70" t="str">
        <f>IF('Master Sheet'!C71="Area 5 (Renuka A)",'Master Sheet'!G71,"")</f>
        <v/>
      </c>
      <c r="H70" t="str">
        <f>IF('Master Sheet'!C71="Area 5 (Renuka A)",'Master Sheet'!H71,"")</f>
        <v/>
      </c>
      <c r="I70" t="str">
        <f>IF('Master Sheet'!C71="Area 5 (Renuka A)",'Master Sheet'!I71,"")</f>
        <v/>
      </c>
      <c r="J70" t="str">
        <f>IF('Master Sheet'!C71="Area 5 (Renuka A)",'Master Sheet'!J71,"")</f>
        <v/>
      </c>
      <c r="K70" t="str">
        <f>IF('Master Sheet'!C71="Area 5 (Renuka A)",'Master Sheet'!K71,"")</f>
        <v/>
      </c>
      <c r="L70" t="str">
        <f>IF('Master Sheet'!C71="Area 5 (Renuka A)",'Master Sheet'!L71,"")</f>
        <v/>
      </c>
      <c r="M70" t="str">
        <f>IF('Master Sheet'!C71="Area 5 (Renuka A)",'Master Sheet'!M71,"")</f>
        <v/>
      </c>
      <c r="N70" t="str">
        <f>IF('Master Sheet'!C71="Area 5 (Renuka A)",'Master Sheet'!N71,"")</f>
        <v/>
      </c>
      <c r="O70" t="str">
        <f>IF('Master Sheet'!C71="Area 5 (Renuka A)",'Master Sheet'!O71,"")</f>
        <v/>
      </c>
      <c r="P70" t="str">
        <f>IF('Master Sheet'!C71="Area 5 (Renuka A)",'Master Sheet'!P71,"")</f>
        <v/>
      </c>
    </row>
    <row r="71" spans="1:16" hidden="1" x14ac:dyDescent="0.25">
      <c r="A71" t="str">
        <f>IF('Master Sheet'!C72="Area 5 (Renuka A)",'Master Sheet'!A72,"")</f>
        <v/>
      </c>
      <c r="B71" t="str">
        <f>IF('Master Sheet'!C72="Area 5 (Renuka A)",'Master Sheet'!B72,"")</f>
        <v/>
      </c>
      <c r="C71" t="s">
        <v>8</v>
      </c>
      <c r="D71" t="str">
        <f>IF('Master Sheet'!C72="Area 5 (Renuka A)",'Master Sheet'!D72,"")</f>
        <v/>
      </c>
      <c r="E71" t="str">
        <f>IF('Master Sheet'!C72="Area 5 (Renuka A)",'Master Sheet'!E72,"")</f>
        <v/>
      </c>
      <c r="F71" t="str">
        <f>IF('Master Sheet'!C72="Area 5 (Renuka A)",'Master Sheet'!F72,"")</f>
        <v/>
      </c>
      <c r="G71" t="str">
        <f>IF('Master Sheet'!C72="Area 5 (Renuka A)",'Master Sheet'!G72,"")</f>
        <v/>
      </c>
      <c r="H71" t="str">
        <f>IF('Master Sheet'!C72="Area 5 (Renuka A)",'Master Sheet'!H72,"")</f>
        <v/>
      </c>
      <c r="I71" t="str">
        <f>IF('Master Sheet'!C72="Area 5 (Renuka A)",'Master Sheet'!I72,"")</f>
        <v/>
      </c>
      <c r="J71" t="str">
        <f>IF('Master Sheet'!C72="Area 5 (Renuka A)",'Master Sheet'!J72,"")</f>
        <v/>
      </c>
      <c r="K71" t="str">
        <f>IF('Master Sheet'!C72="Area 5 (Renuka A)",'Master Sheet'!K72,"")</f>
        <v/>
      </c>
      <c r="L71" t="str">
        <f>IF('Master Sheet'!C72="Area 5 (Renuka A)",'Master Sheet'!L72,"")</f>
        <v/>
      </c>
      <c r="M71" t="str">
        <f>IF('Master Sheet'!C72="Area 5 (Renuka A)",'Master Sheet'!M72,"")</f>
        <v/>
      </c>
      <c r="N71" t="str">
        <f>IF('Master Sheet'!C72="Area 5 (Renuka A)",'Master Sheet'!N72,"")</f>
        <v/>
      </c>
      <c r="O71" t="str">
        <f>IF('Master Sheet'!C72="Area 5 (Renuka A)",'Master Sheet'!O72,"")</f>
        <v/>
      </c>
      <c r="P71" t="str">
        <f>IF('Master Sheet'!C72="Area 5 (Renuka A)",'Master Sheet'!P72,"")</f>
        <v/>
      </c>
    </row>
    <row r="72" spans="1:16" hidden="1" x14ac:dyDescent="0.25">
      <c r="A72" t="str">
        <f>IF('Master Sheet'!C73="Area 5 (Renuka A)",'Master Sheet'!A73,"")</f>
        <v/>
      </c>
      <c r="B72" t="str">
        <f>IF('Master Sheet'!C73="Area 5 (Renuka A)",'Master Sheet'!B73,"")</f>
        <v/>
      </c>
      <c r="C72" t="s">
        <v>8</v>
      </c>
      <c r="D72" t="str">
        <f>IF('Master Sheet'!C73="Area 5 (Renuka A)",'Master Sheet'!D73,"")</f>
        <v/>
      </c>
      <c r="E72" t="str">
        <f>IF('Master Sheet'!C73="Area 5 (Renuka A)",'Master Sheet'!E73,"")</f>
        <v/>
      </c>
      <c r="F72" t="str">
        <f>IF('Master Sheet'!C73="Area 5 (Renuka A)",'Master Sheet'!F73,"")</f>
        <v/>
      </c>
      <c r="G72" t="str">
        <f>IF('Master Sheet'!C73="Area 5 (Renuka A)",'Master Sheet'!G73,"")</f>
        <v/>
      </c>
      <c r="H72" t="str">
        <f>IF('Master Sheet'!C73="Area 5 (Renuka A)",'Master Sheet'!H73,"")</f>
        <v/>
      </c>
      <c r="I72" t="str">
        <f>IF('Master Sheet'!C73="Area 5 (Renuka A)",'Master Sheet'!I73,"")</f>
        <v/>
      </c>
      <c r="J72" t="str">
        <f>IF('Master Sheet'!C73="Area 5 (Renuka A)",'Master Sheet'!J73,"")</f>
        <v/>
      </c>
      <c r="K72" t="str">
        <f>IF('Master Sheet'!C73="Area 5 (Renuka A)",'Master Sheet'!K73,"")</f>
        <v/>
      </c>
      <c r="L72" t="str">
        <f>IF('Master Sheet'!C73="Area 5 (Renuka A)",'Master Sheet'!L73,"")</f>
        <v/>
      </c>
      <c r="M72" t="str">
        <f>IF('Master Sheet'!C73="Area 5 (Renuka A)",'Master Sheet'!M73,"")</f>
        <v/>
      </c>
      <c r="N72" t="str">
        <f>IF('Master Sheet'!C73="Area 5 (Renuka A)",'Master Sheet'!N73,"")</f>
        <v/>
      </c>
      <c r="O72" t="str">
        <f>IF('Master Sheet'!C73="Area 5 (Renuka A)",'Master Sheet'!O73,"")</f>
        <v/>
      </c>
      <c r="P72" t="str">
        <f>IF('Master Sheet'!C73="Area 5 (Renuka A)",'Master Sheet'!P73,"")</f>
        <v/>
      </c>
    </row>
    <row r="73" spans="1:16" hidden="1" x14ac:dyDescent="0.25">
      <c r="A73" t="str">
        <f>IF('Master Sheet'!C74="Area 5 (Renuka A)",'Master Sheet'!A74,"")</f>
        <v/>
      </c>
      <c r="B73" t="str">
        <f>IF('Master Sheet'!C74="Area 5 (Renuka A)",'Master Sheet'!B74,"")</f>
        <v/>
      </c>
      <c r="C73" t="s">
        <v>8</v>
      </c>
      <c r="D73" t="str">
        <f>IF('Master Sheet'!C74="Area 5 (Renuka A)",'Master Sheet'!D74,"")</f>
        <v/>
      </c>
      <c r="E73" t="str">
        <f>IF('Master Sheet'!C74="Area 5 (Renuka A)",'Master Sheet'!E74,"")</f>
        <v/>
      </c>
      <c r="F73" t="str">
        <f>IF('Master Sheet'!C74="Area 5 (Renuka A)",'Master Sheet'!F74,"")</f>
        <v/>
      </c>
      <c r="G73" t="str">
        <f>IF('Master Sheet'!C74="Area 5 (Renuka A)",'Master Sheet'!G74,"")</f>
        <v/>
      </c>
      <c r="H73" t="str">
        <f>IF('Master Sheet'!C74="Area 5 (Renuka A)",'Master Sheet'!H74,"")</f>
        <v/>
      </c>
      <c r="I73" t="str">
        <f>IF('Master Sheet'!C74="Area 5 (Renuka A)",'Master Sheet'!I74,"")</f>
        <v/>
      </c>
      <c r="J73" t="str">
        <f>IF('Master Sheet'!C74="Area 5 (Renuka A)",'Master Sheet'!J74,"")</f>
        <v/>
      </c>
      <c r="K73" t="str">
        <f>IF('Master Sheet'!C74="Area 5 (Renuka A)",'Master Sheet'!K74,"")</f>
        <v/>
      </c>
      <c r="L73" t="str">
        <f>IF('Master Sheet'!C74="Area 5 (Renuka A)",'Master Sheet'!L74,"")</f>
        <v/>
      </c>
      <c r="M73" t="str">
        <f>IF('Master Sheet'!C74="Area 5 (Renuka A)",'Master Sheet'!M74,"")</f>
        <v/>
      </c>
      <c r="N73" t="str">
        <f>IF('Master Sheet'!C74="Area 5 (Renuka A)",'Master Sheet'!N74,"")</f>
        <v/>
      </c>
      <c r="O73" t="str">
        <f>IF('Master Sheet'!C74="Area 5 (Renuka A)",'Master Sheet'!O74,"")</f>
        <v/>
      </c>
      <c r="P73" t="str">
        <f>IF('Master Sheet'!C74="Area 5 (Renuka A)",'Master Sheet'!P74,"")</f>
        <v/>
      </c>
    </row>
    <row r="74" spans="1:16" hidden="1" x14ac:dyDescent="0.25">
      <c r="A74" t="str">
        <f>IF('Master Sheet'!C75="Area 5 (Renuka A)",'Master Sheet'!A75,"")</f>
        <v/>
      </c>
      <c r="B74" t="str">
        <f>IF('Master Sheet'!C75="Area 5 (Renuka A)",'Master Sheet'!B75,"")</f>
        <v/>
      </c>
      <c r="C74" t="s">
        <v>8</v>
      </c>
      <c r="D74" t="str">
        <f>IF('Master Sheet'!C75="Area 5 (Renuka A)",'Master Sheet'!D75,"")</f>
        <v/>
      </c>
      <c r="E74" t="str">
        <f>IF('Master Sheet'!C75="Area 5 (Renuka A)",'Master Sheet'!E75,"")</f>
        <v/>
      </c>
      <c r="F74" t="str">
        <f>IF('Master Sheet'!C75="Area 5 (Renuka A)",'Master Sheet'!F75,"")</f>
        <v/>
      </c>
      <c r="G74" t="str">
        <f>IF('Master Sheet'!C75="Area 5 (Renuka A)",'Master Sheet'!G75,"")</f>
        <v/>
      </c>
      <c r="H74" t="str">
        <f>IF('Master Sheet'!C75="Area 5 (Renuka A)",'Master Sheet'!H75,"")</f>
        <v/>
      </c>
      <c r="I74" t="str">
        <f>IF('Master Sheet'!C75="Area 5 (Renuka A)",'Master Sheet'!I75,"")</f>
        <v/>
      </c>
      <c r="J74" t="str">
        <f>IF('Master Sheet'!C75="Area 5 (Renuka A)",'Master Sheet'!J75,"")</f>
        <v/>
      </c>
      <c r="K74" t="str">
        <f>IF('Master Sheet'!C75="Area 5 (Renuka A)",'Master Sheet'!K75,"")</f>
        <v/>
      </c>
      <c r="L74" t="str">
        <f>IF('Master Sheet'!C75="Area 5 (Renuka A)",'Master Sheet'!L75,"")</f>
        <v/>
      </c>
      <c r="M74" t="str">
        <f>IF('Master Sheet'!C75="Area 5 (Renuka A)",'Master Sheet'!M75,"")</f>
        <v/>
      </c>
      <c r="N74" t="str">
        <f>IF('Master Sheet'!C75="Area 5 (Renuka A)",'Master Sheet'!N75,"")</f>
        <v/>
      </c>
      <c r="O74" t="str">
        <f>IF('Master Sheet'!C75="Area 5 (Renuka A)",'Master Sheet'!O75,"")</f>
        <v/>
      </c>
      <c r="P74" t="str">
        <f>IF('Master Sheet'!C75="Area 5 (Renuka A)",'Master Sheet'!P75,"")</f>
        <v/>
      </c>
    </row>
    <row r="75" spans="1:16" hidden="1" x14ac:dyDescent="0.25">
      <c r="A75" t="str">
        <f>IF('Master Sheet'!C76="Area 5 (Renuka A)",'Master Sheet'!A76,"")</f>
        <v/>
      </c>
      <c r="B75" t="str">
        <f>IF('Master Sheet'!C76="Area 5 (Renuka A)",'Master Sheet'!B76,"")</f>
        <v/>
      </c>
      <c r="C75" t="s">
        <v>8</v>
      </c>
      <c r="D75" t="str">
        <f>IF('Master Sheet'!C76="Area 5 (Renuka A)",'Master Sheet'!D76,"")</f>
        <v/>
      </c>
      <c r="E75" t="str">
        <f>IF('Master Sheet'!C76="Area 5 (Renuka A)",'Master Sheet'!E76,"")</f>
        <v/>
      </c>
      <c r="F75" t="str">
        <f>IF('Master Sheet'!C76="Area 5 (Renuka A)",'Master Sheet'!F76,"")</f>
        <v/>
      </c>
      <c r="G75" t="str">
        <f>IF('Master Sheet'!C76="Area 5 (Renuka A)",'Master Sheet'!G76,"")</f>
        <v/>
      </c>
      <c r="H75" t="str">
        <f>IF('Master Sheet'!C76="Area 5 (Renuka A)",'Master Sheet'!H76,"")</f>
        <v/>
      </c>
      <c r="I75" t="str">
        <f>IF('Master Sheet'!C76="Area 5 (Renuka A)",'Master Sheet'!I76,"")</f>
        <v/>
      </c>
      <c r="J75" t="str">
        <f>IF('Master Sheet'!C76="Area 5 (Renuka A)",'Master Sheet'!J76,"")</f>
        <v/>
      </c>
      <c r="K75" t="str">
        <f>IF('Master Sheet'!C76="Area 5 (Renuka A)",'Master Sheet'!K76,"")</f>
        <v/>
      </c>
      <c r="L75" t="str">
        <f>IF('Master Sheet'!C76="Area 5 (Renuka A)",'Master Sheet'!L76,"")</f>
        <v/>
      </c>
      <c r="M75" t="str">
        <f>IF('Master Sheet'!C76="Area 5 (Renuka A)",'Master Sheet'!M76,"")</f>
        <v/>
      </c>
      <c r="N75" t="str">
        <f>IF('Master Sheet'!C76="Area 5 (Renuka A)",'Master Sheet'!N76,"")</f>
        <v/>
      </c>
      <c r="O75" t="str">
        <f>IF('Master Sheet'!C76="Area 5 (Renuka A)",'Master Sheet'!O76,"")</f>
        <v/>
      </c>
      <c r="P75" t="str">
        <f>IF('Master Sheet'!C76="Area 5 (Renuka A)",'Master Sheet'!P76,"")</f>
        <v/>
      </c>
    </row>
    <row r="76" spans="1:16" hidden="1" x14ac:dyDescent="0.25">
      <c r="A76" t="str">
        <f>IF('Master Sheet'!C77="Area 5 (Renuka A)",'Master Sheet'!A77,"")</f>
        <v/>
      </c>
      <c r="B76" t="str">
        <f>IF('Master Sheet'!C77="Area 5 (Renuka A)",'Master Sheet'!B77,"")</f>
        <v/>
      </c>
      <c r="C76" t="s">
        <v>8</v>
      </c>
      <c r="D76" t="str">
        <f>IF('Master Sheet'!C77="Area 5 (Renuka A)",'Master Sheet'!D77,"")</f>
        <v/>
      </c>
      <c r="E76" t="str">
        <f>IF('Master Sheet'!C77="Area 5 (Renuka A)",'Master Sheet'!E77,"")</f>
        <v/>
      </c>
      <c r="F76" t="str">
        <f>IF('Master Sheet'!C77="Area 5 (Renuka A)",'Master Sheet'!F77,"")</f>
        <v/>
      </c>
      <c r="G76" t="str">
        <f>IF('Master Sheet'!C77="Area 5 (Renuka A)",'Master Sheet'!G77,"")</f>
        <v/>
      </c>
      <c r="H76" t="str">
        <f>IF('Master Sheet'!C77="Area 5 (Renuka A)",'Master Sheet'!H77,"")</f>
        <v/>
      </c>
      <c r="I76" t="str">
        <f>IF('Master Sheet'!C77="Area 5 (Renuka A)",'Master Sheet'!I77,"")</f>
        <v/>
      </c>
      <c r="J76" t="str">
        <f>IF('Master Sheet'!C77="Area 5 (Renuka A)",'Master Sheet'!J77,"")</f>
        <v/>
      </c>
      <c r="K76" t="str">
        <f>IF('Master Sheet'!C77="Area 5 (Renuka A)",'Master Sheet'!K77,"")</f>
        <v/>
      </c>
      <c r="L76" t="str">
        <f>IF('Master Sheet'!C77="Area 5 (Renuka A)",'Master Sheet'!L77,"")</f>
        <v/>
      </c>
      <c r="M76" t="str">
        <f>IF('Master Sheet'!C77="Area 5 (Renuka A)",'Master Sheet'!M77,"")</f>
        <v/>
      </c>
      <c r="N76" t="str">
        <f>IF('Master Sheet'!C77="Area 5 (Renuka A)",'Master Sheet'!N77,"")</f>
        <v/>
      </c>
      <c r="O76" t="str">
        <f>IF('Master Sheet'!C77="Area 5 (Renuka A)",'Master Sheet'!O77,"")</f>
        <v/>
      </c>
      <c r="P76" t="str">
        <f>IF('Master Sheet'!C77="Area 5 (Renuka A)",'Master Sheet'!P77,"")</f>
        <v/>
      </c>
    </row>
    <row r="77" spans="1:16" hidden="1" x14ac:dyDescent="0.25">
      <c r="A77" t="str">
        <f>IF('Master Sheet'!C78="Area 5 (Renuka A)",'Master Sheet'!A78,"")</f>
        <v/>
      </c>
      <c r="B77" t="str">
        <f>IF('Master Sheet'!C78="Area 5 (Renuka A)",'Master Sheet'!B78,"")</f>
        <v/>
      </c>
      <c r="C77" t="s">
        <v>8</v>
      </c>
      <c r="D77" t="str">
        <f>IF('Master Sheet'!C78="Area 5 (Renuka A)",'Master Sheet'!D78,"")</f>
        <v/>
      </c>
      <c r="E77" t="str">
        <f>IF('Master Sheet'!C78="Area 5 (Renuka A)",'Master Sheet'!E78,"")</f>
        <v/>
      </c>
      <c r="F77" t="str">
        <f>IF('Master Sheet'!C78="Area 5 (Renuka A)",'Master Sheet'!F78,"")</f>
        <v/>
      </c>
      <c r="G77" t="str">
        <f>IF('Master Sheet'!C78="Area 5 (Renuka A)",'Master Sheet'!G78,"")</f>
        <v/>
      </c>
      <c r="H77" t="str">
        <f>IF('Master Sheet'!C78="Area 5 (Renuka A)",'Master Sheet'!H78,"")</f>
        <v/>
      </c>
      <c r="I77" t="str">
        <f>IF('Master Sheet'!C78="Area 5 (Renuka A)",'Master Sheet'!I78,"")</f>
        <v/>
      </c>
      <c r="J77" t="str">
        <f>IF('Master Sheet'!C78="Area 5 (Renuka A)",'Master Sheet'!J78,"")</f>
        <v/>
      </c>
      <c r="K77" t="str">
        <f>IF('Master Sheet'!C78="Area 5 (Renuka A)",'Master Sheet'!K78,"")</f>
        <v/>
      </c>
      <c r="L77" t="str">
        <f>IF('Master Sheet'!C78="Area 5 (Renuka A)",'Master Sheet'!L78,"")</f>
        <v/>
      </c>
      <c r="M77" t="str">
        <f>IF('Master Sheet'!C78="Area 5 (Renuka A)",'Master Sheet'!M78,"")</f>
        <v/>
      </c>
      <c r="N77" t="str">
        <f>IF('Master Sheet'!C78="Area 5 (Renuka A)",'Master Sheet'!N78,"")</f>
        <v/>
      </c>
      <c r="O77" t="str">
        <f>IF('Master Sheet'!C78="Area 5 (Renuka A)",'Master Sheet'!O78,"")</f>
        <v/>
      </c>
      <c r="P77" t="str">
        <f>IF('Master Sheet'!C78="Area 5 (Renuka A)",'Master Sheet'!P78,"")</f>
        <v/>
      </c>
    </row>
    <row r="78" spans="1:16" s="14" customFormat="1" ht="19.899999999999999" customHeight="1" x14ac:dyDescent="0.25">
      <c r="A78" s="7" t="str">
        <f>IF('Master Sheet'!C79="Area 5 (Renuka A)",'Master Sheet'!A79,"")</f>
        <v>P077</v>
      </c>
      <c r="B78" s="10" t="str">
        <f>IF('Master Sheet'!C79="Area 5 (Renuka A)",'Master Sheet'!B79,"")</f>
        <v>Veena Satheesh</v>
      </c>
      <c r="C78" s="14" t="s">
        <v>8</v>
      </c>
      <c r="D78" s="9">
        <f>IF('Master Sheet'!C79="Area 5 (Renuka A)",'Master Sheet'!D79,"")</f>
        <v>0</v>
      </c>
      <c r="E78" s="9">
        <f>IF('Master Sheet'!C79="Area 5 (Renuka A)",'Master Sheet'!E79,"")</f>
        <v>0</v>
      </c>
      <c r="F78" s="9">
        <f>IF('Master Sheet'!C79="Area 5 (Renuka A)",'Master Sheet'!F79,"")</f>
        <v>0</v>
      </c>
      <c r="G78" s="9">
        <f>IF('Master Sheet'!C79="Area 5 (Renuka A)",'Master Sheet'!G79,"")</f>
        <v>0</v>
      </c>
      <c r="H78" s="9">
        <f>IF('Master Sheet'!C79="Area 5 (Renuka A)",'Master Sheet'!H79,"")</f>
        <v>0</v>
      </c>
      <c r="I78" s="9">
        <f>IF('Master Sheet'!C79="Area 5 (Renuka A)",'Master Sheet'!I79,"")</f>
        <v>0</v>
      </c>
      <c r="J78" s="9">
        <f>IF('Master Sheet'!C79="Area 5 (Renuka A)",'Master Sheet'!J79,"")</f>
        <v>0</v>
      </c>
      <c r="K78" s="9">
        <f>IF('Master Sheet'!C79="Area 5 (Renuka A)",'Master Sheet'!K79,"")</f>
        <v>0</v>
      </c>
      <c r="L78" s="9">
        <f>IF('Master Sheet'!C79="Area 5 (Renuka A)",'Master Sheet'!L79,"")</f>
        <v>0</v>
      </c>
      <c r="M78" s="9">
        <f>IF('Master Sheet'!C79="Area 5 (Renuka A)",'Master Sheet'!M79,"")</f>
        <v>0</v>
      </c>
      <c r="N78" s="9">
        <f>IF('Master Sheet'!C79="Area 5 (Renuka A)",'Master Sheet'!N79,"")</f>
        <v>0</v>
      </c>
      <c r="O78" s="23">
        <f>IF('Master Sheet'!C79="Area 5 (Renuka A)",'Master Sheet'!O79,"")</f>
        <v>3500</v>
      </c>
      <c r="P78" s="9" t="str">
        <f>IF('Master Sheet'!C79="Area 5 (Renuka A)",'Master Sheet'!P79,"")</f>
        <v>Pending</v>
      </c>
    </row>
    <row r="79" spans="1:16" s="14" customFormat="1" ht="19.899999999999999" customHeight="1" x14ac:dyDescent="0.25">
      <c r="A79" s="7" t="str">
        <f>IF('Master Sheet'!C80="Area 5 (Renuka A)",'Master Sheet'!A80,"")</f>
        <v>P078</v>
      </c>
      <c r="B79" s="10" t="str">
        <f>IF('Master Sheet'!C80="Area 5 (Renuka A)",'Master Sheet'!B80,"")</f>
        <v>P.G Vijayan</v>
      </c>
      <c r="C79" s="14" t="s">
        <v>8</v>
      </c>
      <c r="D79" s="9">
        <f>IF('Master Sheet'!C80="Area 5 (Renuka A)",'Master Sheet'!D80,"")</f>
        <v>0</v>
      </c>
      <c r="E79" s="9">
        <f>IF('Master Sheet'!C80="Area 5 (Renuka A)",'Master Sheet'!E80,"")</f>
        <v>0</v>
      </c>
      <c r="F79" s="9">
        <f>IF('Master Sheet'!C80="Area 5 (Renuka A)",'Master Sheet'!F80,"")</f>
        <v>0</v>
      </c>
      <c r="G79" s="9">
        <f>IF('Master Sheet'!C80="Area 5 (Renuka A)",'Master Sheet'!G80,"")</f>
        <v>0</v>
      </c>
      <c r="H79" s="9">
        <f>IF('Master Sheet'!C80="Area 5 (Renuka A)",'Master Sheet'!H80,"")</f>
        <v>0</v>
      </c>
      <c r="I79" s="9">
        <f>IF('Master Sheet'!C80="Area 5 (Renuka A)",'Master Sheet'!I80,"")</f>
        <v>0</v>
      </c>
      <c r="J79" s="9">
        <f>IF('Master Sheet'!C80="Area 5 (Renuka A)",'Master Sheet'!J80,"")</f>
        <v>0</v>
      </c>
      <c r="K79" s="9">
        <f>IF('Master Sheet'!C80="Area 5 (Renuka A)",'Master Sheet'!K80,"")</f>
        <v>0</v>
      </c>
      <c r="L79" s="9">
        <f>IF('Master Sheet'!C80="Area 5 (Renuka A)",'Master Sheet'!L80,"")</f>
        <v>0</v>
      </c>
      <c r="M79" s="9">
        <f>IF('Master Sheet'!C80="Area 5 (Renuka A)",'Master Sheet'!M80,"")</f>
        <v>0</v>
      </c>
      <c r="N79" s="9">
        <f>IF('Master Sheet'!C80="Area 5 (Renuka A)",'Master Sheet'!N80,"")</f>
        <v>0</v>
      </c>
      <c r="O79" s="23">
        <f>IF('Master Sheet'!C80="Area 5 (Renuka A)",'Master Sheet'!O80,"")</f>
        <v>3500</v>
      </c>
      <c r="P79" s="9" t="str">
        <f>IF('Master Sheet'!C80="Area 5 (Renuka A)",'Master Sheet'!P80,"")</f>
        <v>Pending</v>
      </c>
    </row>
    <row r="80" spans="1:16" s="14" customFormat="1" ht="19.899999999999999" customHeight="1" x14ac:dyDescent="0.25">
      <c r="A80" s="7" t="str">
        <f>IF('Master Sheet'!C81="Area 5 (Renuka A)",'Master Sheet'!A81,"")</f>
        <v>P079</v>
      </c>
      <c r="B80" s="10" t="str">
        <f>IF('Master Sheet'!C81="Area 5 (Renuka A)",'Master Sheet'!B81,"")</f>
        <v>Acharya Sunil Mahadeve</v>
      </c>
      <c r="C80" s="14" t="s">
        <v>8</v>
      </c>
      <c r="D80" s="9">
        <f>IF('Master Sheet'!C81="Area 5 (Renuka A)",'Master Sheet'!D81,"")</f>
        <v>350</v>
      </c>
      <c r="E80" s="9">
        <f>IF('Master Sheet'!C81="Area 5 (Renuka A)",'Master Sheet'!E81,"")</f>
        <v>350</v>
      </c>
      <c r="F80" s="9">
        <f>IF('Master Sheet'!C81="Area 5 (Renuka A)",'Master Sheet'!F81,"")</f>
        <v>350</v>
      </c>
      <c r="G80" s="9">
        <f>IF('Master Sheet'!C81="Area 5 (Renuka A)",'Master Sheet'!G81,"")</f>
        <v>0</v>
      </c>
      <c r="H80" s="9">
        <f>IF('Master Sheet'!C81="Area 5 (Renuka A)",'Master Sheet'!H81,"")</f>
        <v>0</v>
      </c>
      <c r="I80" s="9">
        <f>IF('Master Sheet'!C81="Area 5 (Renuka A)",'Master Sheet'!I81,"")</f>
        <v>0</v>
      </c>
      <c r="J80" s="9">
        <f>IF('Master Sheet'!C81="Area 5 (Renuka A)",'Master Sheet'!J81,"")</f>
        <v>0</v>
      </c>
      <c r="K80" s="9">
        <f>IF('Master Sheet'!C81="Area 5 (Renuka A)",'Master Sheet'!K81,"")</f>
        <v>0</v>
      </c>
      <c r="L80" s="9">
        <f>IF('Master Sheet'!C81="Area 5 (Renuka A)",'Master Sheet'!L81,"")</f>
        <v>0</v>
      </c>
      <c r="M80" s="9">
        <f>IF('Master Sheet'!C81="Area 5 (Renuka A)",'Master Sheet'!M81,"")</f>
        <v>0</v>
      </c>
      <c r="N80" s="9">
        <f>IF('Master Sheet'!C81="Area 5 (Renuka A)",'Master Sheet'!N81,"")</f>
        <v>1050</v>
      </c>
      <c r="O80" s="23">
        <f>IF('Master Sheet'!C81="Area 5 (Renuka A)",'Master Sheet'!O81,"")</f>
        <v>2450</v>
      </c>
      <c r="P80" s="9" t="str">
        <f>IF('Master Sheet'!C81="Area 5 (Renuka A)",'Master Sheet'!P81,"")</f>
        <v>Pending</v>
      </c>
    </row>
    <row r="81" spans="1:16" s="14" customFormat="1" ht="19.899999999999999" customHeight="1" x14ac:dyDescent="0.25">
      <c r="A81" s="7" t="str">
        <f>IF('Master Sheet'!C82="Area 5 (Renuka A)",'Master Sheet'!A82,"")</f>
        <v>P080</v>
      </c>
      <c r="B81" s="10" t="str">
        <f>IF('Master Sheet'!C82="Area 5 (Renuka A)",'Master Sheet'!B82,"")</f>
        <v>Manju  Manikandan</v>
      </c>
      <c r="C81" s="14" t="s">
        <v>8</v>
      </c>
      <c r="D81" s="9">
        <f>IF('Master Sheet'!C82="Area 5 (Renuka A)",'Master Sheet'!D82,"")</f>
        <v>350</v>
      </c>
      <c r="E81" s="9">
        <f>IF('Master Sheet'!C82="Area 5 (Renuka A)",'Master Sheet'!E82,"")</f>
        <v>350</v>
      </c>
      <c r="F81" s="9">
        <f>IF('Master Sheet'!C82="Area 5 (Renuka A)",'Master Sheet'!F82,"")</f>
        <v>0</v>
      </c>
      <c r="G81" s="9">
        <f>IF('Master Sheet'!C82="Area 5 (Renuka A)",'Master Sheet'!G82,"")</f>
        <v>350</v>
      </c>
      <c r="H81" s="9">
        <f>IF('Master Sheet'!C82="Area 5 (Renuka A)",'Master Sheet'!H82,"")</f>
        <v>0</v>
      </c>
      <c r="I81" s="9">
        <f>IF('Master Sheet'!C82="Area 5 (Renuka A)",'Master Sheet'!I82,"")</f>
        <v>0</v>
      </c>
      <c r="J81" s="9">
        <f>IF('Master Sheet'!C82="Area 5 (Renuka A)",'Master Sheet'!J82,"")</f>
        <v>0</v>
      </c>
      <c r="K81" s="9">
        <f>IF('Master Sheet'!C82="Area 5 (Renuka A)",'Master Sheet'!K82,"")</f>
        <v>0</v>
      </c>
      <c r="L81" s="9">
        <f>IF('Master Sheet'!C82="Area 5 (Renuka A)",'Master Sheet'!L82,"")</f>
        <v>0</v>
      </c>
      <c r="M81" s="9">
        <f>IF('Master Sheet'!C82="Area 5 (Renuka A)",'Master Sheet'!M82,"")</f>
        <v>0</v>
      </c>
      <c r="N81" s="9">
        <f>IF('Master Sheet'!C82="Area 5 (Renuka A)",'Master Sheet'!N82,"")</f>
        <v>1050</v>
      </c>
      <c r="O81" s="23">
        <f>IF('Master Sheet'!C82="Area 5 (Renuka A)",'Master Sheet'!O82,"")</f>
        <v>2450</v>
      </c>
      <c r="P81" s="9" t="str">
        <f>IF('Master Sheet'!C82="Area 5 (Renuka A)",'Master Sheet'!P82,"")</f>
        <v>Pending</v>
      </c>
    </row>
    <row r="82" spans="1:16" s="14" customFormat="1" ht="19.899999999999999" customHeight="1" x14ac:dyDescent="0.25">
      <c r="A82" s="7" t="str">
        <f>IF('Master Sheet'!C83="Area 5 (Renuka A)",'Master Sheet'!A83,"")</f>
        <v>P081</v>
      </c>
      <c r="B82" s="10" t="str">
        <f>IF('Master Sheet'!C83="Area 5 (Renuka A)",'Master Sheet'!B83,"")</f>
        <v>Surya Renjith</v>
      </c>
      <c r="C82" s="14" t="s">
        <v>8</v>
      </c>
      <c r="D82" s="9">
        <f>IF('Master Sheet'!C83="Area 5 (Renuka A)",'Master Sheet'!D83,"")</f>
        <v>350</v>
      </c>
      <c r="E82" s="9">
        <f>IF('Master Sheet'!C83="Area 5 (Renuka A)",'Master Sheet'!E83,"")</f>
        <v>350</v>
      </c>
      <c r="F82" s="9">
        <f>IF('Master Sheet'!C83="Area 5 (Renuka A)",'Master Sheet'!F83,"")</f>
        <v>0</v>
      </c>
      <c r="G82" s="9">
        <f>IF('Master Sheet'!C83="Area 5 (Renuka A)",'Master Sheet'!G83,"")</f>
        <v>700</v>
      </c>
      <c r="H82" s="9">
        <f>IF('Master Sheet'!C83="Area 5 (Renuka A)",'Master Sheet'!H83,"")</f>
        <v>0</v>
      </c>
      <c r="I82" s="9">
        <f>IF('Master Sheet'!C83="Area 5 (Renuka A)",'Master Sheet'!I83,"")</f>
        <v>0</v>
      </c>
      <c r="J82" s="9">
        <f>IF('Master Sheet'!C83="Area 5 (Renuka A)",'Master Sheet'!J83,"")</f>
        <v>0</v>
      </c>
      <c r="K82" s="9">
        <f>IF('Master Sheet'!C83="Area 5 (Renuka A)",'Master Sheet'!K83,"")</f>
        <v>0</v>
      </c>
      <c r="L82" s="9">
        <f>IF('Master Sheet'!C83="Area 5 (Renuka A)",'Master Sheet'!L83,"")</f>
        <v>0</v>
      </c>
      <c r="M82" s="9">
        <f>IF('Master Sheet'!C83="Area 5 (Renuka A)",'Master Sheet'!M83,"")</f>
        <v>0</v>
      </c>
      <c r="N82" s="9">
        <f>IF('Master Sheet'!C83="Area 5 (Renuka A)",'Master Sheet'!N83,"")</f>
        <v>1400</v>
      </c>
      <c r="O82" s="23">
        <f>IF('Master Sheet'!C83="Area 5 (Renuka A)",'Master Sheet'!O83,"")</f>
        <v>2100</v>
      </c>
      <c r="P82" s="9" t="str">
        <f>IF('Master Sheet'!C83="Area 5 (Renuka A)",'Master Sheet'!P83,"")</f>
        <v>Pending</v>
      </c>
    </row>
    <row r="83" spans="1:16" s="14" customFormat="1" ht="19.899999999999999" customHeight="1" x14ac:dyDescent="0.25">
      <c r="A83" s="7" t="str">
        <f>IF('Master Sheet'!C84="Area 5 (Renuka A)",'Master Sheet'!A84,"")</f>
        <v>P082</v>
      </c>
      <c r="B83" s="10" t="str">
        <f>IF('Master Sheet'!C84="Area 5 (Renuka A)",'Master Sheet'!B84,"")</f>
        <v>Hari Kumar</v>
      </c>
      <c r="C83" s="14" t="s">
        <v>8</v>
      </c>
      <c r="D83" s="9">
        <f>IF('Master Sheet'!C84="Area 5 (Renuka A)",'Master Sheet'!D84,"")</f>
        <v>350</v>
      </c>
      <c r="E83" s="9">
        <f>IF('Master Sheet'!C84="Area 5 (Renuka A)",'Master Sheet'!E84,"")</f>
        <v>0</v>
      </c>
      <c r="F83" s="9">
        <f>IF('Master Sheet'!C84="Area 5 (Renuka A)",'Master Sheet'!F84,"")</f>
        <v>0</v>
      </c>
      <c r="G83" s="9">
        <f>IF('Master Sheet'!C84="Area 5 (Renuka A)",'Master Sheet'!G84,"")</f>
        <v>700</v>
      </c>
      <c r="H83" s="9">
        <f>IF('Master Sheet'!C84="Area 5 (Renuka A)",'Master Sheet'!H84,"")</f>
        <v>0</v>
      </c>
      <c r="I83" s="9">
        <f>IF('Master Sheet'!C84="Area 5 (Renuka A)",'Master Sheet'!I84,"")</f>
        <v>0</v>
      </c>
      <c r="J83" s="9">
        <f>IF('Master Sheet'!C84="Area 5 (Renuka A)",'Master Sheet'!J84,"")</f>
        <v>0</v>
      </c>
      <c r="K83" s="9">
        <f>IF('Master Sheet'!C84="Area 5 (Renuka A)",'Master Sheet'!K84,"")</f>
        <v>0</v>
      </c>
      <c r="L83" s="9">
        <f>IF('Master Sheet'!C84="Area 5 (Renuka A)",'Master Sheet'!L84,"")</f>
        <v>0</v>
      </c>
      <c r="M83" s="9">
        <f>IF('Master Sheet'!C84="Area 5 (Renuka A)",'Master Sheet'!M84,"")</f>
        <v>0</v>
      </c>
      <c r="N83" s="9">
        <f>IF('Master Sheet'!C84="Area 5 (Renuka A)",'Master Sheet'!N84,"")</f>
        <v>1050</v>
      </c>
      <c r="O83" s="23">
        <f>IF('Master Sheet'!C84="Area 5 (Renuka A)",'Master Sheet'!O84,"")</f>
        <v>2450</v>
      </c>
      <c r="P83" s="9" t="str">
        <f>IF('Master Sheet'!C84="Area 5 (Renuka A)",'Master Sheet'!P84,"")</f>
        <v>Pending</v>
      </c>
    </row>
    <row r="84" spans="1:16" s="14" customFormat="1" ht="19.899999999999999" customHeight="1" x14ac:dyDescent="0.25">
      <c r="A84" s="7" t="str">
        <f>IF('Master Sheet'!C85="Area 5 (Renuka A)",'Master Sheet'!A85,"")</f>
        <v>P083</v>
      </c>
      <c r="B84" s="10" t="str">
        <f>IF('Master Sheet'!C85="Area 5 (Renuka A)",'Master Sheet'!B85,"")</f>
        <v>Prasad K.R</v>
      </c>
      <c r="C84" s="14" t="s">
        <v>8</v>
      </c>
      <c r="D84" s="9">
        <f>IF('Master Sheet'!C85="Area 5 (Renuka A)",'Master Sheet'!D85,"")</f>
        <v>350</v>
      </c>
      <c r="E84" s="9">
        <f>IF('Master Sheet'!C85="Area 5 (Renuka A)",'Master Sheet'!E85,"")</f>
        <v>350</v>
      </c>
      <c r="F84" s="9">
        <f>IF('Master Sheet'!C85="Area 5 (Renuka A)",'Master Sheet'!F85,"")</f>
        <v>350</v>
      </c>
      <c r="G84" s="9">
        <f>IF('Master Sheet'!C85="Area 5 (Renuka A)",'Master Sheet'!G85,"")</f>
        <v>350</v>
      </c>
      <c r="H84" s="9">
        <f>IF('Master Sheet'!C85="Area 5 (Renuka A)",'Master Sheet'!H85,"")</f>
        <v>0</v>
      </c>
      <c r="I84" s="9">
        <f>IF('Master Sheet'!C85="Area 5 (Renuka A)",'Master Sheet'!I85,"")</f>
        <v>0</v>
      </c>
      <c r="J84" s="9">
        <f>IF('Master Sheet'!C85="Area 5 (Renuka A)",'Master Sheet'!J85,"")</f>
        <v>0</v>
      </c>
      <c r="K84" s="9">
        <f>IF('Master Sheet'!C85="Area 5 (Renuka A)",'Master Sheet'!K85,"")</f>
        <v>0</v>
      </c>
      <c r="L84" s="9">
        <f>IF('Master Sheet'!C85="Area 5 (Renuka A)",'Master Sheet'!L85,"")</f>
        <v>0</v>
      </c>
      <c r="M84" s="9">
        <f>IF('Master Sheet'!C85="Area 5 (Renuka A)",'Master Sheet'!M85,"")</f>
        <v>0</v>
      </c>
      <c r="N84" s="9">
        <f>IF('Master Sheet'!C85="Area 5 (Renuka A)",'Master Sheet'!N85,"")</f>
        <v>1400</v>
      </c>
      <c r="O84" s="23">
        <f>IF('Master Sheet'!C85="Area 5 (Renuka A)",'Master Sheet'!O85,"")</f>
        <v>2100</v>
      </c>
      <c r="P84" s="9" t="str">
        <f>IF('Master Sheet'!C85="Area 5 (Renuka A)",'Master Sheet'!P85,"")</f>
        <v>Pending</v>
      </c>
    </row>
    <row r="85" spans="1:16" s="14" customFormat="1" ht="19.899999999999999" customHeight="1" x14ac:dyDescent="0.25">
      <c r="A85" s="7" t="str">
        <f>IF('Master Sheet'!C86="Area 5 (Renuka A)",'Master Sheet'!A86,"")</f>
        <v>P084</v>
      </c>
      <c r="B85" s="10" t="str">
        <f>IF('Master Sheet'!C86="Area 5 (Renuka A)",'Master Sheet'!B86,"")</f>
        <v>Aravind Kadapra</v>
      </c>
      <c r="C85" s="14" t="s">
        <v>8</v>
      </c>
      <c r="D85" s="9">
        <f>IF('Master Sheet'!C86="Area 5 (Renuka A)",'Master Sheet'!D86,"")</f>
        <v>350</v>
      </c>
      <c r="E85" s="9">
        <f>IF('Master Sheet'!C86="Area 5 (Renuka A)",'Master Sheet'!E86,"")</f>
        <v>0</v>
      </c>
      <c r="F85" s="9">
        <f>IF('Master Sheet'!C86="Area 5 (Renuka A)",'Master Sheet'!F86,"")</f>
        <v>0</v>
      </c>
      <c r="G85" s="9">
        <f>IF('Master Sheet'!C86="Area 5 (Renuka A)",'Master Sheet'!G86,"")</f>
        <v>350</v>
      </c>
      <c r="H85" s="9">
        <f>IF('Master Sheet'!C86="Area 5 (Renuka A)",'Master Sheet'!H86,"")</f>
        <v>0</v>
      </c>
      <c r="I85" s="9">
        <f>IF('Master Sheet'!C86="Area 5 (Renuka A)",'Master Sheet'!I86,"")</f>
        <v>0</v>
      </c>
      <c r="J85" s="9">
        <f>IF('Master Sheet'!C86="Area 5 (Renuka A)",'Master Sheet'!J86,"")</f>
        <v>0</v>
      </c>
      <c r="K85" s="9">
        <f>IF('Master Sheet'!C86="Area 5 (Renuka A)",'Master Sheet'!K86,"")</f>
        <v>0</v>
      </c>
      <c r="L85" s="9">
        <f>IF('Master Sheet'!C86="Area 5 (Renuka A)",'Master Sheet'!L86,"")</f>
        <v>0</v>
      </c>
      <c r="M85" s="9">
        <f>IF('Master Sheet'!C86="Area 5 (Renuka A)",'Master Sheet'!M86,"")</f>
        <v>0</v>
      </c>
      <c r="N85" s="9">
        <f>IF('Master Sheet'!C86="Area 5 (Renuka A)",'Master Sheet'!N86,"")</f>
        <v>700</v>
      </c>
      <c r="O85" s="23">
        <f>IF('Master Sheet'!C86="Area 5 (Renuka A)",'Master Sheet'!O86,"")</f>
        <v>2800</v>
      </c>
      <c r="P85" s="9" t="str">
        <f>IF('Master Sheet'!C86="Area 5 (Renuka A)",'Master Sheet'!P86,"")</f>
        <v>Pending</v>
      </c>
    </row>
    <row r="86" spans="1:16" s="14" customFormat="1" ht="19.899999999999999" customHeight="1" x14ac:dyDescent="0.25">
      <c r="A86" s="7" t="str">
        <f>IF('Master Sheet'!C87="Area 5 (Renuka A)",'Master Sheet'!A87,"")</f>
        <v>P085</v>
      </c>
      <c r="B86" s="10" t="str">
        <f>IF('Master Sheet'!C87="Area 5 (Renuka A)",'Master Sheet'!B87,"")</f>
        <v>Rakesh Babu</v>
      </c>
      <c r="C86" s="14" t="s">
        <v>8</v>
      </c>
      <c r="D86" s="9">
        <f>IF('Master Sheet'!C87="Area 5 (Renuka A)",'Master Sheet'!D87,"")</f>
        <v>0</v>
      </c>
      <c r="E86" s="9">
        <f>IF('Master Sheet'!C87="Area 5 (Renuka A)",'Master Sheet'!E87,"")</f>
        <v>0</v>
      </c>
      <c r="F86" s="9">
        <f>IF('Master Sheet'!C87="Area 5 (Renuka A)",'Master Sheet'!F87,"")</f>
        <v>0</v>
      </c>
      <c r="G86" s="9">
        <f>IF('Master Sheet'!C87="Area 5 (Renuka A)",'Master Sheet'!G87,"")</f>
        <v>0</v>
      </c>
      <c r="H86" s="9">
        <f>IF('Master Sheet'!C87="Area 5 (Renuka A)",'Master Sheet'!H87,"")</f>
        <v>0</v>
      </c>
      <c r="I86" s="9">
        <f>IF('Master Sheet'!C87="Area 5 (Renuka A)",'Master Sheet'!I87,"")</f>
        <v>0</v>
      </c>
      <c r="J86" s="9">
        <f>IF('Master Sheet'!C87="Area 5 (Renuka A)",'Master Sheet'!J87,"")</f>
        <v>0</v>
      </c>
      <c r="K86" s="9">
        <f>IF('Master Sheet'!C87="Area 5 (Renuka A)",'Master Sheet'!K87,"")</f>
        <v>0</v>
      </c>
      <c r="L86" s="9">
        <f>IF('Master Sheet'!C87="Area 5 (Renuka A)",'Master Sheet'!L87,"")</f>
        <v>0</v>
      </c>
      <c r="M86" s="9">
        <f>IF('Master Sheet'!C87="Area 5 (Renuka A)",'Master Sheet'!M87,"")</f>
        <v>0</v>
      </c>
      <c r="N86" s="9">
        <f>IF('Master Sheet'!C87="Area 5 (Renuka A)",'Master Sheet'!N87,"")</f>
        <v>0</v>
      </c>
      <c r="O86" s="23">
        <f>IF('Master Sheet'!C87="Area 5 (Renuka A)",'Master Sheet'!O87,"")</f>
        <v>3500</v>
      </c>
      <c r="P86" s="9" t="str">
        <f>IF('Master Sheet'!C87="Area 5 (Renuka A)",'Master Sheet'!P87,"")</f>
        <v>Pending</v>
      </c>
    </row>
    <row r="87" spans="1:16" s="14" customFormat="1" ht="19.899999999999999" customHeight="1" x14ac:dyDescent="0.25">
      <c r="A87" s="7" t="str">
        <f>IF('Master Sheet'!C88="Area 5 (Renuka A)",'Master Sheet'!A88,"")</f>
        <v>P086</v>
      </c>
      <c r="B87" s="10" t="str">
        <f>IF('Master Sheet'!C88="Area 5 (Renuka A)",'Master Sheet'!B88,"")</f>
        <v>Manju Mol PS</v>
      </c>
      <c r="C87" s="14" t="s">
        <v>8</v>
      </c>
      <c r="D87" s="9">
        <f>IF('Master Sheet'!C88="Area 5 (Renuka A)",'Master Sheet'!D88,"")</f>
        <v>0</v>
      </c>
      <c r="E87" s="9">
        <f>IF('Master Sheet'!C88="Area 5 (Renuka A)",'Master Sheet'!E88,"")</f>
        <v>0</v>
      </c>
      <c r="F87" s="9">
        <f>IF('Master Sheet'!C88="Area 5 (Renuka A)",'Master Sheet'!F88,"")</f>
        <v>0</v>
      </c>
      <c r="G87" s="9">
        <f>IF('Master Sheet'!C88="Area 5 (Renuka A)",'Master Sheet'!G88,"")</f>
        <v>0</v>
      </c>
      <c r="H87" s="9">
        <f>IF('Master Sheet'!C88="Area 5 (Renuka A)",'Master Sheet'!H88,"")</f>
        <v>0</v>
      </c>
      <c r="I87" s="9">
        <f>IF('Master Sheet'!C88="Area 5 (Renuka A)",'Master Sheet'!I88,"")</f>
        <v>0</v>
      </c>
      <c r="J87" s="9">
        <f>IF('Master Sheet'!C88="Area 5 (Renuka A)",'Master Sheet'!J88,"")</f>
        <v>0</v>
      </c>
      <c r="K87" s="9">
        <f>IF('Master Sheet'!C88="Area 5 (Renuka A)",'Master Sheet'!K88,"")</f>
        <v>0</v>
      </c>
      <c r="L87" s="9">
        <f>IF('Master Sheet'!C88="Area 5 (Renuka A)",'Master Sheet'!L88,"")</f>
        <v>0</v>
      </c>
      <c r="M87" s="9">
        <f>IF('Master Sheet'!C88="Area 5 (Renuka A)",'Master Sheet'!M88,"")</f>
        <v>0</v>
      </c>
      <c r="N87" s="9">
        <f>IF('Master Sheet'!C88="Area 5 (Renuka A)",'Master Sheet'!N88,"")</f>
        <v>0</v>
      </c>
      <c r="O87" s="23">
        <f>IF('Master Sheet'!C88="Area 5 (Renuka A)",'Master Sheet'!O88,"")</f>
        <v>3500</v>
      </c>
      <c r="P87" s="9" t="str">
        <f>IF('Master Sheet'!C88="Area 5 (Renuka A)",'Master Sheet'!P88,"")</f>
        <v>Pending</v>
      </c>
    </row>
    <row r="88" spans="1:16" s="14" customFormat="1" ht="19.899999999999999" customHeight="1" x14ac:dyDescent="0.25">
      <c r="A88" s="7" t="str">
        <f>IF('Master Sheet'!C89="Area 5 (Renuka A)",'Master Sheet'!A89,"")</f>
        <v>P087</v>
      </c>
      <c r="B88" s="10" t="str">
        <f>IF('Master Sheet'!C89="Area 5 (Renuka A)",'Master Sheet'!B89,"")</f>
        <v xml:space="preserve">Remya </v>
      </c>
      <c r="C88" s="14" t="s">
        <v>8</v>
      </c>
      <c r="D88" s="9">
        <f>IF('Master Sheet'!C89="Area 5 (Renuka A)",'Master Sheet'!D89,"")</f>
        <v>0</v>
      </c>
      <c r="E88" s="9">
        <f>IF('Master Sheet'!C89="Area 5 (Renuka A)",'Master Sheet'!E89,"")</f>
        <v>0</v>
      </c>
      <c r="F88" s="9">
        <f>IF('Master Sheet'!C89="Area 5 (Renuka A)",'Master Sheet'!F89,"")</f>
        <v>0</v>
      </c>
      <c r="G88" s="9">
        <f>IF('Master Sheet'!C89="Area 5 (Renuka A)",'Master Sheet'!G89,"")</f>
        <v>350</v>
      </c>
      <c r="H88" s="9">
        <f>IF('Master Sheet'!C89="Area 5 (Renuka A)",'Master Sheet'!H89,"")</f>
        <v>0</v>
      </c>
      <c r="I88" s="9">
        <f>IF('Master Sheet'!C89="Area 5 (Renuka A)",'Master Sheet'!I89,"")</f>
        <v>0</v>
      </c>
      <c r="J88" s="9">
        <f>IF('Master Sheet'!C89="Area 5 (Renuka A)",'Master Sheet'!J89,"")</f>
        <v>0</v>
      </c>
      <c r="K88" s="9">
        <f>IF('Master Sheet'!C89="Area 5 (Renuka A)",'Master Sheet'!K89,"")</f>
        <v>0</v>
      </c>
      <c r="L88" s="9">
        <f>IF('Master Sheet'!C89="Area 5 (Renuka A)",'Master Sheet'!L89,"")</f>
        <v>0</v>
      </c>
      <c r="M88" s="9">
        <f>IF('Master Sheet'!C89="Area 5 (Renuka A)",'Master Sheet'!M89,"")</f>
        <v>0</v>
      </c>
      <c r="N88" s="9">
        <f>IF('Master Sheet'!C89="Area 5 (Renuka A)",'Master Sheet'!N89,"")</f>
        <v>350</v>
      </c>
      <c r="O88" s="23">
        <f>IF('Master Sheet'!C89="Area 5 (Renuka A)",'Master Sheet'!O89,"")</f>
        <v>3150</v>
      </c>
      <c r="P88" s="9" t="str">
        <f>IF('Master Sheet'!C89="Area 5 (Renuka A)",'Master Sheet'!P89,"")</f>
        <v>Pending</v>
      </c>
    </row>
    <row r="89" spans="1:16" s="14" customFormat="1" ht="19.899999999999999" customHeight="1" x14ac:dyDescent="0.25">
      <c r="A89" s="7" t="str">
        <f>IF('Master Sheet'!C90="Area 5 (Renuka A)",'Master Sheet'!A90,"")</f>
        <v>P088</v>
      </c>
      <c r="B89" s="10" t="str">
        <f>IF('Master Sheet'!C90="Area 5 (Renuka A)",'Master Sheet'!B90,"")</f>
        <v>Rekha Ajith</v>
      </c>
      <c r="C89" s="14" t="s">
        <v>8</v>
      </c>
      <c r="D89" s="9">
        <f>IF('Master Sheet'!C90="Area 5 (Renuka A)",'Master Sheet'!D90,"")</f>
        <v>0</v>
      </c>
      <c r="E89" s="9">
        <f>IF('Master Sheet'!C90="Area 5 (Renuka A)",'Master Sheet'!E90,"")</f>
        <v>0</v>
      </c>
      <c r="F89" s="9">
        <f>IF('Master Sheet'!C90="Area 5 (Renuka A)",'Master Sheet'!F90,"")</f>
        <v>0</v>
      </c>
      <c r="G89" s="9">
        <f>IF('Master Sheet'!C90="Area 5 (Renuka A)",'Master Sheet'!G90,"")</f>
        <v>0</v>
      </c>
      <c r="H89" s="9">
        <f>IF('Master Sheet'!C90="Area 5 (Renuka A)",'Master Sheet'!H90,"")</f>
        <v>0</v>
      </c>
      <c r="I89" s="9">
        <f>IF('Master Sheet'!C90="Area 5 (Renuka A)",'Master Sheet'!I90,"")</f>
        <v>0</v>
      </c>
      <c r="J89" s="9">
        <f>IF('Master Sheet'!C90="Area 5 (Renuka A)",'Master Sheet'!J90,"")</f>
        <v>0</v>
      </c>
      <c r="K89" s="9">
        <f>IF('Master Sheet'!C90="Area 5 (Renuka A)",'Master Sheet'!K90,"")</f>
        <v>0</v>
      </c>
      <c r="L89" s="9">
        <f>IF('Master Sheet'!C90="Area 5 (Renuka A)",'Master Sheet'!L90,"")</f>
        <v>0</v>
      </c>
      <c r="M89" s="9">
        <f>IF('Master Sheet'!C90="Area 5 (Renuka A)",'Master Sheet'!M90,"")</f>
        <v>0</v>
      </c>
      <c r="N89" s="9">
        <f>IF('Master Sheet'!C90="Area 5 (Renuka A)",'Master Sheet'!N90,"")</f>
        <v>0</v>
      </c>
      <c r="O89" s="23">
        <f>IF('Master Sheet'!C90="Area 5 (Renuka A)",'Master Sheet'!O90,"")</f>
        <v>3500</v>
      </c>
      <c r="P89" s="9" t="str">
        <f>IF('Master Sheet'!C90="Area 5 (Renuka A)",'Master Sheet'!P90,"")</f>
        <v>Pending</v>
      </c>
    </row>
    <row r="90" spans="1:16" hidden="1" x14ac:dyDescent="0.25">
      <c r="A90" t="str">
        <f>IF('Master Sheet'!C91="Area 5 (Renuka A)",'Master Sheet'!A91,"")</f>
        <v/>
      </c>
      <c r="B90" t="str">
        <f>IF('Master Sheet'!C91="Area 5 (Renuka A)",'Master Sheet'!B91,"")</f>
        <v/>
      </c>
      <c r="C90" t="s">
        <v>8</v>
      </c>
      <c r="D90" t="str">
        <f>IF('Master Sheet'!C91="Area 5 (Renuka A)",'Master Sheet'!D91,"")</f>
        <v/>
      </c>
      <c r="E90" t="str">
        <f>IF('Master Sheet'!C91="Area 5 (Renuka A)",'Master Sheet'!E91,"")</f>
        <v/>
      </c>
      <c r="F90" t="str">
        <f>IF('Master Sheet'!C91="Area 5 (Renuka A)",'Master Sheet'!F91,"")</f>
        <v/>
      </c>
      <c r="G90" t="str">
        <f>IF('Master Sheet'!C91="Area 5 (Renuka A)",'Master Sheet'!G91,"")</f>
        <v/>
      </c>
      <c r="H90" t="str">
        <f>IF('Master Sheet'!C91="Area 5 (Renuka A)",'Master Sheet'!H91,"")</f>
        <v/>
      </c>
      <c r="I90" t="str">
        <f>IF('Master Sheet'!C91="Area 5 (Renuka A)",'Master Sheet'!I91,"")</f>
        <v/>
      </c>
      <c r="J90" t="str">
        <f>IF('Master Sheet'!C91="Area 5 (Renuka A)",'Master Sheet'!J91,"")</f>
        <v/>
      </c>
      <c r="K90" t="str">
        <f>IF('Master Sheet'!C91="Area 5 (Renuka A)",'Master Sheet'!K91,"")</f>
        <v/>
      </c>
      <c r="L90" t="str">
        <f>IF('Master Sheet'!C91="Area 5 (Renuka A)",'Master Sheet'!L91,"")</f>
        <v/>
      </c>
      <c r="M90" t="str">
        <f>IF('Master Sheet'!C91="Area 5 (Renuka A)",'Master Sheet'!M91,"")</f>
        <v/>
      </c>
      <c r="N90" t="str">
        <f>IF('Master Sheet'!C91="Area 5 (Renuka A)",'Master Sheet'!N91,"")</f>
        <v/>
      </c>
      <c r="O90" t="str">
        <f>IF('Master Sheet'!C91="Area 5 (Renuka A)",'Master Sheet'!O91,"")</f>
        <v/>
      </c>
      <c r="P90" t="str">
        <f>IF('Master Sheet'!C91="Area 5 (Renuka A)",'Master Sheet'!P91,"")</f>
        <v/>
      </c>
    </row>
    <row r="91" spans="1:16" hidden="1" x14ac:dyDescent="0.25">
      <c r="A91" t="str">
        <f>IF('Master Sheet'!C92="Area 5 (Renuka A)",'Master Sheet'!A92,"")</f>
        <v/>
      </c>
      <c r="B91" t="str">
        <f>IF('Master Sheet'!C92="Area 5 (Renuka A)",'Master Sheet'!B92,"")</f>
        <v/>
      </c>
      <c r="C91" t="s">
        <v>8</v>
      </c>
      <c r="D91" t="str">
        <f>IF('Master Sheet'!C92="Area 5 (Renuka A)",'Master Sheet'!D92,"")</f>
        <v/>
      </c>
      <c r="E91" t="str">
        <f>IF('Master Sheet'!C92="Area 5 (Renuka A)",'Master Sheet'!E92,"")</f>
        <v/>
      </c>
      <c r="F91" t="str">
        <f>IF('Master Sheet'!C92="Area 5 (Renuka A)",'Master Sheet'!F92,"")</f>
        <v/>
      </c>
      <c r="G91" t="str">
        <f>IF('Master Sheet'!C92="Area 5 (Renuka A)",'Master Sheet'!G92,"")</f>
        <v/>
      </c>
      <c r="H91" t="str">
        <f>IF('Master Sheet'!C92="Area 5 (Renuka A)",'Master Sheet'!H92,"")</f>
        <v/>
      </c>
      <c r="I91" t="str">
        <f>IF('Master Sheet'!C92="Area 5 (Renuka A)",'Master Sheet'!I92,"")</f>
        <v/>
      </c>
      <c r="J91" t="str">
        <f>IF('Master Sheet'!C92="Area 5 (Renuka A)",'Master Sheet'!J92,"")</f>
        <v/>
      </c>
      <c r="K91" t="str">
        <f>IF('Master Sheet'!C92="Area 5 (Renuka A)",'Master Sheet'!K92,"")</f>
        <v/>
      </c>
      <c r="L91" t="str">
        <f>IF('Master Sheet'!C92="Area 5 (Renuka A)",'Master Sheet'!L92,"")</f>
        <v/>
      </c>
      <c r="M91" t="str">
        <f>IF('Master Sheet'!C92="Area 5 (Renuka A)",'Master Sheet'!M92,"")</f>
        <v/>
      </c>
      <c r="N91" t="str">
        <f>IF('Master Sheet'!C92="Area 5 (Renuka A)",'Master Sheet'!N92,"")</f>
        <v/>
      </c>
      <c r="O91" t="str">
        <f>IF('Master Sheet'!C92="Area 5 (Renuka A)",'Master Sheet'!O92,"")</f>
        <v/>
      </c>
      <c r="P91" t="str">
        <f>IF('Master Sheet'!C92="Area 5 (Renuka A)",'Master Sheet'!P92,"")</f>
        <v/>
      </c>
    </row>
    <row r="92" spans="1:16" hidden="1" x14ac:dyDescent="0.25">
      <c r="A92" t="str">
        <f>IF('Master Sheet'!C93="Area 5 (Renuka A)",'Master Sheet'!A93,"")</f>
        <v/>
      </c>
      <c r="B92" t="str">
        <f>IF('Master Sheet'!C93="Area 5 (Renuka A)",'Master Sheet'!B93,"")</f>
        <v/>
      </c>
      <c r="C92" t="s">
        <v>8</v>
      </c>
      <c r="D92" t="str">
        <f>IF('Master Sheet'!C93="Area 5 (Renuka A)",'Master Sheet'!D93,"")</f>
        <v/>
      </c>
      <c r="E92" t="str">
        <f>IF('Master Sheet'!C93="Area 5 (Renuka A)",'Master Sheet'!E93,"")</f>
        <v/>
      </c>
      <c r="F92" t="str">
        <f>IF('Master Sheet'!C93="Area 5 (Renuka A)",'Master Sheet'!F93,"")</f>
        <v/>
      </c>
      <c r="G92" t="str">
        <f>IF('Master Sheet'!C93="Area 5 (Renuka A)",'Master Sheet'!G93,"")</f>
        <v/>
      </c>
      <c r="H92" t="str">
        <f>IF('Master Sheet'!C93="Area 5 (Renuka A)",'Master Sheet'!H93,"")</f>
        <v/>
      </c>
      <c r="I92" t="str">
        <f>IF('Master Sheet'!C93="Area 5 (Renuka A)",'Master Sheet'!I93,"")</f>
        <v/>
      </c>
      <c r="J92" t="str">
        <f>IF('Master Sheet'!C93="Area 5 (Renuka A)",'Master Sheet'!J93,"")</f>
        <v/>
      </c>
      <c r="K92" t="str">
        <f>IF('Master Sheet'!C93="Area 5 (Renuka A)",'Master Sheet'!K93,"")</f>
        <v/>
      </c>
      <c r="L92" t="str">
        <f>IF('Master Sheet'!C93="Area 5 (Renuka A)",'Master Sheet'!L93,"")</f>
        <v/>
      </c>
      <c r="M92" t="str">
        <f>IF('Master Sheet'!C93="Area 5 (Renuka A)",'Master Sheet'!M93,"")</f>
        <v/>
      </c>
      <c r="N92" t="str">
        <f>IF('Master Sheet'!C93="Area 5 (Renuka A)",'Master Sheet'!N93,"")</f>
        <v/>
      </c>
      <c r="O92" t="str">
        <f>IF('Master Sheet'!C93="Area 5 (Renuka A)",'Master Sheet'!O93,"")</f>
        <v/>
      </c>
      <c r="P92" t="str">
        <f>IF('Master Sheet'!C93="Area 5 (Renuka A)",'Master Sheet'!P93,"")</f>
        <v/>
      </c>
    </row>
    <row r="93" spans="1:16" hidden="1" x14ac:dyDescent="0.25">
      <c r="A93" t="str">
        <f>IF('Master Sheet'!C94="Area 5 (Renuka A)",'Master Sheet'!A94,"")</f>
        <v/>
      </c>
      <c r="B93" t="str">
        <f>IF('Master Sheet'!C94="Area 5 (Renuka A)",'Master Sheet'!B94,"")</f>
        <v/>
      </c>
      <c r="C93" t="s">
        <v>8</v>
      </c>
      <c r="D93" t="str">
        <f>IF('Master Sheet'!C94="Area 5 (Renuka A)",'Master Sheet'!D94,"")</f>
        <v/>
      </c>
      <c r="E93" t="str">
        <f>IF('Master Sheet'!C94="Area 5 (Renuka A)",'Master Sheet'!E94,"")</f>
        <v/>
      </c>
      <c r="F93" t="str">
        <f>IF('Master Sheet'!C94="Area 5 (Renuka A)",'Master Sheet'!F94,"")</f>
        <v/>
      </c>
      <c r="G93" t="str">
        <f>IF('Master Sheet'!C94="Area 5 (Renuka A)",'Master Sheet'!G94,"")</f>
        <v/>
      </c>
      <c r="H93" t="str">
        <f>IF('Master Sheet'!C94="Area 5 (Renuka A)",'Master Sheet'!H94,"")</f>
        <v/>
      </c>
      <c r="I93" t="str">
        <f>IF('Master Sheet'!C94="Area 5 (Renuka A)",'Master Sheet'!I94,"")</f>
        <v/>
      </c>
      <c r="J93" t="str">
        <f>IF('Master Sheet'!C94="Area 5 (Renuka A)",'Master Sheet'!J94,"")</f>
        <v/>
      </c>
      <c r="K93" t="str">
        <f>IF('Master Sheet'!C94="Area 5 (Renuka A)",'Master Sheet'!K94,"")</f>
        <v/>
      </c>
      <c r="L93" t="str">
        <f>IF('Master Sheet'!C94="Area 5 (Renuka A)",'Master Sheet'!L94,"")</f>
        <v/>
      </c>
      <c r="M93" t="str">
        <f>IF('Master Sheet'!C94="Area 5 (Renuka A)",'Master Sheet'!M94,"")</f>
        <v/>
      </c>
      <c r="N93" t="str">
        <f>IF('Master Sheet'!C94="Area 5 (Renuka A)",'Master Sheet'!N94,"")</f>
        <v/>
      </c>
      <c r="O93" t="str">
        <f>IF('Master Sheet'!C94="Area 5 (Renuka A)",'Master Sheet'!O94,"")</f>
        <v/>
      </c>
      <c r="P93" t="str">
        <f>IF('Master Sheet'!C94="Area 5 (Renuka A)",'Master Sheet'!P94,"")</f>
        <v/>
      </c>
    </row>
    <row r="94" spans="1:16" hidden="1" x14ac:dyDescent="0.25">
      <c r="A94" t="str">
        <f>IF('Master Sheet'!C95="Area 5 (Renuka A)",'Master Sheet'!A95,"")</f>
        <v/>
      </c>
      <c r="B94" t="str">
        <f>IF('Master Sheet'!C95="Area 5 (Renuka A)",'Master Sheet'!B95,"")</f>
        <v/>
      </c>
      <c r="C94" t="s">
        <v>8</v>
      </c>
      <c r="D94" t="str">
        <f>IF('Master Sheet'!C95="Area 5 (Renuka A)",'Master Sheet'!D95,"")</f>
        <v/>
      </c>
      <c r="E94" t="str">
        <f>IF('Master Sheet'!C95="Area 5 (Renuka A)",'Master Sheet'!E95,"")</f>
        <v/>
      </c>
      <c r="F94" t="str">
        <f>IF('Master Sheet'!C95="Area 5 (Renuka A)",'Master Sheet'!F95,"")</f>
        <v/>
      </c>
      <c r="G94" t="str">
        <f>IF('Master Sheet'!C95="Area 5 (Renuka A)",'Master Sheet'!G95,"")</f>
        <v/>
      </c>
      <c r="H94" t="str">
        <f>IF('Master Sheet'!C95="Area 5 (Renuka A)",'Master Sheet'!H95,"")</f>
        <v/>
      </c>
      <c r="I94" t="str">
        <f>IF('Master Sheet'!C95="Area 5 (Renuka A)",'Master Sheet'!I95,"")</f>
        <v/>
      </c>
      <c r="J94" t="str">
        <f>IF('Master Sheet'!C95="Area 5 (Renuka A)",'Master Sheet'!J95,"")</f>
        <v/>
      </c>
      <c r="K94" t="str">
        <f>IF('Master Sheet'!C95="Area 5 (Renuka A)",'Master Sheet'!K95,"")</f>
        <v/>
      </c>
      <c r="L94" t="str">
        <f>IF('Master Sheet'!C95="Area 5 (Renuka A)",'Master Sheet'!L95,"")</f>
        <v/>
      </c>
      <c r="M94" t="str">
        <f>IF('Master Sheet'!C95="Area 5 (Renuka A)",'Master Sheet'!M95,"")</f>
        <v/>
      </c>
      <c r="N94" t="str">
        <f>IF('Master Sheet'!C95="Area 5 (Renuka A)",'Master Sheet'!N95,"")</f>
        <v/>
      </c>
      <c r="O94" t="str">
        <f>IF('Master Sheet'!C95="Area 5 (Renuka A)",'Master Sheet'!O95,"")</f>
        <v/>
      </c>
      <c r="P94" t="str">
        <f>IF('Master Sheet'!C95="Area 5 (Renuka A)",'Master Sheet'!P95,"")</f>
        <v/>
      </c>
    </row>
    <row r="95" spans="1:16" hidden="1" x14ac:dyDescent="0.25">
      <c r="A95" t="str">
        <f>IF('Master Sheet'!C96="Area 5 (Renuka A)",'Master Sheet'!A96,"")</f>
        <v/>
      </c>
      <c r="B95" t="str">
        <f>IF('Master Sheet'!C96="Area 5 (Renuka A)",'Master Sheet'!B96,"")</f>
        <v/>
      </c>
      <c r="C95" t="s">
        <v>8</v>
      </c>
      <c r="D95" t="str">
        <f>IF('Master Sheet'!C96="Area 5 (Renuka A)",'Master Sheet'!D96,"")</f>
        <v/>
      </c>
      <c r="E95" t="str">
        <f>IF('Master Sheet'!C96="Area 5 (Renuka A)",'Master Sheet'!E96,"")</f>
        <v/>
      </c>
      <c r="F95" t="str">
        <f>IF('Master Sheet'!C96="Area 5 (Renuka A)",'Master Sheet'!F96,"")</f>
        <v/>
      </c>
      <c r="G95" t="str">
        <f>IF('Master Sheet'!C96="Area 5 (Renuka A)",'Master Sheet'!G96,"")</f>
        <v/>
      </c>
      <c r="H95" t="str">
        <f>IF('Master Sheet'!C96="Area 5 (Renuka A)",'Master Sheet'!H96,"")</f>
        <v/>
      </c>
      <c r="I95" t="str">
        <f>IF('Master Sheet'!C96="Area 5 (Renuka A)",'Master Sheet'!I96,"")</f>
        <v/>
      </c>
      <c r="J95" t="str">
        <f>IF('Master Sheet'!C96="Area 5 (Renuka A)",'Master Sheet'!J96,"")</f>
        <v/>
      </c>
      <c r="K95" t="str">
        <f>IF('Master Sheet'!C96="Area 5 (Renuka A)",'Master Sheet'!K96,"")</f>
        <v/>
      </c>
      <c r="L95" t="str">
        <f>IF('Master Sheet'!C96="Area 5 (Renuka A)",'Master Sheet'!L96,"")</f>
        <v/>
      </c>
      <c r="M95" t="str">
        <f>IF('Master Sheet'!C96="Area 5 (Renuka A)",'Master Sheet'!M96,"")</f>
        <v/>
      </c>
      <c r="N95" t="str">
        <f>IF('Master Sheet'!C96="Area 5 (Renuka A)",'Master Sheet'!N96,"")</f>
        <v/>
      </c>
      <c r="O95" t="str">
        <f>IF('Master Sheet'!C96="Area 5 (Renuka A)",'Master Sheet'!O96,"")</f>
        <v/>
      </c>
      <c r="P95" t="str">
        <f>IF('Master Sheet'!C96="Area 5 (Renuka A)",'Master Sheet'!P96,"")</f>
        <v/>
      </c>
    </row>
    <row r="96" spans="1:16" hidden="1" x14ac:dyDescent="0.25">
      <c r="A96" t="str">
        <f>IF('Master Sheet'!C97="Area 5 (Renuka A)",'Master Sheet'!A97,"")</f>
        <v/>
      </c>
      <c r="B96" t="str">
        <f>IF('Master Sheet'!C97="Area 5 (Renuka A)",'Master Sheet'!B97,"")</f>
        <v/>
      </c>
      <c r="C96" t="s">
        <v>8</v>
      </c>
      <c r="D96" t="str">
        <f>IF('Master Sheet'!C97="Area 5 (Renuka A)",'Master Sheet'!D97,"")</f>
        <v/>
      </c>
      <c r="E96" t="str">
        <f>IF('Master Sheet'!C97="Area 5 (Renuka A)",'Master Sheet'!E97,"")</f>
        <v/>
      </c>
      <c r="F96" t="str">
        <f>IF('Master Sheet'!C97="Area 5 (Renuka A)",'Master Sheet'!F97,"")</f>
        <v/>
      </c>
      <c r="G96" t="str">
        <f>IF('Master Sheet'!C97="Area 5 (Renuka A)",'Master Sheet'!G97,"")</f>
        <v/>
      </c>
      <c r="H96" t="str">
        <f>IF('Master Sheet'!C97="Area 5 (Renuka A)",'Master Sheet'!H97,"")</f>
        <v/>
      </c>
      <c r="I96" t="str">
        <f>IF('Master Sheet'!C97="Area 5 (Renuka A)",'Master Sheet'!I97,"")</f>
        <v/>
      </c>
      <c r="J96" t="str">
        <f>IF('Master Sheet'!C97="Area 5 (Renuka A)",'Master Sheet'!J97,"")</f>
        <v/>
      </c>
      <c r="K96" t="str">
        <f>IF('Master Sheet'!C97="Area 5 (Renuka A)",'Master Sheet'!K97,"")</f>
        <v/>
      </c>
      <c r="L96" t="str">
        <f>IF('Master Sheet'!C97="Area 5 (Renuka A)",'Master Sheet'!L97,"")</f>
        <v/>
      </c>
      <c r="M96" t="str">
        <f>IF('Master Sheet'!C97="Area 5 (Renuka A)",'Master Sheet'!M97,"")</f>
        <v/>
      </c>
      <c r="N96" t="str">
        <f>IF('Master Sheet'!C97="Area 5 (Renuka A)",'Master Sheet'!N97,"")</f>
        <v/>
      </c>
      <c r="O96" t="str">
        <f>IF('Master Sheet'!C97="Area 5 (Renuka A)",'Master Sheet'!O97,"")</f>
        <v/>
      </c>
      <c r="P96" t="str">
        <f>IF('Master Sheet'!C97="Area 5 (Renuka A)",'Master Sheet'!P97,"")</f>
        <v/>
      </c>
    </row>
    <row r="97" spans="1:16" hidden="1" x14ac:dyDescent="0.25">
      <c r="A97" t="str">
        <f>IF('Master Sheet'!C98="Area 5 (Renuka A)",'Master Sheet'!A98,"")</f>
        <v/>
      </c>
      <c r="B97" t="str">
        <f>IF('Master Sheet'!C98="Area 5 (Renuka A)",'Master Sheet'!B98,"")</f>
        <v/>
      </c>
      <c r="C97" t="s">
        <v>8</v>
      </c>
      <c r="D97" t="str">
        <f>IF('Master Sheet'!C98="Area 5 (Renuka A)",'Master Sheet'!D98,"")</f>
        <v/>
      </c>
      <c r="E97" t="str">
        <f>IF('Master Sheet'!C98="Area 5 (Renuka A)",'Master Sheet'!E98,"")</f>
        <v/>
      </c>
      <c r="F97" t="str">
        <f>IF('Master Sheet'!C98="Area 5 (Renuka A)",'Master Sheet'!F98,"")</f>
        <v/>
      </c>
      <c r="G97" t="str">
        <f>IF('Master Sheet'!C98="Area 5 (Renuka A)",'Master Sheet'!G98,"")</f>
        <v/>
      </c>
      <c r="H97" t="str">
        <f>IF('Master Sheet'!C98="Area 5 (Renuka A)",'Master Sheet'!H98,"")</f>
        <v/>
      </c>
      <c r="I97" t="str">
        <f>IF('Master Sheet'!C98="Area 5 (Renuka A)",'Master Sheet'!I98,"")</f>
        <v/>
      </c>
      <c r="J97" t="str">
        <f>IF('Master Sheet'!C98="Area 5 (Renuka A)",'Master Sheet'!J98,"")</f>
        <v/>
      </c>
      <c r="K97" t="str">
        <f>IF('Master Sheet'!C98="Area 5 (Renuka A)",'Master Sheet'!K98,"")</f>
        <v/>
      </c>
      <c r="L97" t="str">
        <f>IF('Master Sheet'!C98="Area 5 (Renuka A)",'Master Sheet'!L98,"")</f>
        <v/>
      </c>
      <c r="M97" t="str">
        <f>IF('Master Sheet'!C98="Area 5 (Renuka A)",'Master Sheet'!M98,"")</f>
        <v/>
      </c>
      <c r="N97" t="str">
        <f>IF('Master Sheet'!C98="Area 5 (Renuka A)",'Master Sheet'!N98,"")</f>
        <v/>
      </c>
      <c r="O97" t="str">
        <f>IF('Master Sheet'!C98="Area 5 (Renuka A)",'Master Sheet'!O98,"")</f>
        <v/>
      </c>
      <c r="P97" t="str">
        <f>IF('Master Sheet'!C98="Area 5 (Renuka A)",'Master Sheet'!P98,"")</f>
        <v/>
      </c>
    </row>
    <row r="98" spans="1:16" hidden="1" x14ac:dyDescent="0.25">
      <c r="A98" t="str">
        <f>IF('Master Sheet'!C99="Area 5 (Renuka A)",'Master Sheet'!A99,"")</f>
        <v/>
      </c>
      <c r="B98" t="str">
        <f>IF('Master Sheet'!C99="Area 5 (Renuka A)",'Master Sheet'!B99,"")</f>
        <v/>
      </c>
      <c r="C98" t="s">
        <v>8</v>
      </c>
      <c r="D98" t="str">
        <f>IF('Master Sheet'!C99="Area 5 (Renuka A)",'Master Sheet'!D99,"")</f>
        <v/>
      </c>
      <c r="E98" t="str">
        <f>IF('Master Sheet'!C99="Area 5 (Renuka A)",'Master Sheet'!E99,"")</f>
        <v/>
      </c>
      <c r="F98" t="str">
        <f>IF('Master Sheet'!C99="Area 5 (Renuka A)",'Master Sheet'!F99,"")</f>
        <v/>
      </c>
      <c r="G98" t="str">
        <f>IF('Master Sheet'!C99="Area 5 (Renuka A)",'Master Sheet'!G99,"")</f>
        <v/>
      </c>
      <c r="H98" t="str">
        <f>IF('Master Sheet'!C99="Area 5 (Renuka A)",'Master Sheet'!H99,"")</f>
        <v/>
      </c>
      <c r="I98" t="str">
        <f>IF('Master Sheet'!C99="Area 5 (Renuka A)",'Master Sheet'!I99,"")</f>
        <v/>
      </c>
      <c r="J98" t="str">
        <f>IF('Master Sheet'!C99="Area 5 (Renuka A)",'Master Sheet'!J99,"")</f>
        <v/>
      </c>
      <c r="K98" t="str">
        <f>IF('Master Sheet'!C99="Area 5 (Renuka A)",'Master Sheet'!K99,"")</f>
        <v/>
      </c>
      <c r="L98" t="str">
        <f>IF('Master Sheet'!C99="Area 5 (Renuka A)",'Master Sheet'!L99,"")</f>
        <v/>
      </c>
      <c r="M98" t="str">
        <f>IF('Master Sheet'!C99="Area 5 (Renuka A)",'Master Sheet'!M99,"")</f>
        <v/>
      </c>
      <c r="N98" t="str">
        <f>IF('Master Sheet'!C99="Area 5 (Renuka A)",'Master Sheet'!N99,"")</f>
        <v/>
      </c>
      <c r="O98" t="str">
        <f>IF('Master Sheet'!C99="Area 5 (Renuka A)",'Master Sheet'!O99,"")</f>
        <v/>
      </c>
      <c r="P98" t="str">
        <f>IF('Master Sheet'!C99="Area 5 (Renuka A)",'Master Sheet'!P99,"")</f>
        <v/>
      </c>
    </row>
    <row r="99" spans="1:16" hidden="1" x14ac:dyDescent="0.25">
      <c r="A99" t="str">
        <f>IF('Master Sheet'!C100="Area 5 (Renuka A)",'Master Sheet'!A100,"")</f>
        <v/>
      </c>
      <c r="B99" t="str">
        <f>IF('Master Sheet'!C100="Area 5 (Renuka A)",'Master Sheet'!B100,"")</f>
        <v/>
      </c>
      <c r="C99" t="s">
        <v>8</v>
      </c>
      <c r="D99" t="str">
        <f>IF('Master Sheet'!C100="Area 5 (Renuka A)",'Master Sheet'!D100,"")</f>
        <v/>
      </c>
      <c r="E99" t="str">
        <f>IF('Master Sheet'!C100="Area 5 (Renuka A)",'Master Sheet'!E100,"")</f>
        <v/>
      </c>
      <c r="F99" t="str">
        <f>IF('Master Sheet'!C100="Area 5 (Renuka A)",'Master Sheet'!F100,"")</f>
        <v/>
      </c>
      <c r="G99" t="str">
        <f>IF('Master Sheet'!C100="Area 5 (Renuka A)",'Master Sheet'!G100,"")</f>
        <v/>
      </c>
      <c r="H99" t="str">
        <f>IF('Master Sheet'!C100="Area 5 (Renuka A)",'Master Sheet'!H100,"")</f>
        <v/>
      </c>
      <c r="I99" t="str">
        <f>IF('Master Sheet'!C100="Area 5 (Renuka A)",'Master Sheet'!I100,"")</f>
        <v/>
      </c>
      <c r="J99" t="str">
        <f>IF('Master Sheet'!C100="Area 5 (Renuka A)",'Master Sheet'!J100,"")</f>
        <v/>
      </c>
      <c r="K99" t="str">
        <f>IF('Master Sheet'!C100="Area 5 (Renuka A)",'Master Sheet'!K100,"")</f>
        <v/>
      </c>
      <c r="L99" t="str">
        <f>IF('Master Sheet'!C100="Area 5 (Renuka A)",'Master Sheet'!L100,"")</f>
        <v/>
      </c>
      <c r="M99" t="str">
        <f>IF('Master Sheet'!C100="Area 5 (Renuka A)",'Master Sheet'!M100,"")</f>
        <v/>
      </c>
      <c r="N99" t="str">
        <f>IF('Master Sheet'!C100="Area 5 (Renuka A)",'Master Sheet'!N100,"")</f>
        <v/>
      </c>
      <c r="O99" t="str">
        <f>IF('Master Sheet'!C100="Area 5 (Renuka A)",'Master Sheet'!O100,"")</f>
        <v/>
      </c>
      <c r="P99" t="str">
        <f>IF('Master Sheet'!C100="Area 5 (Renuka A)",'Master Sheet'!P100,"")</f>
        <v/>
      </c>
    </row>
    <row r="100" spans="1:16" hidden="1" x14ac:dyDescent="0.25">
      <c r="A100" t="str">
        <f>IF('Master Sheet'!C101="Area 5 (Renuka A)",'Master Sheet'!A101,"")</f>
        <v/>
      </c>
      <c r="B100" t="str">
        <f>IF('Master Sheet'!C101="Area 5 (Renuka A)",'Master Sheet'!B101,"")</f>
        <v/>
      </c>
      <c r="C100" t="s">
        <v>8</v>
      </c>
      <c r="D100" t="str">
        <f>IF('Master Sheet'!C101="Area 5 (Renuka A)",'Master Sheet'!D101,"")</f>
        <v/>
      </c>
      <c r="E100" t="str">
        <f>IF('Master Sheet'!C101="Area 5 (Renuka A)",'Master Sheet'!E101,"")</f>
        <v/>
      </c>
      <c r="F100" t="str">
        <f>IF('Master Sheet'!C101="Area 5 (Renuka A)",'Master Sheet'!F101,"")</f>
        <v/>
      </c>
      <c r="G100" t="str">
        <f>IF('Master Sheet'!C101="Area 5 (Renuka A)",'Master Sheet'!G101,"")</f>
        <v/>
      </c>
      <c r="H100" t="str">
        <f>IF('Master Sheet'!C101="Area 5 (Renuka A)",'Master Sheet'!H101,"")</f>
        <v/>
      </c>
      <c r="I100" t="str">
        <f>IF('Master Sheet'!C101="Area 5 (Renuka A)",'Master Sheet'!I101,"")</f>
        <v/>
      </c>
      <c r="J100" t="str">
        <f>IF('Master Sheet'!C101="Area 5 (Renuka A)",'Master Sheet'!J101,"")</f>
        <v/>
      </c>
      <c r="K100" t="str">
        <f>IF('Master Sheet'!C101="Area 5 (Renuka A)",'Master Sheet'!K101,"")</f>
        <v/>
      </c>
      <c r="L100" t="str">
        <f>IF('Master Sheet'!C101="Area 5 (Renuka A)",'Master Sheet'!L101,"")</f>
        <v/>
      </c>
      <c r="M100" t="str">
        <f>IF('Master Sheet'!C101="Area 5 (Renuka A)",'Master Sheet'!M101,"")</f>
        <v/>
      </c>
      <c r="N100" t="str">
        <f>IF('Master Sheet'!C101="Area 5 (Renuka A)",'Master Sheet'!N101,"")</f>
        <v/>
      </c>
      <c r="O100" t="str">
        <f>IF('Master Sheet'!C101="Area 5 (Renuka A)",'Master Sheet'!O101,"")</f>
        <v/>
      </c>
      <c r="P100" t="str">
        <f>IF('Master Sheet'!C101="Area 5 (Renuka A)",'Master Sheet'!P101,"")</f>
        <v/>
      </c>
    </row>
    <row r="101" spans="1:16" hidden="1" x14ac:dyDescent="0.25">
      <c r="A101" t="str">
        <f>IF('Master Sheet'!C102="Area 5 (Renuka A)",'Master Sheet'!A102,"")</f>
        <v/>
      </c>
      <c r="B101" t="str">
        <f>IF('Master Sheet'!C102="Area 5 (Renuka A)",'Master Sheet'!B102,"")</f>
        <v/>
      </c>
      <c r="C101" t="s">
        <v>8</v>
      </c>
      <c r="D101" t="str">
        <f>IF('Master Sheet'!C102="Area 5 (Renuka A)",'Master Sheet'!D102,"")</f>
        <v/>
      </c>
      <c r="E101" t="str">
        <f>IF('Master Sheet'!C102="Area 5 (Renuka A)",'Master Sheet'!E102,"")</f>
        <v/>
      </c>
      <c r="F101" t="str">
        <f>IF('Master Sheet'!C102="Area 5 (Renuka A)",'Master Sheet'!F102,"")</f>
        <v/>
      </c>
      <c r="G101" t="str">
        <f>IF('Master Sheet'!C102="Area 5 (Renuka A)",'Master Sheet'!G102,"")</f>
        <v/>
      </c>
      <c r="H101" t="str">
        <f>IF('Master Sheet'!C102="Area 5 (Renuka A)",'Master Sheet'!H102,"")</f>
        <v/>
      </c>
      <c r="I101" t="str">
        <f>IF('Master Sheet'!C102="Area 5 (Renuka A)",'Master Sheet'!I102,"")</f>
        <v/>
      </c>
      <c r="J101" t="str">
        <f>IF('Master Sheet'!C102="Area 5 (Renuka A)",'Master Sheet'!J102,"")</f>
        <v/>
      </c>
      <c r="K101" t="str">
        <f>IF('Master Sheet'!C102="Area 5 (Renuka A)",'Master Sheet'!K102,"")</f>
        <v/>
      </c>
      <c r="L101" t="str">
        <f>IF('Master Sheet'!C102="Area 5 (Renuka A)",'Master Sheet'!L102,"")</f>
        <v/>
      </c>
      <c r="M101" t="str">
        <f>IF('Master Sheet'!C102="Area 5 (Renuka A)",'Master Sheet'!M102,"")</f>
        <v/>
      </c>
      <c r="N101" t="str">
        <f>IF('Master Sheet'!C102="Area 5 (Renuka A)",'Master Sheet'!N102,"")</f>
        <v/>
      </c>
      <c r="O101" t="str">
        <f>IF('Master Sheet'!C102="Area 5 (Renuka A)",'Master Sheet'!O102,"")</f>
        <v/>
      </c>
      <c r="P101" t="str">
        <f>IF('Master Sheet'!C102="Area 5 (Renuka A)",'Master Sheet'!P102,"")</f>
        <v/>
      </c>
    </row>
    <row r="102" spans="1:16" hidden="1" x14ac:dyDescent="0.25">
      <c r="A102" t="str">
        <f>IF('Master Sheet'!C103="Area 5 (Renuka A)",'Master Sheet'!A103,"")</f>
        <v/>
      </c>
      <c r="B102" t="str">
        <f>IF('Master Sheet'!C103="Area 5 (Renuka A)",'Master Sheet'!B103,"")</f>
        <v/>
      </c>
      <c r="C102" t="s">
        <v>8</v>
      </c>
      <c r="D102" t="str">
        <f>IF('Master Sheet'!C103="Area 5 (Renuka A)",'Master Sheet'!D103,"")</f>
        <v/>
      </c>
      <c r="E102" t="str">
        <f>IF('Master Sheet'!C103="Area 5 (Renuka A)",'Master Sheet'!E103,"")</f>
        <v/>
      </c>
      <c r="F102" t="str">
        <f>IF('Master Sheet'!C103="Area 5 (Renuka A)",'Master Sheet'!F103,"")</f>
        <v/>
      </c>
      <c r="G102" t="str">
        <f>IF('Master Sheet'!C103="Area 5 (Renuka A)",'Master Sheet'!G103,"")</f>
        <v/>
      </c>
      <c r="H102" t="str">
        <f>IF('Master Sheet'!C103="Area 5 (Renuka A)",'Master Sheet'!H103,"")</f>
        <v/>
      </c>
      <c r="I102" t="str">
        <f>IF('Master Sheet'!C103="Area 5 (Renuka A)",'Master Sheet'!I103,"")</f>
        <v/>
      </c>
      <c r="J102" t="str">
        <f>IF('Master Sheet'!C103="Area 5 (Renuka A)",'Master Sheet'!J103,"")</f>
        <v/>
      </c>
      <c r="K102" t="str">
        <f>IF('Master Sheet'!C103="Area 5 (Renuka A)",'Master Sheet'!K103,"")</f>
        <v/>
      </c>
      <c r="L102" t="str">
        <f>IF('Master Sheet'!C103="Area 5 (Renuka A)",'Master Sheet'!L103,"")</f>
        <v/>
      </c>
      <c r="M102" t="str">
        <f>IF('Master Sheet'!C103="Area 5 (Renuka A)",'Master Sheet'!M103,"")</f>
        <v/>
      </c>
      <c r="N102" t="str">
        <f>IF('Master Sheet'!C103="Area 5 (Renuka A)",'Master Sheet'!N103,"")</f>
        <v/>
      </c>
      <c r="O102" t="str">
        <f>IF('Master Sheet'!C103="Area 5 (Renuka A)",'Master Sheet'!O103,"")</f>
        <v/>
      </c>
      <c r="P102" t="str">
        <f>IF('Master Sheet'!C103="Area 5 (Renuka A)",'Master Sheet'!P103,"")</f>
        <v/>
      </c>
    </row>
    <row r="103" spans="1:16" hidden="1" x14ac:dyDescent="0.25">
      <c r="A103" t="str">
        <f>IF('Master Sheet'!C104="Area 5 (Renuka A)",'Master Sheet'!A104,"")</f>
        <v/>
      </c>
      <c r="B103" t="str">
        <f>IF('Master Sheet'!C104="Area 5 (Renuka A)",'Master Sheet'!B104,"")</f>
        <v/>
      </c>
      <c r="C103" t="s">
        <v>8</v>
      </c>
      <c r="D103" t="str">
        <f>IF('Master Sheet'!C104="Area 5 (Renuka A)",'Master Sheet'!D104,"")</f>
        <v/>
      </c>
      <c r="E103" t="str">
        <f>IF('Master Sheet'!C104="Area 5 (Renuka A)",'Master Sheet'!E104,"")</f>
        <v/>
      </c>
      <c r="F103" t="str">
        <f>IF('Master Sheet'!C104="Area 5 (Renuka A)",'Master Sheet'!F104,"")</f>
        <v/>
      </c>
      <c r="G103" t="str">
        <f>IF('Master Sheet'!C104="Area 5 (Renuka A)",'Master Sheet'!G104,"")</f>
        <v/>
      </c>
      <c r="H103" t="str">
        <f>IF('Master Sheet'!C104="Area 5 (Renuka A)",'Master Sheet'!H104,"")</f>
        <v/>
      </c>
      <c r="I103" t="str">
        <f>IF('Master Sheet'!C104="Area 5 (Renuka A)",'Master Sheet'!I104,"")</f>
        <v/>
      </c>
      <c r="J103" t="str">
        <f>IF('Master Sheet'!C104="Area 5 (Renuka A)",'Master Sheet'!J104,"")</f>
        <v/>
      </c>
      <c r="K103" t="str">
        <f>IF('Master Sheet'!C104="Area 5 (Renuka A)",'Master Sheet'!K104,"")</f>
        <v/>
      </c>
      <c r="L103" t="str">
        <f>IF('Master Sheet'!C104="Area 5 (Renuka A)",'Master Sheet'!L104,"")</f>
        <v/>
      </c>
      <c r="M103" t="str">
        <f>IF('Master Sheet'!C104="Area 5 (Renuka A)",'Master Sheet'!M104,"")</f>
        <v/>
      </c>
      <c r="N103" t="str">
        <f>IF('Master Sheet'!C104="Area 5 (Renuka A)",'Master Sheet'!N104,"")</f>
        <v/>
      </c>
      <c r="O103" t="str">
        <f>IF('Master Sheet'!C104="Area 5 (Renuka A)",'Master Sheet'!O104,"")</f>
        <v/>
      </c>
      <c r="P103" t="str">
        <f>IF('Master Sheet'!C104="Area 5 (Renuka A)",'Master Sheet'!P104,"")</f>
        <v/>
      </c>
    </row>
    <row r="104" spans="1:16" hidden="1" x14ac:dyDescent="0.25">
      <c r="A104" t="str">
        <f>IF('Master Sheet'!C105="Area 5 (Renuka A)",'Master Sheet'!A105,"")</f>
        <v/>
      </c>
      <c r="B104" t="str">
        <f>IF('Master Sheet'!C105="Area 5 (Renuka A)",'Master Sheet'!B105,"")</f>
        <v/>
      </c>
      <c r="C104" t="s">
        <v>8</v>
      </c>
      <c r="D104" t="str">
        <f>IF('Master Sheet'!C105="Area 5 (Renuka A)",'Master Sheet'!D105,"")</f>
        <v/>
      </c>
      <c r="E104" t="str">
        <f>IF('Master Sheet'!C105="Area 5 (Renuka A)",'Master Sheet'!E105,"")</f>
        <v/>
      </c>
      <c r="F104" t="str">
        <f>IF('Master Sheet'!C105="Area 5 (Renuka A)",'Master Sheet'!F105,"")</f>
        <v/>
      </c>
      <c r="G104" t="str">
        <f>IF('Master Sheet'!C105="Area 5 (Renuka A)",'Master Sheet'!G105,"")</f>
        <v/>
      </c>
      <c r="H104" t="str">
        <f>IF('Master Sheet'!C105="Area 5 (Renuka A)",'Master Sheet'!H105,"")</f>
        <v/>
      </c>
      <c r="I104" t="str">
        <f>IF('Master Sheet'!C105="Area 5 (Renuka A)",'Master Sheet'!I105,"")</f>
        <v/>
      </c>
      <c r="J104" t="str">
        <f>IF('Master Sheet'!C105="Area 5 (Renuka A)",'Master Sheet'!J105,"")</f>
        <v/>
      </c>
      <c r="K104" t="str">
        <f>IF('Master Sheet'!C105="Area 5 (Renuka A)",'Master Sheet'!K105,"")</f>
        <v/>
      </c>
      <c r="L104" t="str">
        <f>IF('Master Sheet'!C105="Area 5 (Renuka A)",'Master Sheet'!L105,"")</f>
        <v/>
      </c>
      <c r="M104" t="str">
        <f>IF('Master Sheet'!C105="Area 5 (Renuka A)",'Master Sheet'!M105,"")</f>
        <v/>
      </c>
      <c r="N104" t="str">
        <f>IF('Master Sheet'!C105="Area 5 (Renuka A)",'Master Sheet'!N105,"")</f>
        <v/>
      </c>
      <c r="O104" t="str">
        <f>IF('Master Sheet'!C105="Area 5 (Renuka A)",'Master Sheet'!O105,"")</f>
        <v/>
      </c>
      <c r="P104" t="str">
        <f>IF('Master Sheet'!C105="Area 5 (Renuka A)",'Master Sheet'!P105,"")</f>
        <v/>
      </c>
    </row>
    <row r="105" spans="1:16" hidden="1" x14ac:dyDescent="0.25">
      <c r="A105" t="str">
        <f>IF('Master Sheet'!C106="Area 5 (Renuka A)",'Master Sheet'!A106,"")</f>
        <v/>
      </c>
      <c r="B105" t="str">
        <f>IF('Master Sheet'!C106="Area 5 (Renuka A)",'Master Sheet'!B106,"")</f>
        <v/>
      </c>
      <c r="C105" t="s">
        <v>8</v>
      </c>
      <c r="D105" t="str">
        <f>IF('Master Sheet'!C106="Area 5 (Renuka A)",'Master Sheet'!D106,"")</f>
        <v/>
      </c>
      <c r="E105" t="str">
        <f>IF('Master Sheet'!C106="Area 5 (Renuka A)",'Master Sheet'!E106,"")</f>
        <v/>
      </c>
      <c r="F105" t="str">
        <f>IF('Master Sheet'!C106="Area 5 (Renuka A)",'Master Sheet'!F106,"")</f>
        <v/>
      </c>
      <c r="G105" t="str">
        <f>IF('Master Sheet'!C106="Area 5 (Renuka A)",'Master Sheet'!G106,"")</f>
        <v/>
      </c>
      <c r="H105" t="str">
        <f>IF('Master Sheet'!C106="Area 5 (Renuka A)",'Master Sheet'!H106,"")</f>
        <v/>
      </c>
      <c r="I105" t="str">
        <f>IF('Master Sheet'!C106="Area 5 (Renuka A)",'Master Sheet'!I106,"")</f>
        <v/>
      </c>
      <c r="J105" t="str">
        <f>IF('Master Sheet'!C106="Area 5 (Renuka A)",'Master Sheet'!J106,"")</f>
        <v/>
      </c>
      <c r="K105" t="str">
        <f>IF('Master Sheet'!C106="Area 5 (Renuka A)",'Master Sheet'!K106,"")</f>
        <v/>
      </c>
      <c r="L105" t="str">
        <f>IF('Master Sheet'!C106="Area 5 (Renuka A)",'Master Sheet'!L106,"")</f>
        <v/>
      </c>
      <c r="M105" t="str">
        <f>IF('Master Sheet'!C106="Area 5 (Renuka A)",'Master Sheet'!M106,"")</f>
        <v/>
      </c>
      <c r="N105" t="str">
        <f>IF('Master Sheet'!C106="Area 5 (Renuka A)",'Master Sheet'!N106,"")</f>
        <v/>
      </c>
      <c r="O105" t="str">
        <f>IF('Master Sheet'!C106="Area 5 (Renuka A)",'Master Sheet'!O106,"")</f>
        <v/>
      </c>
      <c r="P105" t="str">
        <f>IF('Master Sheet'!C106="Area 5 (Renuka A)",'Master Sheet'!P106,"")</f>
        <v/>
      </c>
    </row>
    <row r="106" spans="1:16" hidden="1" x14ac:dyDescent="0.25">
      <c r="A106" t="str">
        <f>IF('Master Sheet'!C107="Area 5 (Renuka A)",'Master Sheet'!A107,"")</f>
        <v/>
      </c>
      <c r="B106" t="str">
        <f>IF('Master Sheet'!C107="Area 5 (Renuka A)",'Master Sheet'!B107,"")</f>
        <v/>
      </c>
      <c r="C106" t="s">
        <v>8</v>
      </c>
      <c r="D106" t="str">
        <f>IF('Master Sheet'!C107="Area 5 (Renuka A)",'Master Sheet'!D107,"")</f>
        <v/>
      </c>
      <c r="E106" t="str">
        <f>IF('Master Sheet'!C107="Area 5 (Renuka A)",'Master Sheet'!E107,"")</f>
        <v/>
      </c>
      <c r="F106" t="str">
        <f>IF('Master Sheet'!C107="Area 5 (Renuka A)",'Master Sheet'!F107,"")</f>
        <v/>
      </c>
      <c r="G106" t="str">
        <f>IF('Master Sheet'!C107="Area 5 (Renuka A)",'Master Sheet'!G107,"")</f>
        <v/>
      </c>
      <c r="H106" t="str">
        <f>IF('Master Sheet'!C107="Area 5 (Renuka A)",'Master Sheet'!H107,"")</f>
        <v/>
      </c>
      <c r="I106" t="str">
        <f>IF('Master Sheet'!C107="Area 5 (Renuka A)",'Master Sheet'!I107,"")</f>
        <v/>
      </c>
      <c r="J106" t="str">
        <f>IF('Master Sheet'!C107="Area 5 (Renuka A)",'Master Sheet'!J107,"")</f>
        <v/>
      </c>
      <c r="K106" t="str">
        <f>IF('Master Sheet'!C107="Area 5 (Renuka A)",'Master Sheet'!K107,"")</f>
        <v/>
      </c>
      <c r="L106" t="str">
        <f>IF('Master Sheet'!C107="Area 5 (Renuka A)",'Master Sheet'!L107,"")</f>
        <v/>
      </c>
      <c r="M106" t="str">
        <f>IF('Master Sheet'!C107="Area 5 (Renuka A)",'Master Sheet'!M107,"")</f>
        <v/>
      </c>
      <c r="N106" t="str">
        <f>IF('Master Sheet'!C107="Area 5 (Renuka A)",'Master Sheet'!N107,"")</f>
        <v/>
      </c>
      <c r="O106" t="str">
        <f>IF('Master Sheet'!C107="Area 5 (Renuka A)",'Master Sheet'!O107,"")</f>
        <v/>
      </c>
      <c r="P106" t="str">
        <f>IF('Master Sheet'!C107="Area 5 (Renuka A)",'Master Sheet'!P107,"")</f>
        <v/>
      </c>
    </row>
    <row r="107" spans="1:16" hidden="1" x14ac:dyDescent="0.25">
      <c r="A107" t="str">
        <f>IF('Master Sheet'!C108="Area 5 (Renuka A)",'Master Sheet'!A108,"")</f>
        <v/>
      </c>
      <c r="B107" t="str">
        <f>IF('Master Sheet'!C108="Area 5 (Renuka A)",'Master Sheet'!B108,"")</f>
        <v/>
      </c>
      <c r="C107" t="s">
        <v>8</v>
      </c>
      <c r="D107" t="str">
        <f>IF('Master Sheet'!C108="Area 5 (Renuka A)",'Master Sheet'!D108,"")</f>
        <v/>
      </c>
      <c r="E107" t="str">
        <f>IF('Master Sheet'!C108="Area 5 (Renuka A)",'Master Sheet'!E108,"")</f>
        <v/>
      </c>
      <c r="F107" t="str">
        <f>IF('Master Sheet'!C108="Area 5 (Renuka A)",'Master Sheet'!F108,"")</f>
        <v/>
      </c>
      <c r="G107" t="str">
        <f>IF('Master Sheet'!C108="Area 5 (Renuka A)",'Master Sheet'!G108,"")</f>
        <v/>
      </c>
      <c r="H107" t="str">
        <f>IF('Master Sheet'!C108="Area 5 (Renuka A)",'Master Sheet'!H108,"")</f>
        <v/>
      </c>
      <c r="I107" t="str">
        <f>IF('Master Sheet'!C108="Area 5 (Renuka A)",'Master Sheet'!I108,"")</f>
        <v/>
      </c>
      <c r="J107" t="str">
        <f>IF('Master Sheet'!C108="Area 5 (Renuka A)",'Master Sheet'!J108,"")</f>
        <v/>
      </c>
      <c r="K107" t="str">
        <f>IF('Master Sheet'!C108="Area 5 (Renuka A)",'Master Sheet'!K108,"")</f>
        <v/>
      </c>
      <c r="L107" t="str">
        <f>IF('Master Sheet'!C108="Area 5 (Renuka A)",'Master Sheet'!L108,"")</f>
        <v/>
      </c>
      <c r="M107" t="str">
        <f>IF('Master Sheet'!C108="Area 5 (Renuka A)",'Master Sheet'!M108,"")</f>
        <v/>
      </c>
      <c r="N107" t="str">
        <f>IF('Master Sheet'!C108="Area 5 (Renuka A)",'Master Sheet'!N108,"")</f>
        <v/>
      </c>
      <c r="O107" t="str">
        <f>IF('Master Sheet'!C108="Area 5 (Renuka A)",'Master Sheet'!O108,"")</f>
        <v/>
      </c>
      <c r="P107" t="str">
        <f>IF('Master Sheet'!C108="Area 5 (Renuka A)",'Master Sheet'!P108,"")</f>
        <v/>
      </c>
    </row>
    <row r="108" spans="1:16" hidden="1" x14ac:dyDescent="0.25">
      <c r="A108" t="str">
        <f>IF('Master Sheet'!C109="Area 5 (Renuka A)",'Master Sheet'!A109,"")</f>
        <v/>
      </c>
      <c r="B108" t="str">
        <f>IF('Master Sheet'!C109="Area 5 (Renuka A)",'Master Sheet'!B109,"")</f>
        <v/>
      </c>
      <c r="C108" t="s">
        <v>8</v>
      </c>
      <c r="D108" t="str">
        <f>IF('Master Sheet'!C109="Area 5 (Renuka A)",'Master Sheet'!D109,"")</f>
        <v/>
      </c>
      <c r="E108" t="str">
        <f>IF('Master Sheet'!C109="Area 5 (Renuka A)",'Master Sheet'!E109,"")</f>
        <v/>
      </c>
      <c r="F108" t="str">
        <f>IF('Master Sheet'!C109="Area 5 (Renuka A)",'Master Sheet'!F109,"")</f>
        <v/>
      </c>
      <c r="G108" t="str">
        <f>IF('Master Sheet'!C109="Area 5 (Renuka A)",'Master Sheet'!G109,"")</f>
        <v/>
      </c>
      <c r="H108" t="str">
        <f>IF('Master Sheet'!C109="Area 5 (Renuka A)",'Master Sheet'!H109,"")</f>
        <v/>
      </c>
      <c r="I108" t="str">
        <f>IF('Master Sheet'!C109="Area 5 (Renuka A)",'Master Sheet'!I109,"")</f>
        <v/>
      </c>
      <c r="J108" t="str">
        <f>IF('Master Sheet'!C109="Area 5 (Renuka A)",'Master Sheet'!J109,"")</f>
        <v/>
      </c>
      <c r="K108" t="str">
        <f>IF('Master Sheet'!C109="Area 5 (Renuka A)",'Master Sheet'!K109,"")</f>
        <v/>
      </c>
      <c r="L108" t="str">
        <f>IF('Master Sheet'!C109="Area 5 (Renuka A)",'Master Sheet'!L109,"")</f>
        <v/>
      </c>
      <c r="M108" t="str">
        <f>IF('Master Sheet'!C109="Area 5 (Renuka A)",'Master Sheet'!M109,"")</f>
        <v/>
      </c>
      <c r="N108" t="str">
        <f>IF('Master Sheet'!C109="Area 5 (Renuka A)",'Master Sheet'!N109,"")</f>
        <v/>
      </c>
      <c r="O108" t="str">
        <f>IF('Master Sheet'!C109="Area 5 (Renuka A)",'Master Sheet'!O109,"")</f>
        <v/>
      </c>
      <c r="P108" t="str">
        <f>IF('Master Sheet'!C109="Area 5 (Renuka A)",'Master Sheet'!P109,"")</f>
        <v/>
      </c>
    </row>
    <row r="109" spans="1:16" hidden="1" x14ac:dyDescent="0.25">
      <c r="A109" t="str">
        <f>IF('Master Sheet'!C110="Area 5 (Renuka A)",'Master Sheet'!A110,"")</f>
        <v/>
      </c>
      <c r="B109" t="str">
        <f>IF('Master Sheet'!C110="Area 5 (Renuka A)",'Master Sheet'!B110,"")</f>
        <v/>
      </c>
      <c r="C109" t="s">
        <v>8</v>
      </c>
      <c r="D109" t="str">
        <f>IF('Master Sheet'!C110="Area 5 (Renuka A)",'Master Sheet'!D110,"")</f>
        <v/>
      </c>
      <c r="E109" t="str">
        <f>IF('Master Sheet'!C110="Area 5 (Renuka A)",'Master Sheet'!E110,"")</f>
        <v/>
      </c>
      <c r="F109" t="str">
        <f>IF('Master Sheet'!C110="Area 5 (Renuka A)",'Master Sheet'!F110,"")</f>
        <v/>
      </c>
      <c r="G109" t="str">
        <f>IF('Master Sheet'!C110="Area 5 (Renuka A)",'Master Sheet'!G110,"")</f>
        <v/>
      </c>
      <c r="H109" t="str">
        <f>IF('Master Sheet'!C110="Area 5 (Renuka A)",'Master Sheet'!H110,"")</f>
        <v/>
      </c>
      <c r="I109" t="str">
        <f>IF('Master Sheet'!C110="Area 5 (Renuka A)",'Master Sheet'!I110,"")</f>
        <v/>
      </c>
      <c r="J109" t="str">
        <f>IF('Master Sheet'!C110="Area 5 (Renuka A)",'Master Sheet'!J110,"")</f>
        <v/>
      </c>
      <c r="K109" t="str">
        <f>IF('Master Sheet'!C110="Area 5 (Renuka A)",'Master Sheet'!K110,"")</f>
        <v/>
      </c>
      <c r="L109" t="str">
        <f>IF('Master Sheet'!C110="Area 5 (Renuka A)",'Master Sheet'!L110,"")</f>
        <v/>
      </c>
      <c r="M109" t="str">
        <f>IF('Master Sheet'!C110="Area 5 (Renuka A)",'Master Sheet'!M110,"")</f>
        <v/>
      </c>
      <c r="N109" t="str">
        <f>IF('Master Sheet'!C110="Area 5 (Renuka A)",'Master Sheet'!N110,"")</f>
        <v/>
      </c>
      <c r="O109" t="str">
        <f>IF('Master Sheet'!C110="Area 5 (Renuka A)",'Master Sheet'!O110,"")</f>
        <v/>
      </c>
      <c r="P109" t="str">
        <f>IF('Master Sheet'!C110="Area 5 (Renuka A)",'Master Sheet'!P110,"")</f>
        <v/>
      </c>
    </row>
    <row r="110" spans="1:16" hidden="1" x14ac:dyDescent="0.25">
      <c r="A110" t="str">
        <f>IF('Master Sheet'!C111="Area 5 (Renuka A)",'Master Sheet'!A111,"")</f>
        <v/>
      </c>
      <c r="B110" t="str">
        <f>IF('Master Sheet'!C111="Area 5 (Renuka A)",'Master Sheet'!B111,"")</f>
        <v/>
      </c>
      <c r="C110" t="s">
        <v>8</v>
      </c>
      <c r="D110" t="str">
        <f>IF('Master Sheet'!C111="Area 5 (Renuka A)",'Master Sheet'!D111,"")</f>
        <v/>
      </c>
      <c r="E110" t="str">
        <f>IF('Master Sheet'!C111="Area 5 (Renuka A)",'Master Sheet'!E111,"")</f>
        <v/>
      </c>
      <c r="F110" t="str">
        <f>IF('Master Sheet'!C111="Area 5 (Renuka A)",'Master Sheet'!F111,"")</f>
        <v/>
      </c>
      <c r="G110" t="str">
        <f>IF('Master Sheet'!C111="Area 5 (Renuka A)",'Master Sheet'!G111,"")</f>
        <v/>
      </c>
      <c r="H110" t="str">
        <f>IF('Master Sheet'!C111="Area 5 (Renuka A)",'Master Sheet'!H111,"")</f>
        <v/>
      </c>
      <c r="I110" t="str">
        <f>IF('Master Sheet'!C111="Area 5 (Renuka A)",'Master Sheet'!I111,"")</f>
        <v/>
      </c>
      <c r="J110" t="str">
        <f>IF('Master Sheet'!C111="Area 5 (Renuka A)",'Master Sheet'!J111,"")</f>
        <v/>
      </c>
      <c r="K110" t="str">
        <f>IF('Master Sheet'!C111="Area 5 (Renuka A)",'Master Sheet'!K111,"")</f>
        <v/>
      </c>
      <c r="L110" t="str">
        <f>IF('Master Sheet'!C111="Area 5 (Renuka A)",'Master Sheet'!L111,"")</f>
        <v/>
      </c>
      <c r="M110" t="str">
        <f>IF('Master Sheet'!C111="Area 5 (Renuka A)",'Master Sheet'!M111,"")</f>
        <v/>
      </c>
      <c r="N110" t="str">
        <f>IF('Master Sheet'!C111="Area 5 (Renuka A)",'Master Sheet'!N111,"")</f>
        <v/>
      </c>
      <c r="O110" t="str">
        <f>IF('Master Sheet'!C111="Area 5 (Renuka A)",'Master Sheet'!O111,"")</f>
        <v/>
      </c>
      <c r="P110" t="str">
        <f>IF('Master Sheet'!C111="Area 5 (Renuka A)",'Master Sheet'!P111,"")</f>
        <v/>
      </c>
    </row>
    <row r="111" spans="1:16" hidden="1" x14ac:dyDescent="0.25">
      <c r="A111" t="str">
        <f>IF('Master Sheet'!C112="Area 5 (Renuka A)",'Master Sheet'!A112,"")</f>
        <v/>
      </c>
      <c r="B111" t="str">
        <f>IF('Master Sheet'!C112="Area 5 (Renuka A)",'Master Sheet'!B112,"")</f>
        <v/>
      </c>
      <c r="C111" t="s">
        <v>8</v>
      </c>
      <c r="D111" t="str">
        <f>IF('Master Sheet'!C112="Area 5 (Renuka A)",'Master Sheet'!D112,"")</f>
        <v/>
      </c>
      <c r="E111" t="str">
        <f>IF('Master Sheet'!C112="Area 5 (Renuka A)",'Master Sheet'!E112,"")</f>
        <v/>
      </c>
      <c r="F111" t="str">
        <f>IF('Master Sheet'!C112="Area 5 (Renuka A)",'Master Sheet'!F112,"")</f>
        <v/>
      </c>
      <c r="G111" t="str">
        <f>IF('Master Sheet'!C112="Area 5 (Renuka A)",'Master Sheet'!G112,"")</f>
        <v/>
      </c>
      <c r="H111" t="str">
        <f>IF('Master Sheet'!C112="Area 5 (Renuka A)",'Master Sheet'!H112,"")</f>
        <v/>
      </c>
      <c r="I111" t="str">
        <f>IF('Master Sheet'!C112="Area 5 (Renuka A)",'Master Sheet'!I112,"")</f>
        <v/>
      </c>
      <c r="J111" t="str">
        <f>IF('Master Sheet'!C112="Area 5 (Renuka A)",'Master Sheet'!J112,"")</f>
        <v/>
      </c>
      <c r="K111" t="str">
        <f>IF('Master Sheet'!C112="Area 5 (Renuka A)",'Master Sheet'!K112,"")</f>
        <v/>
      </c>
      <c r="L111" t="str">
        <f>IF('Master Sheet'!C112="Area 5 (Renuka A)",'Master Sheet'!L112,"")</f>
        <v/>
      </c>
      <c r="M111" t="str">
        <f>IF('Master Sheet'!C112="Area 5 (Renuka A)",'Master Sheet'!M112,"")</f>
        <v/>
      </c>
      <c r="N111" t="str">
        <f>IF('Master Sheet'!C112="Area 5 (Renuka A)",'Master Sheet'!N112,"")</f>
        <v/>
      </c>
      <c r="O111" t="str">
        <f>IF('Master Sheet'!C112="Area 5 (Renuka A)",'Master Sheet'!O112,"")</f>
        <v/>
      </c>
      <c r="P111" t="str">
        <f>IF('Master Sheet'!C112="Area 5 (Renuka A)",'Master Sheet'!P112,"")</f>
        <v/>
      </c>
    </row>
    <row r="112" spans="1:16" hidden="1" x14ac:dyDescent="0.25">
      <c r="A112" t="str">
        <f>IF('Master Sheet'!C113="Area 5 (Renuka A)",'Master Sheet'!A113,"")</f>
        <v/>
      </c>
      <c r="B112" t="str">
        <f>IF('Master Sheet'!C113="Area 5 (Renuka A)",'Master Sheet'!B113,"")</f>
        <v/>
      </c>
      <c r="C112" t="s">
        <v>8</v>
      </c>
      <c r="D112" t="str">
        <f>IF('Master Sheet'!C113="Area 5 (Renuka A)",'Master Sheet'!D113,"")</f>
        <v/>
      </c>
      <c r="E112" t="str">
        <f>IF('Master Sheet'!C113="Area 5 (Renuka A)",'Master Sheet'!E113,"")</f>
        <v/>
      </c>
      <c r="F112" t="str">
        <f>IF('Master Sheet'!C113="Area 5 (Renuka A)",'Master Sheet'!F113,"")</f>
        <v/>
      </c>
      <c r="G112" t="str">
        <f>IF('Master Sheet'!C113="Area 5 (Renuka A)",'Master Sheet'!G113,"")</f>
        <v/>
      </c>
      <c r="H112" t="str">
        <f>IF('Master Sheet'!C113="Area 5 (Renuka A)",'Master Sheet'!H113,"")</f>
        <v/>
      </c>
      <c r="I112" t="str">
        <f>IF('Master Sheet'!C113="Area 5 (Renuka A)",'Master Sheet'!I113,"")</f>
        <v/>
      </c>
      <c r="J112" t="str">
        <f>IF('Master Sheet'!C113="Area 5 (Renuka A)",'Master Sheet'!J113,"")</f>
        <v/>
      </c>
      <c r="K112" t="str">
        <f>IF('Master Sheet'!C113="Area 5 (Renuka A)",'Master Sheet'!K113,"")</f>
        <v/>
      </c>
      <c r="L112" t="str">
        <f>IF('Master Sheet'!C113="Area 5 (Renuka A)",'Master Sheet'!L113,"")</f>
        <v/>
      </c>
      <c r="M112" t="str">
        <f>IF('Master Sheet'!C113="Area 5 (Renuka A)",'Master Sheet'!M113,"")</f>
        <v/>
      </c>
      <c r="N112" t="str">
        <f>IF('Master Sheet'!C113="Area 5 (Renuka A)",'Master Sheet'!N113,"")</f>
        <v/>
      </c>
      <c r="O112" t="str">
        <f>IF('Master Sheet'!C113="Area 5 (Renuka A)",'Master Sheet'!O113,"")</f>
        <v/>
      </c>
      <c r="P112" t="str">
        <f>IF('Master Sheet'!C113="Area 5 (Renuka A)",'Master Sheet'!P113,"")</f>
        <v/>
      </c>
    </row>
    <row r="113" spans="1:16" hidden="1" x14ac:dyDescent="0.25">
      <c r="A113" t="str">
        <f>IF('Master Sheet'!C114="Area 5 (Renuka A)",'Master Sheet'!A114,"")</f>
        <v/>
      </c>
      <c r="B113" t="str">
        <f>IF('Master Sheet'!C114="Area 5 (Renuka A)",'Master Sheet'!B114,"")</f>
        <v/>
      </c>
      <c r="C113" t="s">
        <v>8</v>
      </c>
      <c r="D113" t="str">
        <f>IF('Master Sheet'!C114="Area 5 (Renuka A)",'Master Sheet'!D114,"")</f>
        <v/>
      </c>
      <c r="E113" t="str">
        <f>IF('Master Sheet'!C114="Area 5 (Renuka A)",'Master Sheet'!E114,"")</f>
        <v/>
      </c>
      <c r="F113" t="str">
        <f>IF('Master Sheet'!C114="Area 5 (Renuka A)",'Master Sheet'!F114,"")</f>
        <v/>
      </c>
      <c r="G113" t="str">
        <f>IF('Master Sheet'!C114="Area 5 (Renuka A)",'Master Sheet'!G114,"")</f>
        <v/>
      </c>
      <c r="H113" t="str">
        <f>IF('Master Sheet'!C114="Area 5 (Renuka A)",'Master Sheet'!H114,"")</f>
        <v/>
      </c>
      <c r="I113" t="str">
        <f>IF('Master Sheet'!C114="Area 5 (Renuka A)",'Master Sheet'!I114,"")</f>
        <v/>
      </c>
      <c r="J113" t="str">
        <f>IF('Master Sheet'!C114="Area 5 (Renuka A)",'Master Sheet'!J114,"")</f>
        <v/>
      </c>
      <c r="K113" t="str">
        <f>IF('Master Sheet'!C114="Area 5 (Renuka A)",'Master Sheet'!K114,"")</f>
        <v/>
      </c>
      <c r="L113" t="str">
        <f>IF('Master Sheet'!C114="Area 5 (Renuka A)",'Master Sheet'!L114,"")</f>
        <v/>
      </c>
      <c r="M113" t="str">
        <f>IF('Master Sheet'!C114="Area 5 (Renuka A)",'Master Sheet'!M114,"")</f>
        <v/>
      </c>
      <c r="N113" t="str">
        <f>IF('Master Sheet'!C114="Area 5 (Renuka A)",'Master Sheet'!N114,"")</f>
        <v/>
      </c>
      <c r="O113" t="str">
        <f>IF('Master Sheet'!C114="Area 5 (Renuka A)",'Master Sheet'!O114,"")</f>
        <v/>
      </c>
      <c r="P113" t="str">
        <f>IF('Master Sheet'!C114="Area 5 (Renuka A)",'Master Sheet'!P114,"")</f>
        <v/>
      </c>
    </row>
    <row r="114" spans="1:16" hidden="1" x14ac:dyDescent="0.25">
      <c r="A114" t="str">
        <f>IF('Master Sheet'!C115="Area 5 (Renuka A)",'Master Sheet'!A115,"")</f>
        <v/>
      </c>
      <c r="B114" t="str">
        <f>IF('Master Sheet'!C115="Area 5 (Renuka A)",'Master Sheet'!B115,"")</f>
        <v/>
      </c>
      <c r="C114" t="s">
        <v>8</v>
      </c>
      <c r="D114" t="str">
        <f>IF('Master Sheet'!C115="Area 5 (Renuka A)",'Master Sheet'!D115,"")</f>
        <v/>
      </c>
      <c r="E114" t="str">
        <f>IF('Master Sheet'!C115="Area 5 (Renuka A)",'Master Sheet'!E115,"")</f>
        <v/>
      </c>
      <c r="F114" t="str">
        <f>IF('Master Sheet'!C115="Area 5 (Renuka A)",'Master Sheet'!F115,"")</f>
        <v/>
      </c>
      <c r="G114" t="str">
        <f>IF('Master Sheet'!C115="Area 5 (Renuka A)",'Master Sheet'!G115,"")</f>
        <v/>
      </c>
      <c r="H114" t="str">
        <f>IF('Master Sheet'!C115="Area 5 (Renuka A)",'Master Sheet'!H115,"")</f>
        <v/>
      </c>
      <c r="I114" t="str">
        <f>IF('Master Sheet'!C115="Area 5 (Renuka A)",'Master Sheet'!I115,"")</f>
        <v/>
      </c>
      <c r="J114" t="str">
        <f>IF('Master Sheet'!C115="Area 5 (Renuka A)",'Master Sheet'!J115,"")</f>
        <v/>
      </c>
      <c r="K114" t="str">
        <f>IF('Master Sheet'!C115="Area 5 (Renuka A)",'Master Sheet'!K115,"")</f>
        <v/>
      </c>
      <c r="L114" t="str">
        <f>IF('Master Sheet'!C115="Area 5 (Renuka A)",'Master Sheet'!L115,"")</f>
        <v/>
      </c>
      <c r="M114" t="str">
        <f>IF('Master Sheet'!C115="Area 5 (Renuka A)",'Master Sheet'!M115,"")</f>
        <v/>
      </c>
      <c r="N114" t="str">
        <f>IF('Master Sheet'!C115="Area 5 (Renuka A)",'Master Sheet'!N115,"")</f>
        <v/>
      </c>
      <c r="O114" t="str">
        <f>IF('Master Sheet'!C115="Area 5 (Renuka A)",'Master Sheet'!O115,"")</f>
        <v/>
      </c>
      <c r="P114" t="str">
        <f>IF('Master Sheet'!C115="Area 5 (Renuka A)",'Master Sheet'!P115,"")</f>
        <v/>
      </c>
    </row>
    <row r="115" spans="1:16" hidden="1" x14ac:dyDescent="0.25">
      <c r="A115" t="str">
        <f>IF('Master Sheet'!C116="Area 5 (Renuka A)",'Master Sheet'!A116,"")</f>
        <v/>
      </c>
      <c r="B115" t="str">
        <f>IF('Master Sheet'!C116="Area 5 (Renuka A)",'Master Sheet'!B116,"")</f>
        <v/>
      </c>
      <c r="C115" t="s">
        <v>8</v>
      </c>
      <c r="D115" t="str">
        <f>IF('Master Sheet'!C116="Area 5 (Renuka A)",'Master Sheet'!D116,"")</f>
        <v/>
      </c>
      <c r="E115" t="str">
        <f>IF('Master Sheet'!C116="Area 5 (Renuka A)",'Master Sheet'!E116,"")</f>
        <v/>
      </c>
      <c r="F115" t="str">
        <f>IF('Master Sheet'!C116="Area 5 (Renuka A)",'Master Sheet'!F116,"")</f>
        <v/>
      </c>
      <c r="G115" t="str">
        <f>IF('Master Sheet'!C116="Area 5 (Renuka A)",'Master Sheet'!G116,"")</f>
        <v/>
      </c>
      <c r="H115" t="str">
        <f>IF('Master Sheet'!C116="Area 5 (Renuka A)",'Master Sheet'!H116,"")</f>
        <v/>
      </c>
      <c r="I115" t="str">
        <f>IF('Master Sheet'!C116="Area 5 (Renuka A)",'Master Sheet'!I116,"")</f>
        <v/>
      </c>
      <c r="J115" t="str">
        <f>IF('Master Sheet'!C116="Area 5 (Renuka A)",'Master Sheet'!J116,"")</f>
        <v/>
      </c>
      <c r="K115" t="str">
        <f>IF('Master Sheet'!C116="Area 5 (Renuka A)",'Master Sheet'!K116,"")</f>
        <v/>
      </c>
      <c r="L115" t="str">
        <f>IF('Master Sheet'!C116="Area 5 (Renuka A)",'Master Sheet'!L116,"")</f>
        <v/>
      </c>
      <c r="M115" t="str">
        <f>IF('Master Sheet'!C116="Area 5 (Renuka A)",'Master Sheet'!M116,"")</f>
        <v/>
      </c>
      <c r="N115" t="str">
        <f>IF('Master Sheet'!C116="Area 5 (Renuka A)",'Master Sheet'!N116,"")</f>
        <v/>
      </c>
      <c r="O115" t="str">
        <f>IF('Master Sheet'!C116="Area 5 (Renuka A)",'Master Sheet'!O116,"")</f>
        <v/>
      </c>
      <c r="P115" t="str">
        <f>IF('Master Sheet'!C116="Area 5 (Renuka A)",'Master Sheet'!P116,"")</f>
        <v/>
      </c>
    </row>
    <row r="116" spans="1:16" hidden="1" x14ac:dyDescent="0.25">
      <c r="A116" t="str">
        <f>IF('Master Sheet'!C117="Area 5 (Renuka A)",'Master Sheet'!A117,"")</f>
        <v/>
      </c>
      <c r="B116" t="str">
        <f>IF('Master Sheet'!C117="Area 5 (Renuka A)",'Master Sheet'!B117,"")</f>
        <v/>
      </c>
      <c r="C116" t="s">
        <v>8</v>
      </c>
      <c r="D116" t="str">
        <f>IF('Master Sheet'!C117="Area 5 (Renuka A)",'Master Sheet'!D117,"")</f>
        <v/>
      </c>
      <c r="E116" t="str">
        <f>IF('Master Sheet'!C117="Area 5 (Renuka A)",'Master Sheet'!E117,"")</f>
        <v/>
      </c>
      <c r="F116" t="str">
        <f>IF('Master Sheet'!C117="Area 5 (Renuka A)",'Master Sheet'!F117,"")</f>
        <v/>
      </c>
      <c r="G116" t="str">
        <f>IF('Master Sheet'!C117="Area 5 (Renuka A)",'Master Sheet'!G117,"")</f>
        <v/>
      </c>
      <c r="H116" t="str">
        <f>IF('Master Sheet'!C117="Area 5 (Renuka A)",'Master Sheet'!H117,"")</f>
        <v/>
      </c>
      <c r="I116" t="str">
        <f>IF('Master Sheet'!C117="Area 5 (Renuka A)",'Master Sheet'!I117,"")</f>
        <v/>
      </c>
      <c r="J116" t="str">
        <f>IF('Master Sheet'!C117="Area 5 (Renuka A)",'Master Sheet'!J117,"")</f>
        <v/>
      </c>
      <c r="K116" t="str">
        <f>IF('Master Sheet'!C117="Area 5 (Renuka A)",'Master Sheet'!K117,"")</f>
        <v/>
      </c>
      <c r="L116" t="str">
        <f>IF('Master Sheet'!C117="Area 5 (Renuka A)",'Master Sheet'!L117,"")</f>
        <v/>
      </c>
      <c r="M116" t="str">
        <f>IF('Master Sheet'!C117="Area 5 (Renuka A)",'Master Sheet'!M117,"")</f>
        <v/>
      </c>
      <c r="N116" t="str">
        <f>IF('Master Sheet'!C117="Area 5 (Renuka A)",'Master Sheet'!N117,"")</f>
        <v/>
      </c>
      <c r="O116" t="str">
        <f>IF('Master Sheet'!C117="Area 5 (Renuka A)",'Master Sheet'!O117,"")</f>
        <v/>
      </c>
      <c r="P116" t="str">
        <f>IF('Master Sheet'!C117="Area 5 (Renuka A)",'Master Sheet'!P117,"")</f>
        <v/>
      </c>
    </row>
    <row r="117" spans="1:16" hidden="1" x14ac:dyDescent="0.25">
      <c r="A117" t="str">
        <f>IF('Master Sheet'!C118="Area 5 (Renuka A)",'Master Sheet'!A118,"")</f>
        <v/>
      </c>
      <c r="B117" t="str">
        <f>IF('Master Sheet'!C118="Area 5 (Renuka A)",'Master Sheet'!B118,"")</f>
        <v/>
      </c>
      <c r="C117" t="s">
        <v>8</v>
      </c>
      <c r="D117" t="str">
        <f>IF('Master Sheet'!C118="Area 5 (Renuka A)",'Master Sheet'!D118,"")</f>
        <v/>
      </c>
      <c r="E117" t="str">
        <f>IF('Master Sheet'!C118="Area 5 (Renuka A)",'Master Sheet'!E118,"")</f>
        <v/>
      </c>
      <c r="F117" t="str">
        <f>IF('Master Sheet'!C118="Area 5 (Renuka A)",'Master Sheet'!F118,"")</f>
        <v/>
      </c>
      <c r="G117" t="str">
        <f>IF('Master Sheet'!C118="Area 5 (Renuka A)",'Master Sheet'!G118,"")</f>
        <v/>
      </c>
      <c r="H117" t="str">
        <f>IF('Master Sheet'!C118="Area 5 (Renuka A)",'Master Sheet'!H118,"")</f>
        <v/>
      </c>
      <c r="I117" t="str">
        <f>IF('Master Sheet'!C118="Area 5 (Renuka A)",'Master Sheet'!I118,"")</f>
        <v/>
      </c>
      <c r="J117" t="str">
        <f>IF('Master Sheet'!C118="Area 5 (Renuka A)",'Master Sheet'!J118,"")</f>
        <v/>
      </c>
      <c r="K117" t="str">
        <f>IF('Master Sheet'!C118="Area 5 (Renuka A)",'Master Sheet'!K118,"")</f>
        <v/>
      </c>
      <c r="L117" t="str">
        <f>IF('Master Sheet'!C118="Area 5 (Renuka A)",'Master Sheet'!L118,"")</f>
        <v/>
      </c>
      <c r="M117" t="str">
        <f>IF('Master Sheet'!C118="Area 5 (Renuka A)",'Master Sheet'!M118,"")</f>
        <v/>
      </c>
      <c r="N117" t="str">
        <f>IF('Master Sheet'!C118="Area 5 (Renuka A)",'Master Sheet'!N118,"")</f>
        <v/>
      </c>
      <c r="O117" t="str">
        <f>IF('Master Sheet'!C118="Area 5 (Renuka A)",'Master Sheet'!O118,"")</f>
        <v/>
      </c>
      <c r="P117" t="str">
        <f>IF('Master Sheet'!C118="Area 5 (Renuka A)",'Master Sheet'!P118,"")</f>
        <v/>
      </c>
    </row>
    <row r="118" spans="1:16" hidden="1" x14ac:dyDescent="0.25">
      <c r="A118" t="str">
        <f>IF('Master Sheet'!C119="Area 5 (Renuka A)",'Master Sheet'!A119,"")</f>
        <v/>
      </c>
      <c r="B118" t="str">
        <f>IF('Master Sheet'!C119="Area 5 (Renuka A)",'Master Sheet'!B119,"")</f>
        <v/>
      </c>
      <c r="C118" t="s">
        <v>8</v>
      </c>
      <c r="D118" t="str">
        <f>IF('Master Sheet'!C119="Area 5 (Renuka A)",'Master Sheet'!D119,"")</f>
        <v/>
      </c>
      <c r="E118" t="str">
        <f>IF('Master Sheet'!C119="Area 5 (Renuka A)",'Master Sheet'!E119,"")</f>
        <v/>
      </c>
      <c r="F118" t="str">
        <f>IF('Master Sheet'!C119="Area 5 (Renuka A)",'Master Sheet'!F119,"")</f>
        <v/>
      </c>
      <c r="G118" t="str">
        <f>IF('Master Sheet'!C119="Area 5 (Renuka A)",'Master Sheet'!G119,"")</f>
        <v/>
      </c>
      <c r="H118" t="str">
        <f>IF('Master Sheet'!C119="Area 5 (Renuka A)",'Master Sheet'!H119,"")</f>
        <v/>
      </c>
      <c r="I118" t="str">
        <f>IF('Master Sheet'!C119="Area 5 (Renuka A)",'Master Sheet'!I119,"")</f>
        <v/>
      </c>
      <c r="J118" t="str">
        <f>IF('Master Sheet'!C119="Area 5 (Renuka A)",'Master Sheet'!J119,"")</f>
        <v/>
      </c>
      <c r="K118" t="str">
        <f>IF('Master Sheet'!C119="Area 5 (Renuka A)",'Master Sheet'!K119,"")</f>
        <v/>
      </c>
      <c r="L118" t="str">
        <f>IF('Master Sheet'!C119="Area 5 (Renuka A)",'Master Sheet'!L119,"")</f>
        <v/>
      </c>
      <c r="M118" t="str">
        <f>IF('Master Sheet'!C119="Area 5 (Renuka A)",'Master Sheet'!M119,"")</f>
        <v/>
      </c>
      <c r="N118" t="str">
        <f>IF('Master Sheet'!C119="Area 5 (Renuka A)",'Master Sheet'!N119,"")</f>
        <v/>
      </c>
      <c r="O118" t="str">
        <f>IF('Master Sheet'!C119="Area 5 (Renuka A)",'Master Sheet'!O119,"")</f>
        <v/>
      </c>
      <c r="P118" t="str">
        <f>IF('Master Sheet'!C119="Area 5 (Renuka A)",'Master Sheet'!P119,"")</f>
        <v/>
      </c>
    </row>
    <row r="119" spans="1:16" hidden="1" x14ac:dyDescent="0.25">
      <c r="A119" t="str">
        <f>IF('Master Sheet'!C120="Area 5 (Renuka A)",'Master Sheet'!A120,"")</f>
        <v/>
      </c>
      <c r="B119" t="str">
        <f>IF('Master Sheet'!C120="Area 5 (Renuka A)",'Master Sheet'!B120,"")</f>
        <v/>
      </c>
      <c r="C119" t="s">
        <v>8</v>
      </c>
      <c r="D119" t="str">
        <f>IF('Master Sheet'!C120="Area 5 (Renuka A)",'Master Sheet'!D120,"")</f>
        <v/>
      </c>
      <c r="E119" t="str">
        <f>IF('Master Sheet'!C120="Area 5 (Renuka A)",'Master Sheet'!E120,"")</f>
        <v/>
      </c>
      <c r="F119" t="str">
        <f>IF('Master Sheet'!C120="Area 5 (Renuka A)",'Master Sheet'!F120,"")</f>
        <v/>
      </c>
      <c r="G119" t="str">
        <f>IF('Master Sheet'!C120="Area 5 (Renuka A)",'Master Sheet'!G120,"")</f>
        <v/>
      </c>
      <c r="H119" t="str">
        <f>IF('Master Sheet'!C120="Area 5 (Renuka A)",'Master Sheet'!H120,"")</f>
        <v/>
      </c>
      <c r="I119" t="str">
        <f>IF('Master Sheet'!C120="Area 5 (Renuka A)",'Master Sheet'!I120,"")</f>
        <v/>
      </c>
      <c r="J119" t="str">
        <f>IF('Master Sheet'!C120="Area 5 (Renuka A)",'Master Sheet'!J120,"")</f>
        <v/>
      </c>
      <c r="K119" t="str">
        <f>IF('Master Sheet'!C120="Area 5 (Renuka A)",'Master Sheet'!K120,"")</f>
        <v/>
      </c>
      <c r="L119" t="str">
        <f>IF('Master Sheet'!C120="Area 5 (Renuka A)",'Master Sheet'!L120,"")</f>
        <v/>
      </c>
      <c r="M119" t="str">
        <f>IF('Master Sheet'!C120="Area 5 (Renuka A)",'Master Sheet'!M120,"")</f>
        <v/>
      </c>
      <c r="N119" t="str">
        <f>IF('Master Sheet'!C120="Area 5 (Renuka A)",'Master Sheet'!N120,"")</f>
        <v/>
      </c>
      <c r="O119" t="str">
        <f>IF('Master Sheet'!C120="Area 5 (Renuka A)",'Master Sheet'!O120,"")</f>
        <v/>
      </c>
      <c r="P119" t="str">
        <f>IF('Master Sheet'!C120="Area 5 (Renuka A)",'Master Sheet'!P120,"")</f>
        <v/>
      </c>
    </row>
    <row r="120" spans="1:16" hidden="1" x14ac:dyDescent="0.25">
      <c r="A120" t="str">
        <f>IF('Master Sheet'!C121="Area 5 (Renuka A)",'Master Sheet'!A121,"")</f>
        <v/>
      </c>
      <c r="B120" t="str">
        <f>IF('Master Sheet'!C121="Area 5 (Renuka A)",'Master Sheet'!B121,"")</f>
        <v/>
      </c>
      <c r="C120" t="s">
        <v>8</v>
      </c>
      <c r="D120" t="str">
        <f>IF('Master Sheet'!C121="Area 5 (Renuka A)",'Master Sheet'!D121,"")</f>
        <v/>
      </c>
      <c r="E120" t="str">
        <f>IF('Master Sheet'!C121="Area 5 (Renuka A)",'Master Sheet'!E121,"")</f>
        <v/>
      </c>
      <c r="F120" t="str">
        <f>IF('Master Sheet'!C121="Area 5 (Renuka A)",'Master Sheet'!F121,"")</f>
        <v/>
      </c>
      <c r="G120" t="str">
        <f>IF('Master Sheet'!C121="Area 5 (Renuka A)",'Master Sheet'!G121,"")</f>
        <v/>
      </c>
      <c r="H120" t="str">
        <f>IF('Master Sheet'!C121="Area 5 (Renuka A)",'Master Sheet'!H121,"")</f>
        <v/>
      </c>
      <c r="I120" t="str">
        <f>IF('Master Sheet'!C121="Area 5 (Renuka A)",'Master Sheet'!I121,"")</f>
        <v/>
      </c>
      <c r="J120" t="str">
        <f>IF('Master Sheet'!C121="Area 5 (Renuka A)",'Master Sheet'!J121,"")</f>
        <v/>
      </c>
      <c r="K120" t="str">
        <f>IF('Master Sheet'!C121="Area 5 (Renuka A)",'Master Sheet'!K121,"")</f>
        <v/>
      </c>
      <c r="L120" t="str">
        <f>IF('Master Sheet'!C121="Area 5 (Renuka A)",'Master Sheet'!L121,"")</f>
        <v/>
      </c>
      <c r="M120" t="str">
        <f>IF('Master Sheet'!C121="Area 5 (Renuka A)",'Master Sheet'!M121,"")</f>
        <v/>
      </c>
      <c r="N120" t="str">
        <f>IF('Master Sheet'!C121="Area 5 (Renuka A)",'Master Sheet'!N121,"")</f>
        <v/>
      </c>
      <c r="O120" t="str">
        <f>IF('Master Sheet'!C121="Area 5 (Renuka A)",'Master Sheet'!O121,"")</f>
        <v/>
      </c>
      <c r="P120" t="str">
        <f>IF('Master Sheet'!C121="Area 5 (Renuka A)",'Master Sheet'!P121,"")</f>
        <v/>
      </c>
    </row>
    <row r="121" spans="1:16" hidden="1" x14ac:dyDescent="0.25">
      <c r="A121" t="str">
        <f>IF('Master Sheet'!C122="Area 5 (Renuka A)",'Master Sheet'!A122,"")</f>
        <v/>
      </c>
      <c r="B121" t="str">
        <f>IF('Master Sheet'!C122="Area 5 (Renuka A)",'Master Sheet'!B122,"")</f>
        <v/>
      </c>
      <c r="C121" t="s">
        <v>8</v>
      </c>
      <c r="D121" t="str">
        <f>IF('Master Sheet'!C122="Area 5 (Renuka A)",'Master Sheet'!D122,"")</f>
        <v/>
      </c>
      <c r="E121" t="str">
        <f>IF('Master Sheet'!C122="Area 5 (Renuka A)",'Master Sheet'!E122,"")</f>
        <v/>
      </c>
      <c r="F121" t="str">
        <f>IF('Master Sheet'!C122="Area 5 (Renuka A)",'Master Sheet'!F122,"")</f>
        <v/>
      </c>
      <c r="G121" t="str">
        <f>IF('Master Sheet'!C122="Area 5 (Renuka A)",'Master Sheet'!G122,"")</f>
        <v/>
      </c>
      <c r="H121" t="str">
        <f>IF('Master Sheet'!C122="Area 5 (Renuka A)",'Master Sheet'!H122,"")</f>
        <v/>
      </c>
      <c r="I121" t="str">
        <f>IF('Master Sheet'!C122="Area 5 (Renuka A)",'Master Sheet'!I122,"")</f>
        <v/>
      </c>
      <c r="J121" t="str">
        <f>IF('Master Sheet'!C122="Area 5 (Renuka A)",'Master Sheet'!J122,"")</f>
        <v/>
      </c>
      <c r="K121" t="str">
        <f>IF('Master Sheet'!C122="Area 5 (Renuka A)",'Master Sheet'!K122,"")</f>
        <v/>
      </c>
      <c r="L121" t="str">
        <f>IF('Master Sheet'!C122="Area 5 (Renuka A)",'Master Sheet'!L122,"")</f>
        <v/>
      </c>
      <c r="M121" t="str">
        <f>IF('Master Sheet'!C122="Area 5 (Renuka A)",'Master Sheet'!M122,"")</f>
        <v/>
      </c>
      <c r="N121" t="str">
        <f>IF('Master Sheet'!C122="Area 5 (Renuka A)",'Master Sheet'!N122,"")</f>
        <v/>
      </c>
      <c r="O121" t="str">
        <f>IF('Master Sheet'!C122="Area 5 (Renuka A)",'Master Sheet'!O122,"")</f>
        <v/>
      </c>
      <c r="P121" t="str">
        <f>IF('Master Sheet'!C122="Area 5 (Renuka A)",'Master Sheet'!P122,"")</f>
        <v/>
      </c>
    </row>
    <row r="122" spans="1:16" hidden="1" x14ac:dyDescent="0.25">
      <c r="A122" t="str">
        <f>IF('Master Sheet'!C123="Area 5 (Renuka A)",'Master Sheet'!A123,"")</f>
        <v/>
      </c>
      <c r="B122" t="str">
        <f>IF('Master Sheet'!C123="Area 5 (Renuka A)",'Master Sheet'!B123,"")</f>
        <v/>
      </c>
      <c r="C122" t="s">
        <v>8</v>
      </c>
      <c r="D122" t="str">
        <f>IF('Master Sheet'!C123="Area 5 (Renuka A)",'Master Sheet'!D123,"")</f>
        <v/>
      </c>
      <c r="E122" t="str">
        <f>IF('Master Sheet'!C123="Area 5 (Renuka A)",'Master Sheet'!E123,"")</f>
        <v/>
      </c>
      <c r="F122" t="str">
        <f>IF('Master Sheet'!C123="Area 5 (Renuka A)",'Master Sheet'!F123,"")</f>
        <v/>
      </c>
      <c r="G122" t="str">
        <f>IF('Master Sheet'!C123="Area 5 (Renuka A)",'Master Sheet'!G123,"")</f>
        <v/>
      </c>
      <c r="H122" t="str">
        <f>IF('Master Sheet'!C123="Area 5 (Renuka A)",'Master Sheet'!H123,"")</f>
        <v/>
      </c>
      <c r="I122" t="str">
        <f>IF('Master Sheet'!C123="Area 5 (Renuka A)",'Master Sheet'!I123,"")</f>
        <v/>
      </c>
      <c r="J122" t="str">
        <f>IF('Master Sheet'!C123="Area 5 (Renuka A)",'Master Sheet'!J123,"")</f>
        <v/>
      </c>
      <c r="K122" t="str">
        <f>IF('Master Sheet'!C123="Area 5 (Renuka A)",'Master Sheet'!K123,"")</f>
        <v/>
      </c>
      <c r="L122" t="str">
        <f>IF('Master Sheet'!C123="Area 5 (Renuka A)",'Master Sheet'!L123,"")</f>
        <v/>
      </c>
      <c r="M122" t="str">
        <f>IF('Master Sheet'!C123="Area 5 (Renuka A)",'Master Sheet'!M123,"")</f>
        <v/>
      </c>
      <c r="N122" t="str">
        <f>IF('Master Sheet'!C123="Area 5 (Renuka A)",'Master Sheet'!N123,"")</f>
        <v/>
      </c>
      <c r="O122" t="str">
        <f>IF('Master Sheet'!C123="Area 5 (Renuka A)",'Master Sheet'!O123,"")</f>
        <v/>
      </c>
      <c r="P122" t="str">
        <f>IF('Master Sheet'!C123="Area 5 (Renuka A)",'Master Sheet'!P123,"")</f>
        <v/>
      </c>
    </row>
    <row r="123" spans="1:16" hidden="1" x14ac:dyDescent="0.25">
      <c r="A123" t="str">
        <f>IF('Master Sheet'!C124="Area 5 (Renuka A)",'Master Sheet'!A124,"")</f>
        <v/>
      </c>
      <c r="B123" t="str">
        <f>IF('Master Sheet'!C124="Area 5 (Renuka A)",'Master Sheet'!B124,"")</f>
        <v/>
      </c>
      <c r="C123" t="s">
        <v>8</v>
      </c>
      <c r="D123" t="str">
        <f>IF('Master Sheet'!C124="Area 5 (Renuka A)",'Master Sheet'!D124,"")</f>
        <v/>
      </c>
      <c r="E123" t="str">
        <f>IF('Master Sheet'!C124="Area 5 (Renuka A)",'Master Sheet'!E124,"")</f>
        <v/>
      </c>
      <c r="F123" t="str">
        <f>IF('Master Sheet'!C124="Area 5 (Renuka A)",'Master Sheet'!F124,"")</f>
        <v/>
      </c>
      <c r="G123" t="str">
        <f>IF('Master Sheet'!C124="Area 5 (Renuka A)",'Master Sheet'!G124,"")</f>
        <v/>
      </c>
      <c r="H123" t="str">
        <f>IF('Master Sheet'!C124="Area 5 (Renuka A)",'Master Sheet'!H124,"")</f>
        <v/>
      </c>
      <c r="I123" t="str">
        <f>IF('Master Sheet'!C124="Area 5 (Renuka A)",'Master Sheet'!I124,"")</f>
        <v/>
      </c>
      <c r="J123" t="str">
        <f>IF('Master Sheet'!C124="Area 5 (Renuka A)",'Master Sheet'!J124,"")</f>
        <v/>
      </c>
      <c r="K123" t="str">
        <f>IF('Master Sheet'!C124="Area 5 (Renuka A)",'Master Sheet'!K124,"")</f>
        <v/>
      </c>
      <c r="L123" t="str">
        <f>IF('Master Sheet'!C124="Area 5 (Renuka A)",'Master Sheet'!L124,"")</f>
        <v/>
      </c>
      <c r="M123" t="str">
        <f>IF('Master Sheet'!C124="Area 5 (Renuka A)",'Master Sheet'!M124,"")</f>
        <v/>
      </c>
      <c r="N123" t="str">
        <f>IF('Master Sheet'!C124="Area 5 (Renuka A)",'Master Sheet'!N124,"")</f>
        <v/>
      </c>
      <c r="O123" t="str">
        <f>IF('Master Sheet'!C124="Area 5 (Renuka A)",'Master Sheet'!O124,"")</f>
        <v/>
      </c>
      <c r="P123" t="str">
        <f>IF('Master Sheet'!C124="Area 5 (Renuka A)",'Master Sheet'!P124,"")</f>
        <v/>
      </c>
    </row>
    <row r="124" spans="1:16" hidden="1" x14ac:dyDescent="0.25">
      <c r="A124" t="str">
        <f>IF('Master Sheet'!C125="Area 5 (Renuka A)",'Master Sheet'!A125,"")</f>
        <v/>
      </c>
      <c r="B124" t="str">
        <f>IF('Master Sheet'!C125="Area 5 (Renuka A)",'Master Sheet'!B125,"")</f>
        <v/>
      </c>
      <c r="C124" t="s">
        <v>8</v>
      </c>
      <c r="D124" t="str">
        <f>IF('Master Sheet'!C125="Area 5 (Renuka A)",'Master Sheet'!D125,"")</f>
        <v/>
      </c>
      <c r="E124" t="str">
        <f>IF('Master Sheet'!C125="Area 5 (Renuka A)",'Master Sheet'!E125,"")</f>
        <v/>
      </c>
      <c r="F124" t="str">
        <f>IF('Master Sheet'!C125="Area 5 (Renuka A)",'Master Sheet'!F125,"")</f>
        <v/>
      </c>
      <c r="G124" t="str">
        <f>IF('Master Sheet'!C125="Area 5 (Renuka A)",'Master Sheet'!G125,"")</f>
        <v/>
      </c>
      <c r="H124" t="str">
        <f>IF('Master Sheet'!C125="Area 5 (Renuka A)",'Master Sheet'!H125,"")</f>
        <v/>
      </c>
      <c r="I124" t="str">
        <f>IF('Master Sheet'!C125="Area 5 (Renuka A)",'Master Sheet'!I125,"")</f>
        <v/>
      </c>
      <c r="J124" t="str">
        <f>IF('Master Sheet'!C125="Area 5 (Renuka A)",'Master Sheet'!J125,"")</f>
        <v/>
      </c>
      <c r="K124" t="str">
        <f>IF('Master Sheet'!C125="Area 5 (Renuka A)",'Master Sheet'!K125,"")</f>
        <v/>
      </c>
      <c r="L124" t="str">
        <f>IF('Master Sheet'!C125="Area 5 (Renuka A)",'Master Sheet'!L125,"")</f>
        <v/>
      </c>
      <c r="M124" t="str">
        <f>IF('Master Sheet'!C125="Area 5 (Renuka A)",'Master Sheet'!M125,"")</f>
        <v/>
      </c>
      <c r="N124" t="str">
        <f>IF('Master Sheet'!C125="Area 5 (Renuka A)",'Master Sheet'!N125,"")</f>
        <v/>
      </c>
      <c r="O124" t="str">
        <f>IF('Master Sheet'!C125="Area 5 (Renuka A)",'Master Sheet'!O125,"")</f>
        <v/>
      </c>
      <c r="P124" t="str">
        <f>IF('Master Sheet'!C125="Area 5 (Renuka A)",'Master Sheet'!P125,"")</f>
        <v/>
      </c>
    </row>
    <row r="125" spans="1:16" hidden="1" x14ac:dyDescent="0.25">
      <c r="A125" t="str">
        <f>IF('Master Sheet'!C126="Area 5 (Renuka A)",'Master Sheet'!A126,"")</f>
        <v/>
      </c>
      <c r="B125" t="str">
        <f>IF('Master Sheet'!C126="Area 5 (Renuka A)",'Master Sheet'!B126,"")</f>
        <v/>
      </c>
      <c r="C125" t="s">
        <v>8</v>
      </c>
      <c r="D125" t="str">
        <f>IF('Master Sheet'!C126="Area 5 (Renuka A)",'Master Sheet'!D126,"")</f>
        <v/>
      </c>
      <c r="E125" t="str">
        <f>IF('Master Sheet'!C126="Area 5 (Renuka A)",'Master Sheet'!E126,"")</f>
        <v/>
      </c>
      <c r="F125" t="str">
        <f>IF('Master Sheet'!C126="Area 5 (Renuka A)",'Master Sheet'!F126,"")</f>
        <v/>
      </c>
      <c r="G125" t="str">
        <f>IF('Master Sheet'!C126="Area 5 (Renuka A)",'Master Sheet'!G126,"")</f>
        <v/>
      </c>
      <c r="H125" t="str">
        <f>IF('Master Sheet'!C126="Area 5 (Renuka A)",'Master Sheet'!H126,"")</f>
        <v/>
      </c>
      <c r="I125" t="str">
        <f>IF('Master Sheet'!C126="Area 5 (Renuka A)",'Master Sheet'!I126,"")</f>
        <v/>
      </c>
      <c r="J125" t="str">
        <f>IF('Master Sheet'!C126="Area 5 (Renuka A)",'Master Sheet'!J126,"")</f>
        <v/>
      </c>
      <c r="K125" t="str">
        <f>IF('Master Sheet'!C126="Area 5 (Renuka A)",'Master Sheet'!K126,"")</f>
        <v/>
      </c>
      <c r="L125" t="str">
        <f>IF('Master Sheet'!C126="Area 5 (Renuka A)",'Master Sheet'!L126,"")</f>
        <v/>
      </c>
      <c r="M125" t="str">
        <f>IF('Master Sheet'!C126="Area 5 (Renuka A)",'Master Sheet'!M126,"")</f>
        <v/>
      </c>
      <c r="N125" t="str">
        <f>IF('Master Sheet'!C126="Area 5 (Renuka A)",'Master Sheet'!N126,"")</f>
        <v/>
      </c>
      <c r="O125" t="str">
        <f>IF('Master Sheet'!C126="Area 5 (Renuka A)",'Master Sheet'!O126,"")</f>
        <v/>
      </c>
      <c r="P125" t="str">
        <f>IF('Master Sheet'!C126="Area 5 (Renuka A)",'Master Sheet'!P126,"")</f>
        <v/>
      </c>
    </row>
    <row r="126" spans="1:16" hidden="1" x14ac:dyDescent="0.25">
      <c r="A126" t="str">
        <f>IF('Master Sheet'!C127="Area 5 (Renuka A)",'Master Sheet'!A127,"")</f>
        <v/>
      </c>
      <c r="B126" t="str">
        <f>IF('Master Sheet'!C127="Area 5 (Renuka A)",'Master Sheet'!B127,"")</f>
        <v/>
      </c>
      <c r="C126" t="s">
        <v>8</v>
      </c>
      <c r="D126" t="str">
        <f>IF('Master Sheet'!C127="Area 5 (Renuka A)",'Master Sheet'!D127,"")</f>
        <v/>
      </c>
      <c r="E126" t="str">
        <f>IF('Master Sheet'!C127="Area 5 (Renuka A)",'Master Sheet'!E127,"")</f>
        <v/>
      </c>
      <c r="F126" t="str">
        <f>IF('Master Sheet'!C127="Area 5 (Renuka A)",'Master Sheet'!F127,"")</f>
        <v/>
      </c>
      <c r="G126" t="str">
        <f>IF('Master Sheet'!C127="Area 5 (Renuka A)",'Master Sheet'!G127,"")</f>
        <v/>
      </c>
      <c r="H126" t="str">
        <f>IF('Master Sheet'!C127="Area 5 (Renuka A)",'Master Sheet'!H127,"")</f>
        <v/>
      </c>
      <c r="I126" t="str">
        <f>IF('Master Sheet'!C127="Area 5 (Renuka A)",'Master Sheet'!I127,"")</f>
        <v/>
      </c>
      <c r="J126" t="str">
        <f>IF('Master Sheet'!C127="Area 5 (Renuka A)",'Master Sheet'!J127,"")</f>
        <v/>
      </c>
      <c r="K126" t="str">
        <f>IF('Master Sheet'!C127="Area 5 (Renuka A)",'Master Sheet'!K127,"")</f>
        <v/>
      </c>
      <c r="L126" t="str">
        <f>IF('Master Sheet'!C127="Area 5 (Renuka A)",'Master Sheet'!L127,"")</f>
        <v/>
      </c>
      <c r="M126" t="str">
        <f>IF('Master Sheet'!C127="Area 5 (Renuka A)",'Master Sheet'!M127,"")</f>
        <v/>
      </c>
      <c r="N126" t="str">
        <f>IF('Master Sheet'!C127="Area 5 (Renuka A)",'Master Sheet'!N127,"")</f>
        <v/>
      </c>
      <c r="O126" t="str">
        <f>IF('Master Sheet'!C127="Area 5 (Renuka A)",'Master Sheet'!O127,"")</f>
        <v/>
      </c>
      <c r="P126" t="str">
        <f>IF('Master Sheet'!C127="Area 5 (Renuka A)",'Master Sheet'!P127,"")</f>
        <v/>
      </c>
    </row>
    <row r="127" spans="1:16" hidden="1" x14ac:dyDescent="0.25">
      <c r="A127" t="str">
        <f>IF('Master Sheet'!C128="Area 5 (Renuka A)",'Master Sheet'!A128,"")</f>
        <v/>
      </c>
      <c r="B127" t="str">
        <f>IF('Master Sheet'!C128="Area 5 (Renuka A)",'Master Sheet'!B128,"")</f>
        <v/>
      </c>
      <c r="C127" t="s">
        <v>8</v>
      </c>
      <c r="D127" t="str">
        <f>IF('Master Sheet'!C128="Area 5 (Renuka A)",'Master Sheet'!D128,"")</f>
        <v/>
      </c>
      <c r="E127" t="str">
        <f>IF('Master Sheet'!C128="Area 5 (Renuka A)",'Master Sheet'!E128,"")</f>
        <v/>
      </c>
      <c r="F127" t="str">
        <f>IF('Master Sheet'!C128="Area 5 (Renuka A)",'Master Sheet'!F128,"")</f>
        <v/>
      </c>
      <c r="G127" t="str">
        <f>IF('Master Sheet'!C128="Area 5 (Renuka A)",'Master Sheet'!G128,"")</f>
        <v/>
      </c>
      <c r="H127" t="str">
        <f>IF('Master Sheet'!C128="Area 5 (Renuka A)",'Master Sheet'!H128,"")</f>
        <v/>
      </c>
      <c r="I127" t="str">
        <f>IF('Master Sheet'!C128="Area 5 (Renuka A)",'Master Sheet'!I128,"")</f>
        <v/>
      </c>
      <c r="J127" t="str">
        <f>IF('Master Sheet'!C128="Area 5 (Renuka A)",'Master Sheet'!J128,"")</f>
        <v/>
      </c>
      <c r="K127" t="str">
        <f>IF('Master Sheet'!C128="Area 5 (Renuka A)",'Master Sheet'!K128,"")</f>
        <v/>
      </c>
      <c r="L127" t="str">
        <f>IF('Master Sheet'!C128="Area 5 (Renuka A)",'Master Sheet'!L128,"")</f>
        <v/>
      </c>
      <c r="M127" t="str">
        <f>IF('Master Sheet'!C128="Area 5 (Renuka A)",'Master Sheet'!M128,"")</f>
        <v/>
      </c>
      <c r="N127" t="str">
        <f>IF('Master Sheet'!C128="Area 5 (Renuka A)",'Master Sheet'!N128,"")</f>
        <v/>
      </c>
      <c r="O127" t="str">
        <f>IF('Master Sheet'!C128="Area 5 (Renuka A)",'Master Sheet'!O128,"")</f>
        <v/>
      </c>
      <c r="P127" t="str">
        <f>IF('Master Sheet'!C128="Area 5 (Renuka A)",'Master Sheet'!P128,"")</f>
        <v/>
      </c>
    </row>
    <row r="128" spans="1:16" hidden="1" x14ac:dyDescent="0.25">
      <c r="A128" t="str">
        <f>IF('Master Sheet'!C129="Area 5 (Renuka A)",'Master Sheet'!A129,"")</f>
        <v/>
      </c>
      <c r="B128" t="str">
        <f>IF('Master Sheet'!C129="Area 5 (Renuka A)",'Master Sheet'!B129,"")</f>
        <v/>
      </c>
      <c r="C128" t="s">
        <v>8</v>
      </c>
      <c r="D128" t="str">
        <f>IF('Master Sheet'!C129="Area 5 (Renuka A)",'Master Sheet'!D129,"")</f>
        <v/>
      </c>
      <c r="E128" t="str">
        <f>IF('Master Sheet'!C129="Area 5 (Renuka A)",'Master Sheet'!E129,"")</f>
        <v/>
      </c>
      <c r="F128" t="str">
        <f>IF('Master Sheet'!C129="Area 5 (Renuka A)",'Master Sheet'!F129,"")</f>
        <v/>
      </c>
      <c r="G128" t="str">
        <f>IF('Master Sheet'!C129="Area 5 (Renuka A)",'Master Sheet'!G129,"")</f>
        <v/>
      </c>
      <c r="H128" t="str">
        <f>IF('Master Sheet'!C129="Area 5 (Renuka A)",'Master Sheet'!H129,"")</f>
        <v/>
      </c>
      <c r="I128" t="str">
        <f>IF('Master Sheet'!C129="Area 5 (Renuka A)",'Master Sheet'!I129,"")</f>
        <v/>
      </c>
      <c r="J128" t="str">
        <f>IF('Master Sheet'!C129="Area 5 (Renuka A)",'Master Sheet'!J129,"")</f>
        <v/>
      </c>
      <c r="K128" t="str">
        <f>IF('Master Sheet'!C129="Area 5 (Renuka A)",'Master Sheet'!K129,"")</f>
        <v/>
      </c>
      <c r="L128" t="str">
        <f>IF('Master Sheet'!C129="Area 5 (Renuka A)",'Master Sheet'!L129,"")</f>
        <v/>
      </c>
      <c r="M128" t="str">
        <f>IF('Master Sheet'!C129="Area 5 (Renuka A)",'Master Sheet'!M129,"")</f>
        <v/>
      </c>
      <c r="N128" t="str">
        <f>IF('Master Sheet'!C129="Area 5 (Renuka A)",'Master Sheet'!N129,"")</f>
        <v/>
      </c>
      <c r="O128" t="str">
        <f>IF('Master Sheet'!C129="Area 5 (Renuka A)",'Master Sheet'!O129,"")</f>
        <v/>
      </c>
      <c r="P128" t="str">
        <f>IF('Master Sheet'!C129="Area 5 (Renuka A)",'Master Sheet'!P129,"")</f>
        <v/>
      </c>
    </row>
    <row r="129" spans="1:16" hidden="1" x14ac:dyDescent="0.25">
      <c r="A129" t="str">
        <f>IF('Master Sheet'!C130="Area 5 (Renuka A)",'Master Sheet'!A130,"")</f>
        <v/>
      </c>
      <c r="B129" t="str">
        <f>IF('Master Sheet'!C130="Area 5 (Renuka A)",'Master Sheet'!B130,"")</f>
        <v/>
      </c>
      <c r="C129" t="s">
        <v>8</v>
      </c>
      <c r="D129" t="str">
        <f>IF('Master Sheet'!C130="Area 5 (Renuka A)",'Master Sheet'!D130,"")</f>
        <v/>
      </c>
      <c r="E129" t="str">
        <f>IF('Master Sheet'!C130="Area 5 (Renuka A)",'Master Sheet'!E130,"")</f>
        <v/>
      </c>
      <c r="F129" t="str">
        <f>IF('Master Sheet'!C130="Area 5 (Renuka A)",'Master Sheet'!F130,"")</f>
        <v/>
      </c>
      <c r="G129" t="str">
        <f>IF('Master Sheet'!C130="Area 5 (Renuka A)",'Master Sheet'!G130,"")</f>
        <v/>
      </c>
      <c r="H129" t="str">
        <f>IF('Master Sheet'!C130="Area 5 (Renuka A)",'Master Sheet'!H130,"")</f>
        <v/>
      </c>
      <c r="I129" t="str">
        <f>IF('Master Sheet'!C130="Area 5 (Renuka A)",'Master Sheet'!I130,"")</f>
        <v/>
      </c>
      <c r="J129" t="str">
        <f>IF('Master Sheet'!C130="Area 5 (Renuka A)",'Master Sheet'!J130,"")</f>
        <v/>
      </c>
      <c r="K129" t="str">
        <f>IF('Master Sheet'!C130="Area 5 (Renuka A)",'Master Sheet'!K130,"")</f>
        <v/>
      </c>
      <c r="L129" t="str">
        <f>IF('Master Sheet'!C130="Area 5 (Renuka A)",'Master Sheet'!L130,"")</f>
        <v/>
      </c>
      <c r="M129" t="str">
        <f>IF('Master Sheet'!C130="Area 5 (Renuka A)",'Master Sheet'!M130,"")</f>
        <v/>
      </c>
      <c r="N129" t="str">
        <f>IF('Master Sheet'!C130="Area 5 (Renuka A)",'Master Sheet'!N130,"")</f>
        <v/>
      </c>
      <c r="O129" t="str">
        <f>IF('Master Sheet'!C130="Area 5 (Renuka A)",'Master Sheet'!O130,"")</f>
        <v/>
      </c>
      <c r="P129" t="str">
        <f>IF('Master Sheet'!C130="Area 5 (Renuka A)",'Master Sheet'!P130,"")</f>
        <v/>
      </c>
    </row>
    <row r="130" spans="1:16" hidden="1" x14ac:dyDescent="0.25">
      <c r="A130" t="str">
        <f>IF('Master Sheet'!C131="Area 5 (Renuka A)",'Master Sheet'!A131,"")</f>
        <v/>
      </c>
      <c r="B130" t="str">
        <f>IF('Master Sheet'!C131="Area 5 (Renuka A)",'Master Sheet'!B131,"")</f>
        <v/>
      </c>
      <c r="C130" t="s">
        <v>8</v>
      </c>
      <c r="D130" t="str">
        <f>IF('Master Sheet'!C131="Area 5 (Renuka A)",'Master Sheet'!D131,"")</f>
        <v/>
      </c>
      <c r="E130" t="str">
        <f>IF('Master Sheet'!C131="Area 5 (Renuka A)",'Master Sheet'!E131,"")</f>
        <v/>
      </c>
      <c r="F130" t="str">
        <f>IF('Master Sheet'!C131="Area 5 (Renuka A)",'Master Sheet'!F131,"")</f>
        <v/>
      </c>
      <c r="G130" t="str">
        <f>IF('Master Sheet'!C131="Area 5 (Renuka A)",'Master Sheet'!G131,"")</f>
        <v/>
      </c>
      <c r="H130" t="str">
        <f>IF('Master Sheet'!C131="Area 5 (Renuka A)",'Master Sheet'!H131,"")</f>
        <v/>
      </c>
      <c r="I130" t="str">
        <f>IF('Master Sheet'!C131="Area 5 (Renuka A)",'Master Sheet'!I131,"")</f>
        <v/>
      </c>
      <c r="J130" t="str">
        <f>IF('Master Sheet'!C131="Area 5 (Renuka A)",'Master Sheet'!J131,"")</f>
        <v/>
      </c>
      <c r="K130" t="str">
        <f>IF('Master Sheet'!C131="Area 5 (Renuka A)",'Master Sheet'!K131,"")</f>
        <v/>
      </c>
      <c r="L130" t="str">
        <f>IF('Master Sheet'!C131="Area 5 (Renuka A)",'Master Sheet'!L131,"")</f>
        <v/>
      </c>
      <c r="M130" t="str">
        <f>IF('Master Sheet'!C131="Area 5 (Renuka A)",'Master Sheet'!M131,"")</f>
        <v/>
      </c>
      <c r="N130" t="str">
        <f>IF('Master Sheet'!C131="Area 5 (Renuka A)",'Master Sheet'!N131,"")</f>
        <v/>
      </c>
      <c r="O130" t="str">
        <f>IF('Master Sheet'!C131="Area 5 (Renuka A)",'Master Sheet'!O131,"")</f>
        <v/>
      </c>
      <c r="P130" t="str">
        <f>IF('Master Sheet'!C131="Area 5 (Renuka A)",'Master Sheet'!P131,"")</f>
        <v/>
      </c>
    </row>
    <row r="131" spans="1:16" hidden="1" x14ac:dyDescent="0.25">
      <c r="A131" t="str">
        <f>IF('Master Sheet'!C132="Area 5 (Renuka A)",'Master Sheet'!A132,"")</f>
        <v/>
      </c>
      <c r="B131" t="str">
        <f>IF('Master Sheet'!C132="Area 5 (Renuka A)",'Master Sheet'!B132,"")</f>
        <v/>
      </c>
      <c r="C131" t="s">
        <v>8</v>
      </c>
      <c r="D131" t="str">
        <f>IF('Master Sheet'!C132="Area 5 (Renuka A)",'Master Sheet'!D132,"")</f>
        <v/>
      </c>
      <c r="E131" t="str">
        <f>IF('Master Sheet'!C132="Area 5 (Renuka A)",'Master Sheet'!E132,"")</f>
        <v/>
      </c>
      <c r="F131" t="str">
        <f>IF('Master Sheet'!C132="Area 5 (Renuka A)",'Master Sheet'!F132,"")</f>
        <v/>
      </c>
      <c r="G131" t="str">
        <f>IF('Master Sheet'!C132="Area 5 (Renuka A)",'Master Sheet'!G132,"")</f>
        <v/>
      </c>
      <c r="H131" t="str">
        <f>IF('Master Sheet'!C132="Area 5 (Renuka A)",'Master Sheet'!H132,"")</f>
        <v/>
      </c>
      <c r="I131" t="str">
        <f>IF('Master Sheet'!C132="Area 5 (Renuka A)",'Master Sheet'!I132,"")</f>
        <v/>
      </c>
      <c r="J131" t="str">
        <f>IF('Master Sheet'!C132="Area 5 (Renuka A)",'Master Sheet'!J132,"")</f>
        <v/>
      </c>
      <c r="K131" t="str">
        <f>IF('Master Sheet'!C132="Area 5 (Renuka A)",'Master Sheet'!K132,"")</f>
        <v/>
      </c>
      <c r="L131" t="str">
        <f>IF('Master Sheet'!C132="Area 5 (Renuka A)",'Master Sheet'!L132,"")</f>
        <v/>
      </c>
      <c r="M131" t="str">
        <f>IF('Master Sheet'!C132="Area 5 (Renuka A)",'Master Sheet'!M132,"")</f>
        <v/>
      </c>
      <c r="N131" t="str">
        <f>IF('Master Sheet'!C132="Area 5 (Renuka A)",'Master Sheet'!N132,"")</f>
        <v/>
      </c>
      <c r="O131" t="str">
        <f>IF('Master Sheet'!C132="Area 5 (Renuka A)",'Master Sheet'!O132,"")</f>
        <v/>
      </c>
      <c r="P131" t="str">
        <f>IF('Master Sheet'!C132="Area 5 (Renuka A)",'Master Sheet'!P132,"")</f>
        <v/>
      </c>
    </row>
    <row r="132" spans="1:16" hidden="1" x14ac:dyDescent="0.25">
      <c r="A132" t="str">
        <f>IF('Master Sheet'!C133="Area 5 (Renuka A)",'Master Sheet'!A133,"")</f>
        <v/>
      </c>
      <c r="B132" t="str">
        <f>IF('Master Sheet'!C133="Area 5 (Renuka A)",'Master Sheet'!B133,"")</f>
        <v/>
      </c>
      <c r="C132" t="s">
        <v>8</v>
      </c>
      <c r="D132" t="str">
        <f>IF('Master Sheet'!C133="Area 5 (Renuka A)",'Master Sheet'!D133,"")</f>
        <v/>
      </c>
      <c r="E132" t="str">
        <f>IF('Master Sheet'!C133="Area 5 (Renuka A)",'Master Sheet'!E133,"")</f>
        <v/>
      </c>
      <c r="F132" t="str">
        <f>IF('Master Sheet'!C133="Area 5 (Renuka A)",'Master Sheet'!F133,"")</f>
        <v/>
      </c>
      <c r="G132" t="str">
        <f>IF('Master Sheet'!C133="Area 5 (Renuka A)",'Master Sheet'!G133,"")</f>
        <v/>
      </c>
      <c r="H132" t="str">
        <f>IF('Master Sheet'!C133="Area 5 (Renuka A)",'Master Sheet'!H133,"")</f>
        <v/>
      </c>
      <c r="I132" t="str">
        <f>IF('Master Sheet'!C133="Area 5 (Renuka A)",'Master Sheet'!I133,"")</f>
        <v/>
      </c>
      <c r="J132" t="str">
        <f>IF('Master Sheet'!C133="Area 5 (Renuka A)",'Master Sheet'!J133,"")</f>
        <v/>
      </c>
      <c r="K132" t="str">
        <f>IF('Master Sheet'!C133="Area 5 (Renuka A)",'Master Sheet'!K133,"")</f>
        <v/>
      </c>
      <c r="L132" t="str">
        <f>IF('Master Sheet'!C133="Area 5 (Renuka A)",'Master Sheet'!L133,"")</f>
        <v/>
      </c>
      <c r="M132" t="str">
        <f>IF('Master Sheet'!C133="Area 5 (Renuka A)",'Master Sheet'!M133,"")</f>
        <v/>
      </c>
      <c r="N132" t="str">
        <f>IF('Master Sheet'!C133="Area 5 (Renuka A)",'Master Sheet'!N133,"")</f>
        <v/>
      </c>
      <c r="O132" t="str">
        <f>IF('Master Sheet'!C133="Area 5 (Renuka A)",'Master Sheet'!O133,"")</f>
        <v/>
      </c>
      <c r="P132" t="str">
        <f>IF('Master Sheet'!C133="Area 5 (Renuka A)",'Master Sheet'!P133,"")</f>
        <v/>
      </c>
    </row>
    <row r="133" spans="1:16" hidden="1" x14ac:dyDescent="0.25">
      <c r="A133" t="str">
        <f>IF('Master Sheet'!C134="Area 5 (Renuka A)",'Master Sheet'!A134,"")</f>
        <v/>
      </c>
      <c r="B133" t="str">
        <f>IF('Master Sheet'!C134="Area 5 (Renuka A)",'Master Sheet'!B134,"")</f>
        <v/>
      </c>
      <c r="C133" t="s">
        <v>8</v>
      </c>
      <c r="D133" t="str">
        <f>IF('Master Sheet'!C134="Area 5 (Renuka A)",'Master Sheet'!D134,"")</f>
        <v/>
      </c>
      <c r="E133" t="str">
        <f>IF('Master Sheet'!C134="Area 5 (Renuka A)",'Master Sheet'!E134,"")</f>
        <v/>
      </c>
      <c r="F133" t="str">
        <f>IF('Master Sheet'!C134="Area 5 (Renuka A)",'Master Sheet'!F134,"")</f>
        <v/>
      </c>
      <c r="G133" t="str">
        <f>IF('Master Sheet'!C134="Area 5 (Renuka A)",'Master Sheet'!G134,"")</f>
        <v/>
      </c>
      <c r="H133" t="str">
        <f>IF('Master Sheet'!C134="Area 5 (Renuka A)",'Master Sheet'!H134,"")</f>
        <v/>
      </c>
      <c r="I133" t="str">
        <f>IF('Master Sheet'!C134="Area 5 (Renuka A)",'Master Sheet'!I134,"")</f>
        <v/>
      </c>
      <c r="J133" t="str">
        <f>IF('Master Sheet'!C134="Area 5 (Renuka A)",'Master Sheet'!J134,"")</f>
        <v/>
      </c>
      <c r="K133" t="str">
        <f>IF('Master Sheet'!C134="Area 5 (Renuka A)",'Master Sheet'!K134,"")</f>
        <v/>
      </c>
      <c r="L133" t="str">
        <f>IF('Master Sheet'!C134="Area 5 (Renuka A)",'Master Sheet'!L134,"")</f>
        <v/>
      </c>
      <c r="M133" t="str">
        <f>IF('Master Sheet'!C134="Area 5 (Renuka A)",'Master Sheet'!M134,"")</f>
        <v/>
      </c>
      <c r="N133" t="str">
        <f>IF('Master Sheet'!C134="Area 5 (Renuka A)",'Master Sheet'!N134,"")</f>
        <v/>
      </c>
      <c r="O133" t="str">
        <f>IF('Master Sheet'!C134="Area 5 (Renuka A)",'Master Sheet'!O134,"")</f>
        <v/>
      </c>
      <c r="P133" t="str">
        <f>IF('Master Sheet'!C134="Area 5 (Renuka A)",'Master Sheet'!P134,"")</f>
        <v/>
      </c>
    </row>
    <row r="134" spans="1:16" hidden="1" x14ac:dyDescent="0.25">
      <c r="A134" t="str">
        <f>IF('Master Sheet'!C135="Area 5 (Renuka A)",'Master Sheet'!A135,"")</f>
        <v/>
      </c>
      <c r="B134" t="str">
        <f>IF('Master Sheet'!C135="Area 5 (Renuka A)",'Master Sheet'!B135,"")</f>
        <v/>
      </c>
      <c r="C134" t="s">
        <v>8</v>
      </c>
      <c r="D134" t="str">
        <f>IF('Master Sheet'!C135="Area 5 (Renuka A)",'Master Sheet'!D135,"")</f>
        <v/>
      </c>
      <c r="E134" t="str">
        <f>IF('Master Sheet'!C135="Area 5 (Renuka A)",'Master Sheet'!E135,"")</f>
        <v/>
      </c>
      <c r="F134" t="str">
        <f>IF('Master Sheet'!C135="Area 5 (Renuka A)",'Master Sheet'!F135,"")</f>
        <v/>
      </c>
      <c r="G134" t="str">
        <f>IF('Master Sheet'!C135="Area 5 (Renuka A)",'Master Sheet'!G135,"")</f>
        <v/>
      </c>
      <c r="H134" t="str">
        <f>IF('Master Sheet'!C135="Area 5 (Renuka A)",'Master Sheet'!H135,"")</f>
        <v/>
      </c>
      <c r="I134" t="str">
        <f>IF('Master Sheet'!C135="Area 5 (Renuka A)",'Master Sheet'!I135,"")</f>
        <v/>
      </c>
      <c r="J134" t="str">
        <f>IF('Master Sheet'!C135="Area 5 (Renuka A)",'Master Sheet'!J135,"")</f>
        <v/>
      </c>
      <c r="K134" t="str">
        <f>IF('Master Sheet'!C135="Area 5 (Renuka A)",'Master Sheet'!K135,"")</f>
        <v/>
      </c>
      <c r="L134" t="str">
        <f>IF('Master Sheet'!C135="Area 5 (Renuka A)",'Master Sheet'!L135,"")</f>
        <v/>
      </c>
      <c r="M134" t="str">
        <f>IF('Master Sheet'!C135="Area 5 (Renuka A)",'Master Sheet'!M135,"")</f>
        <v/>
      </c>
      <c r="N134" t="str">
        <f>IF('Master Sheet'!C135="Area 5 (Renuka A)",'Master Sheet'!N135,"")</f>
        <v/>
      </c>
      <c r="O134" t="str">
        <f>IF('Master Sheet'!C135="Area 5 (Renuka A)",'Master Sheet'!O135,"")</f>
        <v/>
      </c>
      <c r="P134" t="str">
        <f>IF('Master Sheet'!C135="Area 5 (Renuka A)",'Master Sheet'!P135,"")</f>
        <v/>
      </c>
    </row>
    <row r="135" spans="1:16" hidden="1" x14ac:dyDescent="0.25">
      <c r="A135" t="str">
        <f>IF('Master Sheet'!C136="Area 5 (Renuka A)",'Master Sheet'!A136,"")</f>
        <v/>
      </c>
      <c r="B135" t="str">
        <f>IF('Master Sheet'!C136="Area 5 (Renuka A)",'Master Sheet'!B136,"")</f>
        <v/>
      </c>
      <c r="C135" t="s">
        <v>8</v>
      </c>
      <c r="D135" t="str">
        <f>IF('Master Sheet'!C136="Area 5 (Renuka A)",'Master Sheet'!D136,"")</f>
        <v/>
      </c>
      <c r="E135" t="str">
        <f>IF('Master Sheet'!C136="Area 5 (Renuka A)",'Master Sheet'!E136,"")</f>
        <v/>
      </c>
      <c r="F135" t="str">
        <f>IF('Master Sheet'!C136="Area 5 (Renuka A)",'Master Sheet'!F136,"")</f>
        <v/>
      </c>
      <c r="G135" t="str">
        <f>IF('Master Sheet'!C136="Area 5 (Renuka A)",'Master Sheet'!G136,"")</f>
        <v/>
      </c>
      <c r="H135" t="str">
        <f>IF('Master Sheet'!C136="Area 5 (Renuka A)",'Master Sheet'!H136,"")</f>
        <v/>
      </c>
      <c r="I135" t="str">
        <f>IF('Master Sheet'!C136="Area 5 (Renuka A)",'Master Sheet'!I136,"")</f>
        <v/>
      </c>
      <c r="J135" t="str">
        <f>IF('Master Sheet'!C136="Area 5 (Renuka A)",'Master Sheet'!J136,"")</f>
        <v/>
      </c>
      <c r="K135" t="str">
        <f>IF('Master Sheet'!C136="Area 5 (Renuka A)",'Master Sheet'!K136,"")</f>
        <v/>
      </c>
      <c r="L135" t="str">
        <f>IF('Master Sheet'!C136="Area 5 (Renuka A)",'Master Sheet'!L136,"")</f>
        <v/>
      </c>
      <c r="M135" t="str">
        <f>IF('Master Sheet'!C136="Area 5 (Renuka A)",'Master Sheet'!M136,"")</f>
        <v/>
      </c>
      <c r="N135" t="str">
        <f>IF('Master Sheet'!C136="Area 5 (Renuka A)",'Master Sheet'!N136,"")</f>
        <v/>
      </c>
      <c r="O135" t="str">
        <f>IF('Master Sheet'!C136="Area 5 (Renuka A)",'Master Sheet'!O136,"")</f>
        <v/>
      </c>
      <c r="P135" t="str">
        <f>IF('Master Sheet'!C136="Area 5 (Renuka A)",'Master Sheet'!P136,"")</f>
        <v/>
      </c>
    </row>
    <row r="136" spans="1:16" hidden="1" x14ac:dyDescent="0.25">
      <c r="A136" t="str">
        <f>IF('Master Sheet'!C137="Area 5 (Renuka A)",'Master Sheet'!A137,"")</f>
        <v/>
      </c>
      <c r="B136" t="str">
        <f>IF('Master Sheet'!C137="Area 5 (Renuka A)",'Master Sheet'!B137,"")</f>
        <v/>
      </c>
      <c r="C136" t="s">
        <v>8</v>
      </c>
      <c r="D136" t="str">
        <f>IF('Master Sheet'!C137="Area 5 (Renuka A)",'Master Sheet'!D137,"")</f>
        <v/>
      </c>
      <c r="E136" t="str">
        <f>IF('Master Sheet'!C137="Area 5 (Renuka A)",'Master Sheet'!E137,"")</f>
        <v/>
      </c>
      <c r="F136" t="str">
        <f>IF('Master Sheet'!C137="Area 5 (Renuka A)",'Master Sheet'!F137,"")</f>
        <v/>
      </c>
      <c r="G136" t="str">
        <f>IF('Master Sheet'!C137="Area 5 (Renuka A)",'Master Sheet'!G137,"")</f>
        <v/>
      </c>
      <c r="H136" t="str">
        <f>IF('Master Sheet'!C137="Area 5 (Renuka A)",'Master Sheet'!H137,"")</f>
        <v/>
      </c>
      <c r="I136" t="str">
        <f>IF('Master Sheet'!C137="Area 5 (Renuka A)",'Master Sheet'!I137,"")</f>
        <v/>
      </c>
      <c r="J136" t="str">
        <f>IF('Master Sheet'!C137="Area 5 (Renuka A)",'Master Sheet'!J137,"")</f>
        <v/>
      </c>
      <c r="K136" t="str">
        <f>IF('Master Sheet'!C137="Area 5 (Renuka A)",'Master Sheet'!K137,"")</f>
        <v/>
      </c>
      <c r="L136" t="str">
        <f>IF('Master Sheet'!C137="Area 5 (Renuka A)",'Master Sheet'!L137,"")</f>
        <v/>
      </c>
      <c r="M136" t="str">
        <f>IF('Master Sheet'!C137="Area 5 (Renuka A)",'Master Sheet'!M137,"")</f>
        <v/>
      </c>
      <c r="N136" t="str">
        <f>IF('Master Sheet'!C137="Area 5 (Renuka A)",'Master Sheet'!N137,"")</f>
        <v/>
      </c>
      <c r="O136" t="str">
        <f>IF('Master Sheet'!C137="Area 5 (Renuka A)",'Master Sheet'!O137,"")</f>
        <v/>
      </c>
      <c r="P136" t="str">
        <f>IF('Master Sheet'!C137="Area 5 (Renuka A)",'Master Sheet'!P137,"")</f>
        <v/>
      </c>
    </row>
    <row r="137" spans="1:16" hidden="1" x14ac:dyDescent="0.25">
      <c r="A137" t="str">
        <f>IF('Master Sheet'!C138="Area 5 (Renuka A)",'Master Sheet'!A138,"")</f>
        <v/>
      </c>
      <c r="B137" t="str">
        <f>IF('Master Sheet'!C138="Area 5 (Renuka A)",'Master Sheet'!B138,"")</f>
        <v/>
      </c>
      <c r="C137" t="s">
        <v>8</v>
      </c>
      <c r="D137" t="str">
        <f>IF('Master Sheet'!C138="Area 5 (Renuka A)",'Master Sheet'!D138,"")</f>
        <v/>
      </c>
      <c r="E137" t="str">
        <f>IF('Master Sheet'!C138="Area 5 (Renuka A)",'Master Sheet'!E138,"")</f>
        <v/>
      </c>
      <c r="F137" t="str">
        <f>IF('Master Sheet'!C138="Area 5 (Renuka A)",'Master Sheet'!F138,"")</f>
        <v/>
      </c>
      <c r="G137" t="str">
        <f>IF('Master Sheet'!C138="Area 5 (Renuka A)",'Master Sheet'!G138,"")</f>
        <v/>
      </c>
      <c r="H137" t="str">
        <f>IF('Master Sheet'!C138="Area 5 (Renuka A)",'Master Sheet'!H138,"")</f>
        <v/>
      </c>
      <c r="I137" t="str">
        <f>IF('Master Sheet'!C138="Area 5 (Renuka A)",'Master Sheet'!I138,"")</f>
        <v/>
      </c>
      <c r="J137" t="str">
        <f>IF('Master Sheet'!C138="Area 5 (Renuka A)",'Master Sheet'!J138,"")</f>
        <v/>
      </c>
      <c r="K137" t="str">
        <f>IF('Master Sheet'!C138="Area 5 (Renuka A)",'Master Sheet'!K138,"")</f>
        <v/>
      </c>
      <c r="L137" t="str">
        <f>IF('Master Sheet'!C138="Area 5 (Renuka A)",'Master Sheet'!L138,"")</f>
        <v/>
      </c>
      <c r="M137" t="str">
        <f>IF('Master Sheet'!C138="Area 5 (Renuka A)",'Master Sheet'!M138,"")</f>
        <v/>
      </c>
      <c r="N137" t="str">
        <f>IF('Master Sheet'!C138="Area 5 (Renuka A)",'Master Sheet'!N138,"")</f>
        <v/>
      </c>
      <c r="O137" t="str">
        <f>IF('Master Sheet'!C138="Area 5 (Renuka A)",'Master Sheet'!O138,"")</f>
        <v/>
      </c>
      <c r="P137" t="str">
        <f>IF('Master Sheet'!C138="Area 5 (Renuka A)",'Master Sheet'!P138,"")</f>
        <v/>
      </c>
    </row>
    <row r="138" spans="1:16" hidden="1" x14ac:dyDescent="0.25">
      <c r="A138" t="str">
        <f>IF('Master Sheet'!C139="Area 5 (Renuka A)",'Master Sheet'!A139,"")</f>
        <v/>
      </c>
      <c r="B138" t="str">
        <f>IF('Master Sheet'!C139="Area 5 (Renuka A)",'Master Sheet'!B139,"")</f>
        <v/>
      </c>
      <c r="C138" t="s">
        <v>8</v>
      </c>
      <c r="D138" t="str">
        <f>IF('Master Sheet'!C139="Area 5 (Renuka A)",'Master Sheet'!D139,"")</f>
        <v/>
      </c>
      <c r="E138" t="str">
        <f>IF('Master Sheet'!C139="Area 5 (Renuka A)",'Master Sheet'!E139,"")</f>
        <v/>
      </c>
      <c r="F138" t="str">
        <f>IF('Master Sheet'!C139="Area 5 (Renuka A)",'Master Sheet'!F139,"")</f>
        <v/>
      </c>
      <c r="G138" t="str">
        <f>IF('Master Sheet'!C139="Area 5 (Renuka A)",'Master Sheet'!G139,"")</f>
        <v/>
      </c>
      <c r="H138" t="str">
        <f>IF('Master Sheet'!C139="Area 5 (Renuka A)",'Master Sheet'!H139,"")</f>
        <v/>
      </c>
      <c r="I138" t="str">
        <f>IF('Master Sheet'!C139="Area 5 (Renuka A)",'Master Sheet'!I139,"")</f>
        <v/>
      </c>
      <c r="J138" t="str">
        <f>IF('Master Sheet'!C139="Area 5 (Renuka A)",'Master Sheet'!J139,"")</f>
        <v/>
      </c>
      <c r="K138" t="str">
        <f>IF('Master Sheet'!C139="Area 5 (Renuka A)",'Master Sheet'!K139,"")</f>
        <v/>
      </c>
      <c r="L138" t="str">
        <f>IF('Master Sheet'!C139="Area 5 (Renuka A)",'Master Sheet'!L139,"")</f>
        <v/>
      </c>
      <c r="M138" t="str">
        <f>IF('Master Sheet'!C139="Area 5 (Renuka A)",'Master Sheet'!M139,"")</f>
        <v/>
      </c>
      <c r="N138" t="str">
        <f>IF('Master Sheet'!C139="Area 5 (Renuka A)",'Master Sheet'!N139,"")</f>
        <v/>
      </c>
      <c r="O138" t="str">
        <f>IF('Master Sheet'!C139="Area 5 (Renuka A)",'Master Sheet'!O139,"")</f>
        <v/>
      </c>
      <c r="P138" t="str">
        <f>IF('Master Sheet'!C139="Area 5 (Renuka A)",'Master Sheet'!P139,"")</f>
        <v/>
      </c>
    </row>
    <row r="139" spans="1:16" hidden="1" x14ac:dyDescent="0.25">
      <c r="A139" t="str">
        <f>IF('Master Sheet'!C140="Area 5 (Renuka A)",'Master Sheet'!A140,"")</f>
        <v/>
      </c>
      <c r="B139" t="str">
        <f>IF('Master Sheet'!C140="Area 5 (Renuka A)",'Master Sheet'!B140,"")</f>
        <v/>
      </c>
      <c r="C139" t="s">
        <v>8</v>
      </c>
      <c r="D139" t="str">
        <f>IF('Master Sheet'!C140="Area 5 (Renuka A)",'Master Sheet'!D140,"")</f>
        <v/>
      </c>
      <c r="E139" t="str">
        <f>IF('Master Sheet'!C140="Area 5 (Renuka A)",'Master Sheet'!E140,"")</f>
        <v/>
      </c>
      <c r="F139" t="str">
        <f>IF('Master Sheet'!C140="Area 5 (Renuka A)",'Master Sheet'!F140,"")</f>
        <v/>
      </c>
      <c r="G139" t="str">
        <f>IF('Master Sheet'!C140="Area 5 (Renuka A)",'Master Sheet'!G140,"")</f>
        <v/>
      </c>
      <c r="H139" t="str">
        <f>IF('Master Sheet'!C140="Area 5 (Renuka A)",'Master Sheet'!H140,"")</f>
        <v/>
      </c>
      <c r="I139" t="str">
        <f>IF('Master Sheet'!C140="Area 5 (Renuka A)",'Master Sheet'!I140,"")</f>
        <v/>
      </c>
      <c r="J139" t="str">
        <f>IF('Master Sheet'!C140="Area 5 (Renuka A)",'Master Sheet'!J140,"")</f>
        <v/>
      </c>
      <c r="K139" t="str">
        <f>IF('Master Sheet'!C140="Area 5 (Renuka A)",'Master Sheet'!K140,"")</f>
        <v/>
      </c>
      <c r="L139" t="str">
        <f>IF('Master Sheet'!C140="Area 5 (Renuka A)",'Master Sheet'!L140,"")</f>
        <v/>
      </c>
      <c r="M139" t="str">
        <f>IF('Master Sheet'!C140="Area 5 (Renuka A)",'Master Sheet'!M140,"")</f>
        <v/>
      </c>
      <c r="N139" t="str">
        <f>IF('Master Sheet'!C140="Area 5 (Renuka A)",'Master Sheet'!N140,"")</f>
        <v/>
      </c>
      <c r="O139" t="str">
        <f>IF('Master Sheet'!C140="Area 5 (Renuka A)",'Master Sheet'!O140,"")</f>
        <v/>
      </c>
      <c r="P139" t="str">
        <f>IF('Master Sheet'!C140="Area 5 (Renuka A)",'Master Sheet'!P140,"")</f>
        <v/>
      </c>
    </row>
    <row r="140" spans="1:16" hidden="1" x14ac:dyDescent="0.25">
      <c r="A140" t="str">
        <f>IF('Master Sheet'!C141="Area 5 (Renuka A)",'Master Sheet'!A141,"")</f>
        <v/>
      </c>
      <c r="B140" t="str">
        <f>IF('Master Sheet'!C141="Area 5 (Renuka A)",'Master Sheet'!B141,"")</f>
        <v/>
      </c>
      <c r="C140" t="s">
        <v>8</v>
      </c>
      <c r="D140" t="str">
        <f>IF('Master Sheet'!C141="Area 5 (Renuka A)",'Master Sheet'!D141,"")</f>
        <v/>
      </c>
      <c r="E140" t="str">
        <f>IF('Master Sheet'!C141="Area 5 (Renuka A)",'Master Sheet'!E141,"")</f>
        <v/>
      </c>
      <c r="F140" t="str">
        <f>IF('Master Sheet'!C141="Area 5 (Renuka A)",'Master Sheet'!F141,"")</f>
        <v/>
      </c>
      <c r="G140" t="str">
        <f>IF('Master Sheet'!C141="Area 5 (Renuka A)",'Master Sheet'!G141,"")</f>
        <v/>
      </c>
      <c r="H140" t="str">
        <f>IF('Master Sheet'!C141="Area 5 (Renuka A)",'Master Sheet'!H141,"")</f>
        <v/>
      </c>
      <c r="I140" t="str">
        <f>IF('Master Sheet'!C141="Area 5 (Renuka A)",'Master Sheet'!I141,"")</f>
        <v/>
      </c>
      <c r="J140" t="str">
        <f>IF('Master Sheet'!C141="Area 5 (Renuka A)",'Master Sheet'!J141,"")</f>
        <v/>
      </c>
      <c r="K140" t="str">
        <f>IF('Master Sheet'!C141="Area 5 (Renuka A)",'Master Sheet'!K141,"")</f>
        <v/>
      </c>
      <c r="L140" t="str">
        <f>IF('Master Sheet'!C141="Area 5 (Renuka A)",'Master Sheet'!L141,"")</f>
        <v/>
      </c>
      <c r="M140" t="str">
        <f>IF('Master Sheet'!C141="Area 5 (Renuka A)",'Master Sheet'!M141,"")</f>
        <v/>
      </c>
      <c r="N140" t="str">
        <f>IF('Master Sheet'!C141="Area 5 (Renuka A)",'Master Sheet'!N141,"")</f>
        <v/>
      </c>
      <c r="O140" t="str">
        <f>IF('Master Sheet'!C141="Area 5 (Renuka A)",'Master Sheet'!O141,"")</f>
        <v/>
      </c>
      <c r="P140" t="str">
        <f>IF('Master Sheet'!C141="Area 5 (Renuka A)",'Master Sheet'!P141,"")</f>
        <v/>
      </c>
    </row>
    <row r="141" spans="1:16" hidden="1" x14ac:dyDescent="0.25">
      <c r="A141" t="str">
        <f>IF('Master Sheet'!C142="Area 5 (Renuka A)",'Master Sheet'!A142,"")</f>
        <v/>
      </c>
      <c r="B141" t="str">
        <f>IF('Master Sheet'!C142="Area 5 (Renuka A)",'Master Sheet'!B142,"")</f>
        <v/>
      </c>
      <c r="C141" t="s">
        <v>8</v>
      </c>
      <c r="D141" t="str">
        <f>IF('Master Sheet'!C142="Area 5 (Renuka A)",'Master Sheet'!D142,"")</f>
        <v/>
      </c>
      <c r="E141" t="str">
        <f>IF('Master Sheet'!C142="Area 5 (Renuka A)",'Master Sheet'!E142,"")</f>
        <v/>
      </c>
      <c r="F141" t="str">
        <f>IF('Master Sheet'!C142="Area 5 (Renuka A)",'Master Sheet'!F142,"")</f>
        <v/>
      </c>
      <c r="G141" t="str">
        <f>IF('Master Sheet'!C142="Area 5 (Renuka A)",'Master Sheet'!G142,"")</f>
        <v/>
      </c>
      <c r="H141" t="str">
        <f>IF('Master Sheet'!C142="Area 5 (Renuka A)",'Master Sheet'!H142,"")</f>
        <v/>
      </c>
      <c r="I141" t="str">
        <f>IF('Master Sheet'!C142="Area 5 (Renuka A)",'Master Sheet'!I142,"")</f>
        <v/>
      </c>
      <c r="J141" t="str">
        <f>IF('Master Sheet'!C142="Area 5 (Renuka A)",'Master Sheet'!J142,"")</f>
        <v/>
      </c>
      <c r="K141" t="str">
        <f>IF('Master Sheet'!C142="Area 5 (Renuka A)",'Master Sheet'!K142,"")</f>
        <v/>
      </c>
      <c r="L141" t="str">
        <f>IF('Master Sheet'!C142="Area 5 (Renuka A)",'Master Sheet'!L142,"")</f>
        <v/>
      </c>
      <c r="M141" t="str">
        <f>IF('Master Sheet'!C142="Area 5 (Renuka A)",'Master Sheet'!M142,"")</f>
        <v/>
      </c>
      <c r="N141" t="str">
        <f>IF('Master Sheet'!C142="Area 5 (Renuka A)",'Master Sheet'!N142,"")</f>
        <v/>
      </c>
      <c r="O141" t="str">
        <f>IF('Master Sheet'!C142="Area 5 (Renuka A)",'Master Sheet'!O142,"")</f>
        <v/>
      </c>
      <c r="P141" t="str">
        <f>IF('Master Sheet'!C142="Area 5 (Renuka A)",'Master Sheet'!P142,"")</f>
        <v/>
      </c>
    </row>
    <row r="142" spans="1:16" hidden="1" x14ac:dyDescent="0.25">
      <c r="A142" t="str">
        <f>IF('Master Sheet'!C143="Area 5 (Renuka A)",'Master Sheet'!A143,"")</f>
        <v/>
      </c>
      <c r="B142" t="str">
        <f>IF('Master Sheet'!C143="Area 5 (Renuka A)",'Master Sheet'!B143,"")</f>
        <v/>
      </c>
      <c r="C142" t="s">
        <v>8</v>
      </c>
      <c r="D142" t="str">
        <f>IF('Master Sheet'!C143="Area 5 (Renuka A)",'Master Sheet'!D143,"")</f>
        <v/>
      </c>
      <c r="E142" t="str">
        <f>IF('Master Sheet'!C143="Area 5 (Renuka A)",'Master Sheet'!E143,"")</f>
        <v/>
      </c>
      <c r="F142" t="str">
        <f>IF('Master Sheet'!C143="Area 5 (Renuka A)",'Master Sheet'!F143,"")</f>
        <v/>
      </c>
      <c r="G142" t="str">
        <f>IF('Master Sheet'!C143="Area 5 (Renuka A)",'Master Sheet'!G143,"")</f>
        <v/>
      </c>
      <c r="H142" t="str">
        <f>IF('Master Sheet'!C143="Area 5 (Renuka A)",'Master Sheet'!H143,"")</f>
        <v/>
      </c>
      <c r="I142" t="str">
        <f>IF('Master Sheet'!C143="Area 5 (Renuka A)",'Master Sheet'!I143,"")</f>
        <v/>
      </c>
      <c r="J142" t="str">
        <f>IF('Master Sheet'!C143="Area 5 (Renuka A)",'Master Sheet'!J143,"")</f>
        <v/>
      </c>
      <c r="K142" t="str">
        <f>IF('Master Sheet'!C143="Area 5 (Renuka A)",'Master Sheet'!K143,"")</f>
        <v/>
      </c>
      <c r="L142" t="str">
        <f>IF('Master Sheet'!C143="Area 5 (Renuka A)",'Master Sheet'!L143,"")</f>
        <v/>
      </c>
      <c r="M142" t="str">
        <f>IF('Master Sheet'!C143="Area 5 (Renuka A)",'Master Sheet'!M143,"")</f>
        <v/>
      </c>
      <c r="N142" t="str">
        <f>IF('Master Sheet'!C143="Area 5 (Renuka A)",'Master Sheet'!N143,"")</f>
        <v/>
      </c>
      <c r="O142" t="str">
        <f>IF('Master Sheet'!C143="Area 5 (Renuka A)",'Master Sheet'!O143,"")</f>
        <v/>
      </c>
      <c r="P142" t="str">
        <f>IF('Master Sheet'!C143="Area 5 (Renuka A)",'Master Sheet'!P143,"")</f>
        <v/>
      </c>
    </row>
    <row r="143" spans="1:16" hidden="1" x14ac:dyDescent="0.25">
      <c r="A143" t="str">
        <f>IF('Master Sheet'!C144="Area 5 (Renuka A)",'Master Sheet'!A144,"")</f>
        <v/>
      </c>
      <c r="B143" t="str">
        <f>IF('Master Sheet'!C144="Area 5 (Renuka A)",'Master Sheet'!B144,"")</f>
        <v/>
      </c>
      <c r="C143" t="s">
        <v>8</v>
      </c>
      <c r="D143" t="str">
        <f>IF('Master Sheet'!C144="Area 5 (Renuka A)",'Master Sheet'!D144,"")</f>
        <v/>
      </c>
      <c r="E143" t="str">
        <f>IF('Master Sheet'!C144="Area 5 (Renuka A)",'Master Sheet'!E144,"")</f>
        <v/>
      </c>
      <c r="F143" t="str">
        <f>IF('Master Sheet'!C144="Area 5 (Renuka A)",'Master Sheet'!F144,"")</f>
        <v/>
      </c>
      <c r="G143" t="str">
        <f>IF('Master Sheet'!C144="Area 5 (Renuka A)",'Master Sheet'!G144,"")</f>
        <v/>
      </c>
      <c r="H143" t="str">
        <f>IF('Master Sheet'!C144="Area 5 (Renuka A)",'Master Sheet'!H144,"")</f>
        <v/>
      </c>
      <c r="I143" t="str">
        <f>IF('Master Sheet'!C144="Area 5 (Renuka A)",'Master Sheet'!I144,"")</f>
        <v/>
      </c>
      <c r="J143" t="str">
        <f>IF('Master Sheet'!C144="Area 5 (Renuka A)",'Master Sheet'!J144,"")</f>
        <v/>
      </c>
      <c r="K143" t="str">
        <f>IF('Master Sheet'!C144="Area 5 (Renuka A)",'Master Sheet'!K144,"")</f>
        <v/>
      </c>
      <c r="L143" t="str">
        <f>IF('Master Sheet'!C144="Area 5 (Renuka A)",'Master Sheet'!L144,"")</f>
        <v/>
      </c>
      <c r="M143" t="str">
        <f>IF('Master Sheet'!C144="Area 5 (Renuka A)",'Master Sheet'!M144,"")</f>
        <v/>
      </c>
      <c r="N143" t="str">
        <f>IF('Master Sheet'!C144="Area 5 (Renuka A)",'Master Sheet'!N144,"")</f>
        <v/>
      </c>
      <c r="O143" t="str">
        <f>IF('Master Sheet'!C144="Area 5 (Renuka A)",'Master Sheet'!O144,"")</f>
        <v/>
      </c>
      <c r="P143" t="str">
        <f>IF('Master Sheet'!C144="Area 5 (Renuka A)",'Master Sheet'!P144,"")</f>
        <v/>
      </c>
    </row>
    <row r="144" spans="1:16" hidden="1" x14ac:dyDescent="0.25">
      <c r="A144" t="str">
        <f>IF('Master Sheet'!C145="Area 5 (Renuka A)",'Master Sheet'!A145,"")</f>
        <v/>
      </c>
      <c r="B144" t="str">
        <f>IF('Master Sheet'!C145="Area 5 (Renuka A)",'Master Sheet'!B145,"")</f>
        <v/>
      </c>
      <c r="C144" t="s">
        <v>8</v>
      </c>
      <c r="D144" t="str">
        <f>IF('Master Sheet'!C145="Area 5 (Renuka A)",'Master Sheet'!D145,"")</f>
        <v/>
      </c>
      <c r="E144" t="str">
        <f>IF('Master Sheet'!C145="Area 5 (Renuka A)",'Master Sheet'!E145,"")</f>
        <v/>
      </c>
      <c r="F144" t="str">
        <f>IF('Master Sheet'!C145="Area 5 (Renuka A)",'Master Sheet'!F145,"")</f>
        <v/>
      </c>
      <c r="G144" t="str">
        <f>IF('Master Sheet'!C145="Area 5 (Renuka A)",'Master Sheet'!G145,"")</f>
        <v/>
      </c>
      <c r="H144" t="str">
        <f>IF('Master Sheet'!C145="Area 5 (Renuka A)",'Master Sheet'!H145,"")</f>
        <v/>
      </c>
      <c r="I144" t="str">
        <f>IF('Master Sheet'!C145="Area 5 (Renuka A)",'Master Sheet'!I145,"")</f>
        <v/>
      </c>
      <c r="J144" t="str">
        <f>IF('Master Sheet'!C145="Area 5 (Renuka A)",'Master Sheet'!J145,"")</f>
        <v/>
      </c>
      <c r="K144" t="str">
        <f>IF('Master Sheet'!C145="Area 5 (Renuka A)",'Master Sheet'!K145,"")</f>
        <v/>
      </c>
      <c r="L144" t="str">
        <f>IF('Master Sheet'!C145="Area 5 (Renuka A)",'Master Sheet'!L145,"")</f>
        <v/>
      </c>
      <c r="M144" t="str">
        <f>IF('Master Sheet'!C145="Area 5 (Renuka A)",'Master Sheet'!M145,"")</f>
        <v/>
      </c>
      <c r="N144" t="str">
        <f>IF('Master Sheet'!C145="Area 5 (Renuka A)",'Master Sheet'!N145,"")</f>
        <v/>
      </c>
      <c r="O144" t="str">
        <f>IF('Master Sheet'!C145="Area 5 (Renuka A)",'Master Sheet'!O145,"")</f>
        <v/>
      </c>
      <c r="P144" t="str">
        <f>IF('Master Sheet'!C145="Area 5 (Renuka A)",'Master Sheet'!P145,"")</f>
        <v/>
      </c>
    </row>
    <row r="145" spans="1:16" hidden="1" x14ac:dyDescent="0.25">
      <c r="A145" t="str">
        <f>IF('Master Sheet'!C146="Area 5 (Renuka A)",'Master Sheet'!A146,"")</f>
        <v/>
      </c>
      <c r="B145" t="str">
        <f>IF('Master Sheet'!C146="Area 5 (Renuka A)",'Master Sheet'!B146,"")</f>
        <v/>
      </c>
      <c r="C145" t="s">
        <v>8</v>
      </c>
      <c r="D145" t="str">
        <f>IF('Master Sheet'!C146="Area 5 (Renuka A)",'Master Sheet'!D146,"")</f>
        <v/>
      </c>
      <c r="E145" t="str">
        <f>IF('Master Sheet'!C146="Area 5 (Renuka A)",'Master Sheet'!E146,"")</f>
        <v/>
      </c>
      <c r="F145" t="str">
        <f>IF('Master Sheet'!C146="Area 5 (Renuka A)",'Master Sheet'!F146,"")</f>
        <v/>
      </c>
      <c r="G145" t="str">
        <f>IF('Master Sheet'!C146="Area 5 (Renuka A)",'Master Sheet'!G146,"")</f>
        <v/>
      </c>
      <c r="H145" t="str">
        <f>IF('Master Sheet'!C146="Area 5 (Renuka A)",'Master Sheet'!H146,"")</f>
        <v/>
      </c>
      <c r="I145" t="str">
        <f>IF('Master Sheet'!C146="Area 5 (Renuka A)",'Master Sheet'!I146,"")</f>
        <v/>
      </c>
      <c r="J145" t="str">
        <f>IF('Master Sheet'!C146="Area 5 (Renuka A)",'Master Sheet'!J146,"")</f>
        <v/>
      </c>
      <c r="K145" t="str">
        <f>IF('Master Sheet'!C146="Area 5 (Renuka A)",'Master Sheet'!K146,"")</f>
        <v/>
      </c>
      <c r="L145" t="str">
        <f>IF('Master Sheet'!C146="Area 5 (Renuka A)",'Master Sheet'!L146,"")</f>
        <v/>
      </c>
      <c r="M145" t="str">
        <f>IF('Master Sheet'!C146="Area 5 (Renuka A)",'Master Sheet'!M146,"")</f>
        <v/>
      </c>
      <c r="N145" t="str">
        <f>IF('Master Sheet'!C146="Area 5 (Renuka A)",'Master Sheet'!N146,"")</f>
        <v/>
      </c>
      <c r="O145" t="str">
        <f>IF('Master Sheet'!C146="Area 5 (Renuka A)",'Master Sheet'!O146,"")</f>
        <v/>
      </c>
      <c r="P145" t="str">
        <f>IF('Master Sheet'!C146="Area 5 (Renuka A)",'Master Sheet'!P146,"")</f>
        <v/>
      </c>
    </row>
    <row r="146" spans="1:16" hidden="1" x14ac:dyDescent="0.25">
      <c r="A146" t="str">
        <f>IF('Master Sheet'!C147="Area 5 (Renuka A)",'Master Sheet'!A147,"")</f>
        <v/>
      </c>
      <c r="B146" t="str">
        <f>IF('Master Sheet'!C147="Area 5 (Renuka A)",'Master Sheet'!B147,"")</f>
        <v/>
      </c>
      <c r="C146" t="s">
        <v>8</v>
      </c>
      <c r="D146" t="str">
        <f>IF('Master Sheet'!C147="Area 5 (Renuka A)",'Master Sheet'!D147,"")</f>
        <v/>
      </c>
      <c r="E146" t="str">
        <f>IF('Master Sheet'!C147="Area 5 (Renuka A)",'Master Sheet'!E147,"")</f>
        <v/>
      </c>
      <c r="F146" t="str">
        <f>IF('Master Sheet'!C147="Area 5 (Renuka A)",'Master Sheet'!F147,"")</f>
        <v/>
      </c>
      <c r="G146" t="str">
        <f>IF('Master Sheet'!C147="Area 5 (Renuka A)",'Master Sheet'!G147,"")</f>
        <v/>
      </c>
      <c r="H146" t="str">
        <f>IF('Master Sheet'!C147="Area 5 (Renuka A)",'Master Sheet'!H147,"")</f>
        <v/>
      </c>
      <c r="I146" t="str">
        <f>IF('Master Sheet'!C147="Area 5 (Renuka A)",'Master Sheet'!I147,"")</f>
        <v/>
      </c>
      <c r="J146" t="str">
        <f>IF('Master Sheet'!C147="Area 5 (Renuka A)",'Master Sheet'!J147,"")</f>
        <v/>
      </c>
      <c r="K146" t="str">
        <f>IF('Master Sheet'!C147="Area 5 (Renuka A)",'Master Sheet'!K147,"")</f>
        <v/>
      </c>
      <c r="L146" t="str">
        <f>IF('Master Sheet'!C147="Area 5 (Renuka A)",'Master Sheet'!L147,"")</f>
        <v/>
      </c>
      <c r="M146" t="str">
        <f>IF('Master Sheet'!C147="Area 5 (Renuka A)",'Master Sheet'!M147,"")</f>
        <v/>
      </c>
      <c r="N146" t="str">
        <f>IF('Master Sheet'!C147="Area 5 (Renuka A)",'Master Sheet'!N147,"")</f>
        <v/>
      </c>
      <c r="O146" t="str">
        <f>IF('Master Sheet'!C147="Area 5 (Renuka A)",'Master Sheet'!O147,"")</f>
        <v/>
      </c>
      <c r="P146" t="str">
        <f>IF('Master Sheet'!C147="Area 5 (Renuka A)",'Master Sheet'!P147,"")</f>
        <v/>
      </c>
    </row>
    <row r="147" spans="1:16" hidden="1" x14ac:dyDescent="0.25">
      <c r="A147" t="str">
        <f>IF('Master Sheet'!C148="Area 5 (Renuka A)",'Master Sheet'!A148,"")</f>
        <v/>
      </c>
      <c r="B147" t="str">
        <f>IF('Master Sheet'!C148="Area 5 (Renuka A)",'Master Sheet'!B148,"")</f>
        <v/>
      </c>
      <c r="C147" t="s">
        <v>8</v>
      </c>
      <c r="D147" t="str">
        <f>IF('Master Sheet'!C148="Area 5 (Renuka A)",'Master Sheet'!D148,"")</f>
        <v/>
      </c>
      <c r="E147" t="str">
        <f>IF('Master Sheet'!C148="Area 5 (Renuka A)",'Master Sheet'!E148,"")</f>
        <v/>
      </c>
      <c r="F147" t="str">
        <f>IF('Master Sheet'!C148="Area 5 (Renuka A)",'Master Sheet'!F148,"")</f>
        <v/>
      </c>
      <c r="G147" t="str">
        <f>IF('Master Sheet'!C148="Area 5 (Renuka A)",'Master Sheet'!G148,"")</f>
        <v/>
      </c>
      <c r="H147" t="str">
        <f>IF('Master Sheet'!C148="Area 5 (Renuka A)",'Master Sheet'!H148,"")</f>
        <v/>
      </c>
      <c r="I147" t="str">
        <f>IF('Master Sheet'!C148="Area 5 (Renuka A)",'Master Sheet'!I148,"")</f>
        <v/>
      </c>
      <c r="J147" t="str">
        <f>IF('Master Sheet'!C148="Area 5 (Renuka A)",'Master Sheet'!J148,"")</f>
        <v/>
      </c>
      <c r="K147" t="str">
        <f>IF('Master Sheet'!C148="Area 5 (Renuka A)",'Master Sheet'!K148,"")</f>
        <v/>
      </c>
      <c r="L147" t="str">
        <f>IF('Master Sheet'!C148="Area 5 (Renuka A)",'Master Sheet'!L148,"")</f>
        <v/>
      </c>
      <c r="M147" t="str">
        <f>IF('Master Sheet'!C148="Area 5 (Renuka A)",'Master Sheet'!M148,"")</f>
        <v/>
      </c>
      <c r="N147" t="str">
        <f>IF('Master Sheet'!C148="Area 5 (Renuka A)",'Master Sheet'!N148,"")</f>
        <v/>
      </c>
      <c r="O147" t="str">
        <f>IF('Master Sheet'!C148="Area 5 (Renuka A)",'Master Sheet'!O148,"")</f>
        <v/>
      </c>
      <c r="P147" t="str">
        <f>IF('Master Sheet'!C148="Area 5 (Renuka A)",'Master Sheet'!P148,"")</f>
        <v/>
      </c>
    </row>
    <row r="148" spans="1:16" hidden="1" x14ac:dyDescent="0.25">
      <c r="A148" t="str">
        <f>IF('Master Sheet'!C149="Area 5 (Renuka A)",'Master Sheet'!A149,"")</f>
        <v/>
      </c>
      <c r="B148" t="str">
        <f>IF('Master Sheet'!C149="Area 5 (Renuka A)",'Master Sheet'!B149,"")</f>
        <v/>
      </c>
      <c r="C148" t="s">
        <v>8</v>
      </c>
      <c r="D148" t="str">
        <f>IF('Master Sheet'!C149="Area 5 (Renuka A)",'Master Sheet'!D149,"")</f>
        <v/>
      </c>
      <c r="E148" t="str">
        <f>IF('Master Sheet'!C149="Area 5 (Renuka A)",'Master Sheet'!E149,"")</f>
        <v/>
      </c>
      <c r="F148" t="str">
        <f>IF('Master Sheet'!C149="Area 5 (Renuka A)",'Master Sheet'!F149,"")</f>
        <v/>
      </c>
      <c r="G148" t="str">
        <f>IF('Master Sheet'!C149="Area 5 (Renuka A)",'Master Sheet'!G149,"")</f>
        <v/>
      </c>
      <c r="H148" t="str">
        <f>IF('Master Sheet'!C149="Area 5 (Renuka A)",'Master Sheet'!H149,"")</f>
        <v/>
      </c>
      <c r="I148" t="str">
        <f>IF('Master Sheet'!C149="Area 5 (Renuka A)",'Master Sheet'!I149,"")</f>
        <v/>
      </c>
      <c r="J148" t="str">
        <f>IF('Master Sheet'!C149="Area 5 (Renuka A)",'Master Sheet'!J149,"")</f>
        <v/>
      </c>
      <c r="K148" t="str">
        <f>IF('Master Sheet'!C149="Area 5 (Renuka A)",'Master Sheet'!K149,"")</f>
        <v/>
      </c>
      <c r="L148" t="str">
        <f>IF('Master Sheet'!C149="Area 5 (Renuka A)",'Master Sheet'!L149,"")</f>
        <v/>
      </c>
      <c r="M148" t="str">
        <f>IF('Master Sheet'!C149="Area 5 (Renuka A)",'Master Sheet'!M149,"")</f>
        <v/>
      </c>
      <c r="N148" t="str">
        <f>IF('Master Sheet'!C149="Area 5 (Renuka A)",'Master Sheet'!N149,"")</f>
        <v/>
      </c>
      <c r="O148" t="str">
        <f>IF('Master Sheet'!C149="Area 5 (Renuka A)",'Master Sheet'!O149,"")</f>
        <v/>
      </c>
      <c r="P148" t="str">
        <f>IF('Master Sheet'!C149="Area 5 (Renuka A)",'Master Sheet'!P149,"")</f>
        <v/>
      </c>
    </row>
    <row r="149" spans="1:16" hidden="1" x14ac:dyDescent="0.25">
      <c r="A149" t="str">
        <f>IF('Master Sheet'!C150="Area 5 (Renuka A)",'Master Sheet'!A150,"")</f>
        <v/>
      </c>
      <c r="B149" t="str">
        <f>IF('Master Sheet'!C150="Area 5 (Renuka A)",'Master Sheet'!B150,"")</f>
        <v/>
      </c>
      <c r="C149" t="s">
        <v>8</v>
      </c>
      <c r="D149" t="str">
        <f>IF('Master Sheet'!C150="Area 5 (Renuka A)",'Master Sheet'!D150,"")</f>
        <v/>
      </c>
      <c r="E149" t="str">
        <f>IF('Master Sheet'!C150="Area 5 (Renuka A)",'Master Sheet'!E150,"")</f>
        <v/>
      </c>
      <c r="F149" t="str">
        <f>IF('Master Sheet'!C150="Area 5 (Renuka A)",'Master Sheet'!F150,"")</f>
        <v/>
      </c>
      <c r="G149" t="str">
        <f>IF('Master Sheet'!C150="Area 5 (Renuka A)",'Master Sheet'!G150,"")</f>
        <v/>
      </c>
      <c r="H149" t="str">
        <f>IF('Master Sheet'!C150="Area 5 (Renuka A)",'Master Sheet'!H150,"")</f>
        <v/>
      </c>
      <c r="I149" t="str">
        <f>IF('Master Sheet'!C150="Area 5 (Renuka A)",'Master Sheet'!I150,"")</f>
        <v/>
      </c>
      <c r="J149" t="str">
        <f>IF('Master Sheet'!C150="Area 5 (Renuka A)",'Master Sheet'!J150,"")</f>
        <v/>
      </c>
      <c r="K149" t="str">
        <f>IF('Master Sheet'!C150="Area 5 (Renuka A)",'Master Sheet'!K150,"")</f>
        <v/>
      </c>
      <c r="L149" t="str">
        <f>IF('Master Sheet'!C150="Area 5 (Renuka A)",'Master Sheet'!L150,"")</f>
        <v/>
      </c>
      <c r="M149" t="str">
        <f>IF('Master Sheet'!C150="Area 5 (Renuka A)",'Master Sheet'!M150,"")</f>
        <v/>
      </c>
      <c r="N149" t="str">
        <f>IF('Master Sheet'!C150="Area 5 (Renuka A)",'Master Sheet'!N150,"")</f>
        <v/>
      </c>
      <c r="O149" t="str">
        <f>IF('Master Sheet'!C150="Area 5 (Renuka A)",'Master Sheet'!O150,"")</f>
        <v/>
      </c>
      <c r="P149" t="str">
        <f>IF('Master Sheet'!C150="Area 5 (Renuka A)",'Master Sheet'!P150,"")</f>
        <v/>
      </c>
    </row>
    <row r="150" spans="1:16" hidden="1" x14ac:dyDescent="0.25">
      <c r="A150" t="str">
        <f>IF('Master Sheet'!C151="Area 5 (Renuka A)",'Master Sheet'!A151,"")</f>
        <v/>
      </c>
      <c r="B150" t="str">
        <f>IF('Master Sheet'!C151="Area 5 (Renuka A)",'Master Sheet'!B151,"")</f>
        <v/>
      </c>
      <c r="C150" t="s">
        <v>8</v>
      </c>
      <c r="D150" t="str">
        <f>IF('Master Sheet'!C151="Area 5 (Renuka A)",'Master Sheet'!D151,"")</f>
        <v/>
      </c>
      <c r="E150" t="str">
        <f>IF('Master Sheet'!C151="Area 5 (Renuka A)",'Master Sheet'!E151,"")</f>
        <v/>
      </c>
      <c r="F150" t="str">
        <f>IF('Master Sheet'!C151="Area 5 (Renuka A)",'Master Sheet'!F151,"")</f>
        <v/>
      </c>
      <c r="G150" t="str">
        <f>IF('Master Sheet'!C151="Area 5 (Renuka A)",'Master Sheet'!G151,"")</f>
        <v/>
      </c>
      <c r="H150" t="str">
        <f>IF('Master Sheet'!C151="Area 5 (Renuka A)",'Master Sheet'!H151,"")</f>
        <v/>
      </c>
      <c r="I150" t="str">
        <f>IF('Master Sheet'!C151="Area 5 (Renuka A)",'Master Sheet'!I151,"")</f>
        <v/>
      </c>
      <c r="J150" t="str">
        <f>IF('Master Sheet'!C151="Area 5 (Renuka A)",'Master Sheet'!J151,"")</f>
        <v/>
      </c>
      <c r="K150" t="str">
        <f>IF('Master Sheet'!C151="Area 5 (Renuka A)",'Master Sheet'!K151,"")</f>
        <v/>
      </c>
      <c r="L150" t="str">
        <f>IF('Master Sheet'!C151="Area 5 (Renuka A)",'Master Sheet'!L151,"")</f>
        <v/>
      </c>
      <c r="M150" t="str">
        <f>IF('Master Sheet'!C151="Area 5 (Renuka A)",'Master Sheet'!M151,"")</f>
        <v/>
      </c>
      <c r="N150" t="str">
        <f>IF('Master Sheet'!C151="Area 5 (Renuka A)",'Master Sheet'!N151,"")</f>
        <v/>
      </c>
      <c r="O150" t="str">
        <f>IF('Master Sheet'!C151="Area 5 (Renuka A)",'Master Sheet'!O151,"")</f>
        <v/>
      </c>
      <c r="P150" t="str">
        <f>IF('Master Sheet'!C151="Area 5 (Renuka A)",'Master Sheet'!P151,"")</f>
        <v/>
      </c>
    </row>
    <row r="151" spans="1:16" hidden="1" x14ac:dyDescent="0.25">
      <c r="A151" t="str">
        <f>IF('Master Sheet'!C152="Area 5 (Renuka A)",'Master Sheet'!A152,"")</f>
        <v/>
      </c>
      <c r="B151" t="str">
        <f>IF('Master Sheet'!C152="Area 5 (Renuka A)",'Master Sheet'!B152,"")</f>
        <v/>
      </c>
      <c r="C151" t="s">
        <v>8</v>
      </c>
      <c r="D151" t="str">
        <f>IF('Master Sheet'!C152="Area 5 (Renuka A)",'Master Sheet'!D152,"")</f>
        <v/>
      </c>
      <c r="E151" t="str">
        <f>IF('Master Sheet'!C152="Area 5 (Renuka A)",'Master Sheet'!E152,"")</f>
        <v/>
      </c>
      <c r="F151" t="str">
        <f>IF('Master Sheet'!C152="Area 5 (Renuka A)",'Master Sheet'!F152,"")</f>
        <v/>
      </c>
      <c r="G151" t="str">
        <f>IF('Master Sheet'!C152="Area 5 (Renuka A)",'Master Sheet'!G152,"")</f>
        <v/>
      </c>
      <c r="H151" t="str">
        <f>IF('Master Sheet'!C152="Area 5 (Renuka A)",'Master Sheet'!H152,"")</f>
        <v/>
      </c>
      <c r="I151" t="str">
        <f>IF('Master Sheet'!C152="Area 5 (Renuka A)",'Master Sheet'!I152,"")</f>
        <v/>
      </c>
      <c r="J151" t="str">
        <f>IF('Master Sheet'!C152="Area 5 (Renuka A)",'Master Sheet'!J152,"")</f>
        <v/>
      </c>
      <c r="K151" t="str">
        <f>IF('Master Sheet'!C152="Area 5 (Renuka A)",'Master Sheet'!K152,"")</f>
        <v/>
      </c>
      <c r="L151" t="str">
        <f>IF('Master Sheet'!C152="Area 5 (Renuka A)",'Master Sheet'!L152,"")</f>
        <v/>
      </c>
      <c r="M151" t="str">
        <f>IF('Master Sheet'!C152="Area 5 (Renuka A)",'Master Sheet'!M152,"")</f>
        <v/>
      </c>
      <c r="N151" t="str">
        <f>IF('Master Sheet'!C152="Area 5 (Renuka A)",'Master Sheet'!N152,"")</f>
        <v/>
      </c>
      <c r="O151" t="str">
        <f>IF('Master Sheet'!C152="Area 5 (Renuka A)",'Master Sheet'!O152,"")</f>
        <v/>
      </c>
      <c r="P151" t="str">
        <f>IF('Master Sheet'!C152="Area 5 (Renuka A)",'Master Sheet'!P152,"")</f>
        <v/>
      </c>
    </row>
    <row r="152" spans="1:16" ht="15.75" x14ac:dyDescent="0.25">
      <c r="A152" s="2"/>
      <c r="B152" s="32"/>
      <c r="D152" s="30">
        <f>SUBTOTAL(9,D78:D151)</f>
        <v>2100</v>
      </c>
      <c r="E152" s="30">
        <f t="shared" ref="E152:M152" si="0">SUBTOTAL(9,E78:E151)</f>
        <v>1400</v>
      </c>
      <c r="F152" s="30">
        <f t="shared" si="0"/>
        <v>700</v>
      </c>
      <c r="G152" s="30">
        <f t="shared" si="0"/>
        <v>2800</v>
      </c>
      <c r="H152" s="30">
        <f t="shared" si="0"/>
        <v>0</v>
      </c>
      <c r="I152" s="30">
        <f t="shared" si="0"/>
        <v>0</v>
      </c>
      <c r="J152" s="30">
        <f t="shared" si="0"/>
        <v>0</v>
      </c>
      <c r="K152" s="30">
        <f t="shared" si="0"/>
        <v>0</v>
      </c>
      <c r="L152" s="30">
        <f t="shared" si="0"/>
        <v>0</v>
      </c>
      <c r="M152" s="30">
        <f t="shared" si="0"/>
        <v>0</v>
      </c>
      <c r="N152" s="30">
        <f>D152+E152+F152+G152+H152+I152+J152+K152+L152+M152</f>
        <v>7000</v>
      </c>
      <c r="O152" s="31"/>
      <c r="P152" s="31"/>
    </row>
  </sheetData>
  <autoFilter ref="A1:P151">
    <filterColumn colId="0">
      <customFilters>
        <customFilter operator="notEqual" val=" "/>
      </customFilters>
    </filterColumn>
  </autoFilter>
  <printOptions horizontalCentered="1"/>
  <pageMargins left="0.75" right="0.75" top="1" bottom="1" header="0.5" footer="0.5"/>
  <pageSetup paperSize="8" scale="115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52"/>
  <sheetViews>
    <sheetView zoomScale="85" zoomScaleNormal="85" workbookViewId="0">
      <pane ySplit="89" topLeftCell="A90" activePane="bottomLeft" state="frozen"/>
      <selection pane="bottomLeft" sqref="A1:O152"/>
    </sheetView>
  </sheetViews>
  <sheetFormatPr defaultRowHeight="15" x14ac:dyDescent="0.25"/>
  <cols>
    <col min="1" max="1" width="12.85546875" customWidth="1"/>
    <col min="2" max="2" width="23.5703125" style="11" customWidth="1"/>
    <col min="3" max="3" width="0" hidden="1" customWidth="1"/>
    <col min="14" max="14" width="12.5703125" customWidth="1"/>
    <col min="15" max="15" width="10.7109375" customWidth="1"/>
    <col min="16" max="16" width="10.85546875" customWidth="1"/>
  </cols>
  <sheetData>
    <row r="1" spans="1:16" s="14" customFormat="1" ht="19.899999999999999" customHeight="1" x14ac:dyDescent="0.25">
      <c r="A1" s="18" t="s">
        <v>11</v>
      </c>
      <c r="B1" s="19" t="s">
        <v>12</v>
      </c>
      <c r="C1" t="s">
        <v>13</v>
      </c>
      <c r="D1" s="18" t="s">
        <v>14</v>
      </c>
      <c r="E1" s="18" t="s">
        <v>15</v>
      </c>
      <c r="F1" s="18" t="s">
        <v>16</v>
      </c>
      <c r="G1" s="18" t="s">
        <v>17</v>
      </c>
      <c r="H1" s="18" t="s">
        <v>18</v>
      </c>
      <c r="I1" s="18" t="s">
        <v>19</v>
      </c>
      <c r="J1" s="18" t="s">
        <v>20</v>
      </c>
      <c r="K1" s="18" t="s">
        <v>21</v>
      </c>
      <c r="L1" s="18" t="s">
        <v>22</v>
      </c>
      <c r="M1" s="18" t="s">
        <v>23</v>
      </c>
      <c r="N1" s="18" t="s">
        <v>24</v>
      </c>
      <c r="O1" s="18" t="s">
        <v>25</v>
      </c>
      <c r="P1" s="18" t="s">
        <v>26</v>
      </c>
    </row>
    <row r="2" spans="1:16" hidden="1" x14ac:dyDescent="0.25">
      <c r="A2" t="str">
        <f>IF('Master Sheet'!C3="Area 6 (Anitha P)",'Master Sheet'!A3,"")</f>
        <v/>
      </c>
      <c r="B2" t="str">
        <f>IF('Master Sheet'!C3="Area 6 (Anitha P)",'Master Sheet'!B3,"")</f>
        <v/>
      </c>
      <c r="C2" t="s">
        <v>9</v>
      </c>
      <c r="D2" t="str">
        <f>IF('Master Sheet'!C3="Area 6 (Anitha P)",'Master Sheet'!D3,"")</f>
        <v/>
      </c>
      <c r="E2" t="str">
        <f>IF('Master Sheet'!C3="Area 6 (Anitha P)",'Master Sheet'!E3,"")</f>
        <v/>
      </c>
      <c r="F2" t="str">
        <f>IF('Master Sheet'!C3="Area 6 (Anitha P)",'Master Sheet'!F3,"")</f>
        <v/>
      </c>
      <c r="G2" t="str">
        <f>IF('Master Sheet'!C3="Area 6 (Anitha P)",'Master Sheet'!G3,"")</f>
        <v/>
      </c>
      <c r="H2" t="str">
        <f>IF('Master Sheet'!C3="Area 6 (Anitha P)",'Master Sheet'!H3,"")</f>
        <v/>
      </c>
      <c r="I2" t="str">
        <f>IF('Master Sheet'!C3="Area 6 (Anitha P)",'Master Sheet'!I3,"")</f>
        <v/>
      </c>
      <c r="J2" t="str">
        <f>IF('Master Sheet'!C3="Area 6 (Anitha P)",'Master Sheet'!J3,"")</f>
        <v/>
      </c>
      <c r="K2" t="str">
        <f>IF('Master Sheet'!C3="Area 6 (Anitha P)",'Master Sheet'!K3,"")</f>
        <v/>
      </c>
      <c r="L2" t="str">
        <f>IF('Master Sheet'!C3="Area 6 (Anitha P)",'Master Sheet'!L3,"")</f>
        <v/>
      </c>
      <c r="M2" t="str">
        <f>IF('Master Sheet'!C3="Area 6 (Anitha P)",'Master Sheet'!M3,"")</f>
        <v/>
      </c>
      <c r="N2" t="str">
        <f>IF('Master Sheet'!C3="Area 6 (Anitha P)",'Master Sheet'!N3,"")</f>
        <v/>
      </c>
      <c r="O2" t="str">
        <f>IF('Master Sheet'!C3="Area 6 (Anitha P)",'Master Sheet'!O3,"")</f>
        <v/>
      </c>
      <c r="P2" t="str">
        <f>IF('Master Sheet'!C3="Area 6 (Anitha P)",'Master Sheet'!P3,"")</f>
        <v/>
      </c>
    </row>
    <row r="3" spans="1:16" hidden="1" x14ac:dyDescent="0.25">
      <c r="A3" t="str">
        <f>IF('Master Sheet'!C4="Area 6 (Anitha P)",'Master Sheet'!A4,"")</f>
        <v/>
      </c>
      <c r="B3" t="str">
        <f>IF('Master Sheet'!C4="Area 6 (Anitha P)",'Master Sheet'!B4,"")</f>
        <v/>
      </c>
      <c r="C3" t="s">
        <v>9</v>
      </c>
      <c r="D3" t="str">
        <f>IF('Master Sheet'!C4="Area 6 (Anitha P)",'Master Sheet'!D4,"")</f>
        <v/>
      </c>
      <c r="E3" t="str">
        <f>IF('Master Sheet'!C4="Area 6 (Anitha P)",'Master Sheet'!E4,"")</f>
        <v/>
      </c>
      <c r="F3" t="str">
        <f>IF('Master Sheet'!C4="Area 6 (Anitha P)",'Master Sheet'!F4,"")</f>
        <v/>
      </c>
      <c r="G3" t="str">
        <f>IF('Master Sheet'!C4="Area 6 (Anitha P)",'Master Sheet'!G4,"")</f>
        <v/>
      </c>
      <c r="H3" t="str">
        <f>IF('Master Sheet'!C4="Area 6 (Anitha P)",'Master Sheet'!H4,"")</f>
        <v/>
      </c>
      <c r="I3" t="str">
        <f>IF('Master Sheet'!C4="Area 6 (Anitha P)",'Master Sheet'!I4,"")</f>
        <v/>
      </c>
      <c r="J3" t="str">
        <f>IF('Master Sheet'!C4="Area 6 (Anitha P)",'Master Sheet'!J4,"")</f>
        <v/>
      </c>
      <c r="K3" t="str">
        <f>IF('Master Sheet'!C4="Area 6 (Anitha P)",'Master Sheet'!K4,"")</f>
        <v/>
      </c>
      <c r="L3" t="str">
        <f>IF('Master Sheet'!C4="Area 6 (Anitha P)",'Master Sheet'!L4,"")</f>
        <v/>
      </c>
      <c r="M3" t="str">
        <f>IF('Master Sheet'!C4="Area 6 (Anitha P)",'Master Sheet'!M4,"")</f>
        <v/>
      </c>
      <c r="N3" t="str">
        <f>IF('Master Sheet'!C4="Area 6 (Anitha P)",'Master Sheet'!N4,"")</f>
        <v/>
      </c>
      <c r="O3" t="str">
        <f>IF('Master Sheet'!C4="Area 6 (Anitha P)",'Master Sheet'!O4,"")</f>
        <v/>
      </c>
      <c r="P3" t="str">
        <f>IF('Master Sheet'!C4="Area 6 (Anitha P)",'Master Sheet'!P4,"")</f>
        <v/>
      </c>
    </row>
    <row r="4" spans="1:16" hidden="1" x14ac:dyDescent="0.25">
      <c r="A4" t="str">
        <f>IF('Master Sheet'!C5="Area 6 (Anitha P)",'Master Sheet'!A5,"")</f>
        <v/>
      </c>
      <c r="B4" t="str">
        <f>IF('Master Sheet'!C5="Area 6 (Anitha P)",'Master Sheet'!B5,"")</f>
        <v/>
      </c>
      <c r="C4" t="s">
        <v>9</v>
      </c>
      <c r="D4" t="str">
        <f>IF('Master Sheet'!C5="Area 6 (Anitha P)",'Master Sheet'!D5,"")</f>
        <v/>
      </c>
      <c r="E4" t="str">
        <f>IF('Master Sheet'!C5="Area 6 (Anitha P)",'Master Sheet'!E5,"")</f>
        <v/>
      </c>
      <c r="F4" t="str">
        <f>IF('Master Sheet'!C5="Area 6 (Anitha P)",'Master Sheet'!F5,"")</f>
        <v/>
      </c>
      <c r="G4" t="str">
        <f>IF('Master Sheet'!C5="Area 6 (Anitha P)",'Master Sheet'!G5,"")</f>
        <v/>
      </c>
      <c r="H4" t="str">
        <f>IF('Master Sheet'!C5="Area 6 (Anitha P)",'Master Sheet'!H5,"")</f>
        <v/>
      </c>
      <c r="I4" t="str">
        <f>IF('Master Sheet'!C5="Area 6 (Anitha P)",'Master Sheet'!I5,"")</f>
        <v/>
      </c>
      <c r="J4" t="str">
        <f>IF('Master Sheet'!C5="Area 6 (Anitha P)",'Master Sheet'!J5,"")</f>
        <v/>
      </c>
      <c r="K4" t="str">
        <f>IF('Master Sheet'!C5="Area 6 (Anitha P)",'Master Sheet'!K5,"")</f>
        <v/>
      </c>
      <c r="L4" t="str">
        <f>IF('Master Sheet'!C5="Area 6 (Anitha P)",'Master Sheet'!L5,"")</f>
        <v/>
      </c>
      <c r="M4" t="str">
        <f>IF('Master Sheet'!C5="Area 6 (Anitha P)",'Master Sheet'!M5,"")</f>
        <v/>
      </c>
      <c r="N4" t="str">
        <f>IF('Master Sheet'!C5="Area 6 (Anitha P)",'Master Sheet'!N5,"")</f>
        <v/>
      </c>
      <c r="O4" t="str">
        <f>IF('Master Sheet'!C5="Area 6 (Anitha P)",'Master Sheet'!O5,"")</f>
        <v/>
      </c>
      <c r="P4" t="str">
        <f>IF('Master Sheet'!C5="Area 6 (Anitha P)",'Master Sheet'!P5,"")</f>
        <v/>
      </c>
    </row>
    <row r="5" spans="1:16" hidden="1" x14ac:dyDescent="0.25">
      <c r="A5" t="str">
        <f>IF('Master Sheet'!C6="Area 6 (Anitha P)",'Master Sheet'!A6,"")</f>
        <v/>
      </c>
      <c r="B5" t="str">
        <f>IF('Master Sheet'!C6="Area 6 (Anitha P)",'Master Sheet'!B6,"")</f>
        <v/>
      </c>
      <c r="C5" t="s">
        <v>9</v>
      </c>
      <c r="D5" t="str">
        <f>IF('Master Sheet'!C6="Area 6 (Anitha P)",'Master Sheet'!D6,"")</f>
        <v/>
      </c>
      <c r="E5" t="str">
        <f>IF('Master Sheet'!C6="Area 6 (Anitha P)",'Master Sheet'!E6,"")</f>
        <v/>
      </c>
      <c r="F5" t="str">
        <f>IF('Master Sheet'!C6="Area 6 (Anitha P)",'Master Sheet'!F6,"")</f>
        <v/>
      </c>
      <c r="G5" t="str">
        <f>IF('Master Sheet'!C6="Area 6 (Anitha P)",'Master Sheet'!G6,"")</f>
        <v/>
      </c>
      <c r="H5" t="str">
        <f>IF('Master Sheet'!C6="Area 6 (Anitha P)",'Master Sheet'!H6,"")</f>
        <v/>
      </c>
      <c r="I5" t="str">
        <f>IF('Master Sheet'!C6="Area 6 (Anitha P)",'Master Sheet'!I6,"")</f>
        <v/>
      </c>
      <c r="J5" t="str">
        <f>IF('Master Sheet'!C6="Area 6 (Anitha P)",'Master Sheet'!J6,"")</f>
        <v/>
      </c>
      <c r="K5" t="str">
        <f>IF('Master Sheet'!C6="Area 6 (Anitha P)",'Master Sheet'!K6,"")</f>
        <v/>
      </c>
      <c r="L5" t="str">
        <f>IF('Master Sheet'!C6="Area 6 (Anitha P)",'Master Sheet'!L6,"")</f>
        <v/>
      </c>
      <c r="M5" t="str">
        <f>IF('Master Sheet'!C6="Area 6 (Anitha P)",'Master Sheet'!M6,"")</f>
        <v/>
      </c>
      <c r="N5" t="str">
        <f>IF('Master Sheet'!C6="Area 6 (Anitha P)",'Master Sheet'!N6,"")</f>
        <v/>
      </c>
      <c r="O5" t="str">
        <f>IF('Master Sheet'!C6="Area 6 (Anitha P)",'Master Sheet'!O6,"")</f>
        <v/>
      </c>
      <c r="P5" t="str">
        <f>IF('Master Sheet'!C6="Area 6 (Anitha P)",'Master Sheet'!P6,"")</f>
        <v/>
      </c>
    </row>
    <row r="6" spans="1:16" hidden="1" x14ac:dyDescent="0.25">
      <c r="A6" t="str">
        <f>IF('Master Sheet'!C7="Area 6 (Anitha P)",'Master Sheet'!A7,"")</f>
        <v/>
      </c>
      <c r="B6" t="str">
        <f>IF('Master Sheet'!C7="Area 6 (Anitha P)",'Master Sheet'!B7,"")</f>
        <v/>
      </c>
      <c r="C6" t="s">
        <v>9</v>
      </c>
      <c r="D6" t="str">
        <f>IF('Master Sheet'!C7="Area 6 (Anitha P)",'Master Sheet'!D7,"")</f>
        <v/>
      </c>
      <c r="E6" t="str">
        <f>IF('Master Sheet'!C7="Area 6 (Anitha P)",'Master Sheet'!E7,"")</f>
        <v/>
      </c>
      <c r="F6" t="str">
        <f>IF('Master Sheet'!C7="Area 6 (Anitha P)",'Master Sheet'!F7,"")</f>
        <v/>
      </c>
      <c r="G6" t="str">
        <f>IF('Master Sheet'!C7="Area 6 (Anitha P)",'Master Sheet'!G7,"")</f>
        <v/>
      </c>
      <c r="H6" t="str">
        <f>IF('Master Sheet'!C7="Area 6 (Anitha P)",'Master Sheet'!H7,"")</f>
        <v/>
      </c>
      <c r="I6" t="str">
        <f>IF('Master Sheet'!C7="Area 6 (Anitha P)",'Master Sheet'!I7,"")</f>
        <v/>
      </c>
      <c r="J6" t="str">
        <f>IF('Master Sheet'!C7="Area 6 (Anitha P)",'Master Sheet'!J7,"")</f>
        <v/>
      </c>
      <c r="K6" t="str">
        <f>IF('Master Sheet'!C7="Area 6 (Anitha P)",'Master Sheet'!K7,"")</f>
        <v/>
      </c>
      <c r="L6" t="str">
        <f>IF('Master Sheet'!C7="Area 6 (Anitha P)",'Master Sheet'!L7,"")</f>
        <v/>
      </c>
      <c r="M6" t="str">
        <f>IF('Master Sheet'!C7="Area 6 (Anitha P)",'Master Sheet'!M7,"")</f>
        <v/>
      </c>
      <c r="N6" t="str">
        <f>IF('Master Sheet'!C7="Area 6 (Anitha P)",'Master Sheet'!N7,"")</f>
        <v/>
      </c>
      <c r="O6" t="str">
        <f>IF('Master Sheet'!C7="Area 6 (Anitha P)",'Master Sheet'!O7,"")</f>
        <v/>
      </c>
      <c r="P6" t="str">
        <f>IF('Master Sheet'!C7="Area 6 (Anitha P)",'Master Sheet'!P7,"")</f>
        <v/>
      </c>
    </row>
    <row r="7" spans="1:16" hidden="1" x14ac:dyDescent="0.25">
      <c r="A7" t="str">
        <f>IF('Master Sheet'!C8="Area 6 (Anitha P)",'Master Sheet'!A8,"")</f>
        <v/>
      </c>
      <c r="B7" t="str">
        <f>IF('Master Sheet'!C8="Area 6 (Anitha P)",'Master Sheet'!B8,"")</f>
        <v/>
      </c>
      <c r="C7" t="s">
        <v>9</v>
      </c>
      <c r="D7" t="str">
        <f>IF('Master Sheet'!C8="Area 6 (Anitha P)",'Master Sheet'!D8,"")</f>
        <v/>
      </c>
      <c r="E7" t="str">
        <f>IF('Master Sheet'!C8="Area 6 (Anitha P)",'Master Sheet'!E8,"")</f>
        <v/>
      </c>
      <c r="F7" t="str">
        <f>IF('Master Sheet'!C8="Area 6 (Anitha P)",'Master Sheet'!F8,"")</f>
        <v/>
      </c>
      <c r="G7" t="str">
        <f>IF('Master Sheet'!C8="Area 6 (Anitha P)",'Master Sheet'!G8,"")</f>
        <v/>
      </c>
      <c r="H7" t="str">
        <f>IF('Master Sheet'!C8="Area 6 (Anitha P)",'Master Sheet'!H8,"")</f>
        <v/>
      </c>
      <c r="I7" t="str">
        <f>IF('Master Sheet'!C8="Area 6 (Anitha P)",'Master Sheet'!I8,"")</f>
        <v/>
      </c>
      <c r="J7" t="str">
        <f>IF('Master Sheet'!C8="Area 6 (Anitha P)",'Master Sheet'!J8,"")</f>
        <v/>
      </c>
      <c r="K7" t="str">
        <f>IF('Master Sheet'!C8="Area 6 (Anitha P)",'Master Sheet'!K8,"")</f>
        <v/>
      </c>
      <c r="L7" t="str">
        <f>IF('Master Sheet'!C8="Area 6 (Anitha P)",'Master Sheet'!L8,"")</f>
        <v/>
      </c>
      <c r="M7" t="str">
        <f>IF('Master Sheet'!C8="Area 6 (Anitha P)",'Master Sheet'!M8,"")</f>
        <v/>
      </c>
      <c r="N7" t="str">
        <f>IF('Master Sheet'!C8="Area 6 (Anitha P)",'Master Sheet'!N8,"")</f>
        <v/>
      </c>
      <c r="O7" t="str">
        <f>IF('Master Sheet'!C8="Area 6 (Anitha P)",'Master Sheet'!O8,"")</f>
        <v/>
      </c>
      <c r="P7" t="str">
        <f>IF('Master Sheet'!C8="Area 6 (Anitha P)",'Master Sheet'!P8,"")</f>
        <v/>
      </c>
    </row>
    <row r="8" spans="1:16" hidden="1" x14ac:dyDescent="0.25">
      <c r="A8" t="str">
        <f>IF('Master Sheet'!C9="Area 6 (Anitha P)",'Master Sheet'!A9,"")</f>
        <v/>
      </c>
      <c r="B8" t="str">
        <f>IF('Master Sheet'!C9="Area 6 (Anitha P)",'Master Sheet'!B9,"")</f>
        <v/>
      </c>
      <c r="C8" t="s">
        <v>9</v>
      </c>
      <c r="D8" t="str">
        <f>IF('Master Sheet'!C9="Area 6 (Anitha P)",'Master Sheet'!D9,"")</f>
        <v/>
      </c>
      <c r="E8" t="str">
        <f>IF('Master Sheet'!C9="Area 6 (Anitha P)",'Master Sheet'!E9,"")</f>
        <v/>
      </c>
      <c r="F8" t="str">
        <f>IF('Master Sheet'!C9="Area 6 (Anitha P)",'Master Sheet'!F9,"")</f>
        <v/>
      </c>
      <c r="G8" t="str">
        <f>IF('Master Sheet'!C9="Area 6 (Anitha P)",'Master Sheet'!G9,"")</f>
        <v/>
      </c>
      <c r="H8" t="str">
        <f>IF('Master Sheet'!C9="Area 6 (Anitha P)",'Master Sheet'!H9,"")</f>
        <v/>
      </c>
      <c r="I8" t="str">
        <f>IF('Master Sheet'!C9="Area 6 (Anitha P)",'Master Sheet'!I9,"")</f>
        <v/>
      </c>
      <c r="J8" t="str">
        <f>IF('Master Sheet'!C9="Area 6 (Anitha P)",'Master Sheet'!J9,"")</f>
        <v/>
      </c>
      <c r="K8" t="str">
        <f>IF('Master Sheet'!C9="Area 6 (Anitha P)",'Master Sheet'!K9,"")</f>
        <v/>
      </c>
      <c r="L8" t="str">
        <f>IF('Master Sheet'!C9="Area 6 (Anitha P)",'Master Sheet'!L9,"")</f>
        <v/>
      </c>
      <c r="M8" t="str">
        <f>IF('Master Sheet'!C9="Area 6 (Anitha P)",'Master Sheet'!M9,"")</f>
        <v/>
      </c>
      <c r="N8" t="str">
        <f>IF('Master Sheet'!C9="Area 6 (Anitha P)",'Master Sheet'!N9,"")</f>
        <v/>
      </c>
      <c r="O8" t="str">
        <f>IF('Master Sheet'!C9="Area 6 (Anitha P)",'Master Sheet'!O9,"")</f>
        <v/>
      </c>
      <c r="P8" t="str">
        <f>IF('Master Sheet'!C9="Area 6 (Anitha P)",'Master Sheet'!P9,"")</f>
        <v/>
      </c>
    </row>
    <row r="9" spans="1:16" hidden="1" x14ac:dyDescent="0.25">
      <c r="A9" t="str">
        <f>IF('Master Sheet'!C10="Area 6 (Anitha P)",'Master Sheet'!A10,"")</f>
        <v/>
      </c>
      <c r="B9" t="str">
        <f>IF('Master Sheet'!C10="Area 6 (Anitha P)",'Master Sheet'!B10,"")</f>
        <v/>
      </c>
      <c r="C9" t="s">
        <v>9</v>
      </c>
      <c r="D9" t="str">
        <f>IF('Master Sheet'!C10="Area 6 (Anitha P)",'Master Sheet'!D10,"")</f>
        <v/>
      </c>
      <c r="E9" t="str">
        <f>IF('Master Sheet'!C10="Area 6 (Anitha P)",'Master Sheet'!E10,"")</f>
        <v/>
      </c>
      <c r="F9" t="str">
        <f>IF('Master Sheet'!C10="Area 6 (Anitha P)",'Master Sheet'!F10,"")</f>
        <v/>
      </c>
      <c r="G9" t="str">
        <f>IF('Master Sheet'!C10="Area 6 (Anitha P)",'Master Sheet'!G10,"")</f>
        <v/>
      </c>
      <c r="H9" t="str">
        <f>IF('Master Sheet'!C10="Area 6 (Anitha P)",'Master Sheet'!H10,"")</f>
        <v/>
      </c>
      <c r="I9" t="str">
        <f>IF('Master Sheet'!C10="Area 6 (Anitha P)",'Master Sheet'!I10,"")</f>
        <v/>
      </c>
      <c r="J9" t="str">
        <f>IF('Master Sheet'!C10="Area 6 (Anitha P)",'Master Sheet'!J10,"")</f>
        <v/>
      </c>
      <c r="K9" t="str">
        <f>IF('Master Sheet'!C10="Area 6 (Anitha P)",'Master Sheet'!K10,"")</f>
        <v/>
      </c>
      <c r="L9" t="str">
        <f>IF('Master Sheet'!C10="Area 6 (Anitha P)",'Master Sheet'!L10,"")</f>
        <v/>
      </c>
      <c r="M9" t="str">
        <f>IF('Master Sheet'!C10="Area 6 (Anitha P)",'Master Sheet'!M10,"")</f>
        <v/>
      </c>
      <c r="N9" t="str">
        <f>IF('Master Sheet'!C10="Area 6 (Anitha P)",'Master Sheet'!N10,"")</f>
        <v/>
      </c>
      <c r="O9" t="str">
        <f>IF('Master Sheet'!C10="Area 6 (Anitha P)",'Master Sheet'!O10,"")</f>
        <v/>
      </c>
      <c r="P9" t="str">
        <f>IF('Master Sheet'!C10="Area 6 (Anitha P)",'Master Sheet'!P10,"")</f>
        <v/>
      </c>
    </row>
    <row r="10" spans="1:16" hidden="1" x14ac:dyDescent="0.25">
      <c r="A10" t="str">
        <f>IF('Master Sheet'!C11="Area 6 (Anitha P)",'Master Sheet'!A11,"")</f>
        <v/>
      </c>
      <c r="B10" t="str">
        <f>IF('Master Sheet'!C11="Area 6 (Anitha P)",'Master Sheet'!B11,"")</f>
        <v/>
      </c>
      <c r="C10" t="s">
        <v>9</v>
      </c>
      <c r="D10" t="str">
        <f>IF('Master Sheet'!C11="Area 6 (Anitha P)",'Master Sheet'!D11,"")</f>
        <v/>
      </c>
      <c r="E10" t="str">
        <f>IF('Master Sheet'!C11="Area 6 (Anitha P)",'Master Sheet'!E11,"")</f>
        <v/>
      </c>
      <c r="F10" t="str">
        <f>IF('Master Sheet'!C11="Area 6 (Anitha P)",'Master Sheet'!F11,"")</f>
        <v/>
      </c>
      <c r="G10" t="str">
        <f>IF('Master Sheet'!C11="Area 6 (Anitha P)",'Master Sheet'!G11,"")</f>
        <v/>
      </c>
      <c r="H10" t="str">
        <f>IF('Master Sheet'!C11="Area 6 (Anitha P)",'Master Sheet'!H11,"")</f>
        <v/>
      </c>
      <c r="I10" t="str">
        <f>IF('Master Sheet'!C11="Area 6 (Anitha P)",'Master Sheet'!I11,"")</f>
        <v/>
      </c>
      <c r="J10" t="str">
        <f>IF('Master Sheet'!C11="Area 6 (Anitha P)",'Master Sheet'!J11,"")</f>
        <v/>
      </c>
      <c r="K10" t="str">
        <f>IF('Master Sheet'!C11="Area 6 (Anitha P)",'Master Sheet'!K11,"")</f>
        <v/>
      </c>
      <c r="L10" t="str">
        <f>IF('Master Sheet'!C11="Area 6 (Anitha P)",'Master Sheet'!L11,"")</f>
        <v/>
      </c>
      <c r="M10" t="str">
        <f>IF('Master Sheet'!C11="Area 6 (Anitha P)",'Master Sheet'!M11,"")</f>
        <v/>
      </c>
      <c r="N10" t="str">
        <f>IF('Master Sheet'!C11="Area 6 (Anitha P)",'Master Sheet'!N11,"")</f>
        <v/>
      </c>
      <c r="O10" t="str">
        <f>IF('Master Sheet'!C11="Area 6 (Anitha P)",'Master Sheet'!O11,"")</f>
        <v/>
      </c>
      <c r="P10" t="str">
        <f>IF('Master Sheet'!C11="Area 6 (Anitha P)",'Master Sheet'!P11,"")</f>
        <v/>
      </c>
    </row>
    <row r="11" spans="1:16" hidden="1" x14ac:dyDescent="0.25">
      <c r="A11" t="str">
        <f>IF('Master Sheet'!C12="Area 6 (Anitha P)",'Master Sheet'!A12,"")</f>
        <v/>
      </c>
      <c r="B11" t="str">
        <f>IF('Master Sheet'!C12="Area 6 (Anitha P)",'Master Sheet'!B12,"")</f>
        <v/>
      </c>
      <c r="C11" t="s">
        <v>9</v>
      </c>
      <c r="D11" t="str">
        <f>IF('Master Sheet'!C12="Area 6 (Anitha P)",'Master Sheet'!D12,"")</f>
        <v/>
      </c>
      <c r="E11" t="str">
        <f>IF('Master Sheet'!C12="Area 6 (Anitha P)",'Master Sheet'!E12,"")</f>
        <v/>
      </c>
      <c r="F11" t="str">
        <f>IF('Master Sheet'!C12="Area 6 (Anitha P)",'Master Sheet'!F12,"")</f>
        <v/>
      </c>
      <c r="G11" t="str">
        <f>IF('Master Sheet'!C12="Area 6 (Anitha P)",'Master Sheet'!G12,"")</f>
        <v/>
      </c>
      <c r="H11" t="str">
        <f>IF('Master Sheet'!C12="Area 6 (Anitha P)",'Master Sheet'!H12,"")</f>
        <v/>
      </c>
      <c r="I11" t="str">
        <f>IF('Master Sheet'!C12="Area 6 (Anitha P)",'Master Sheet'!I12,"")</f>
        <v/>
      </c>
      <c r="J11" t="str">
        <f>IF('Master Sheet'!C12="Area 6 (Anitha P)",'Master Sheet'!J12,"")</f>
        <v/>
      </c>
      <c r="K11" t="str">
        <f>IF('Master Sheet'!C12="Area 6 (Anitha P)",'Master Sheet'!K12,"")</f>
        <v/>
      </c>
      <c r="L11" t="str">
        <f>IF('Master Sheet'!C12="Area 6 (Anitha P)",'Master Sheet'!L12,"")</f>
        <v/>
      </c>
      <c r="M11" t="str">
        <f>IF('Master Sheet'!C12="Area 6 (Anitha P)",'Master Sheet'!M12,"")</f>
        <v/>
      </c>
      <c r="N11" t="str">
        <f>IF('Master Sheet'!C12="Area 6 (Anitha P)",'Master Sheet'!N12,"")</f>
        <v/>
      </c>
      <c r="O11" t="str">
        <f>IF('Master Sheet'!C12="Area 6 (Anitha P)",'Master Sheet'!O12,"")</f>
        <v/>
      </c>
      <c r="P11" t="str">
        <f>IF('Master Sheet'!C12="Area 6 (Anitha P)",'Master Sheet'!P12,"")</f>
        <v/>
      </c>
    </row>
    <row r="12" spans="1:16" hidden="1" x14ac:dyDescent="0.25">
      <c r="A12" t="str">
        <f>IF('Master Sheet'!C13="Area 6 (Anitha P)",'Master Sheet'!A13,"")</f>
        <v/>
      </c>
      <c r="B12" t="str">
        <f>IF('Master Sheet'!C13="Area 6 (Anitha P)",'Master Sheet'!B13,"")</f>
        <v/>
      </c>
      <c r="C12" t="s">
        <v>9</v>
      </c>
      <c r="D12" t="str">
        <f>IF('Master Sheet'!C13="Area 6 (Anitha P)",'Master Sheet'!D13,"")</f>
        <v/>
      </c>
      <c r="E12" t="str">
        <f>IF('Master Sheet'!C13="Area 6 (Anitha P)",'Master Sheet'!E13,"")</f>
        <v/>
      </c>
      <c r="F12" t="str">
        <f>IF('Master Sheet'!C13="Area 6 (Anitha P)",'Master Sheet'!F13,"")</f>
        <v/>
      </c>
      <c r="G12" t="str">
        <f>IF('Master Sheet'!C13="Area 6 (Anitha P)",'Master Sheet'!G13,"")</f>
        <v/>
      </c>
      <c r="H12" t="str">
        <f>IF('Master Sheet'!C13="Area 6 (Anitha P)",'Master Sheet'!H13,"")</f>
        <v/>
      </c>
      <c r="I12" t="str">
        <f>IF('Master Sheet'!C13="Area 6 (Anitha P)",'Master Sheet'!I13,"")</f>
        <v/>
      </c>
      <c r="J12" t="str">
        <f>IF('Master Sheet'!C13="Area 6 (Anitha P)",'Master Sheet'!J13,"")</f>
        <v/>
      </c>
      <c r="K12" t="str">
        <f>IF('Master Sheet'!C13="Area 6 (Anitha P)",'Master Sheet'!K13,"")</f>
        <v/>
      </c>
      <c r="L12" t="str">
        <f>IF('Master Sheet'!C13="Area 6 (Anitha P)",'Master Sheet'!L13,"")</f>
        <v/>
      </c>
      <c r="M12" t="str">
        <f>IF('Master Sheet'!C13="Area 6 (Anitha P)",'Master Sheet'!M13,"")</f>
        <v/>
      </c>
      <c r="N12" t="str">
        <f>IF('Master Sheet'!C13="Area 6 (Anitha P)",'Master Sheet'!N13,"")</f>
        <v/>
      </c>
      <c r="O12" t="str">
        <f>IF('Master Sheet'!C13="Area 6 (Anitha P)",'Master Sheet'!O13,"")</f>
        <v/>
      </c>
      <c r="P12" t="str">
        <f>IF('Master Sheet'!C13="Area 6 (Anitha P)",'Master Sheet'!P13,"")</f>
        <v/>
      </c>
    </row>
    <row r="13" spans="1:16" hidden="1" x14ac:dyDescent="0.25">
      <c r="A13" t="str">
        <f>IF('Master Sheet'!C14="Area 6 (Anitha P)",'Master Sheet'!A14,"")</f>
        <v/>
      </c>
      <c r="B13" t="str">
        <f>IF('Master Sheet'!C14="Area 6 (Anitha P)",'Master Sheet'!B14,"")</f>
        <v/>
      </c>
      <c r="C13" t="s">
        <v>9</v>
      </c>
      <c r="D13" t="str">
        <f>IF('Master Sheet'!C14="Area 6 (Anitha P)",'Master Sheet'!D14,"")</f>
        <v/>
      </c>
      <c r="E13" t="str">
        <f>IF('Master Sheet'!C14="Area 6 (Anitha P)",'Master Sheet'!E14,"")</f>
        <v/>
      </c>
      <c r="F13" t="str">
        <f>IF('Master Sheet'!C14="Area 6 (Anitha P)",'Master Sheet'!F14,"")</f>
        <v/>
      </c>
      <c r="G13" t="str">
        <f>IF('Master Sheet'!C14="Area 6 (Anitha P)",'Master Sheet'!G14,"")</f>
        <v/>
      </c>
      <c r="H13" t="str">
        <f>IF('Master Sheet'!C14="Area 6 (Anitha P)",'Master Sheet'!H14,"")</f>
        <v/>
      </c>
      <c r="I13" t="str">
        <f>IF('Master Sheet'!C14="Area 6 (Anitha P)",'Master Sheet'!I14,"")</f>
        <v/>
      </c>
      <c r="J13" t="str">
        <f>IF('Master Sheet'!C14="Area 6 (Anitha P)",'Master Sheet'!J14,"")</f>
        <v/>
      </c>
      <c r="K13" t="str">
        <f>IF('Master Sheet'!C14="Area 6 (Anitha P)",'Master Sheet'!K14,"")</f>
        <v/>
      </c>
      <c r="L13" t="str">
        <f>IF('Master Sheet'!C14="Area 6 (Anitha P)",'Master Sheet'!L14,"")</f>
        <v/>
      </c>
      <c r="M13" t="str">
        <f>IF('Master Sheet'!C14="Area 6 (Anitha P)",'Master Sheet'!M14,"")</f>
        <v/>
      </c>
      <c r="N13" t="str">
        <f>IF('Master Sheet'!C14="Area 6 (Anitha P)",'Master Sheet'!N14,"")</f>
        <v/>
      </c>
      <c r="O13" t="str">
        <f>IF('Master Sheet'!C14="Area 6 (Anitha P)",'Master Sheet'!O14,"")</f>
        <v/>
      </c>
      <c r="P13" t="str">
        <f>IF('Master Sheet'!C14="Area 6 (Anitha P)",'Master Sheet'!P14,"")</f>
        <v/>
      </c>
    </row>
    <row r="14" spans="1:16" hidden="1" x14ac:dyDescent="0.25">
      <c r="A14" t="str">
        <f>IF('Master Sheet'!C15="Area 6 (Anitha P)",'Master Sheet'!A15,"")</f>
        <v/>
      </c>
      <c r="B14" t="str">
        <f>IF('Master Sheet'!C15="Area 6 (Anitha P)",'Master Sheet'!B15,"")</f>
        <v/>
      </c>
      <c r="C14" t="s">
        <v>9</v>
      </c>
      <c r="D14" t="str">
        <f>IF('Master Sheet'!C15="Area 6 (Anitha P)",'Master Sheet'!D15,"")</f>
        <v/>
      </c>
      <c r="E14" t="str">
        <f>IF('Master Sheet'!C15="Area 6 (Anitha P)",'Master Sheet'!E15,"")</f>
        <v/>
      </c>
      <c r="F14" t="str">
        <f>IF('Master Sheet'!C15="Area 6 (Anitha P)",'Master Sheet'!F15,"")</f>
        <v/>
      </c>
      <c r="G14" t="str">
        <f>IF('Master Sheet'!C15="Area 6 (Anitha P)",'Master Sheet'!G15,"")</f>
        <v/>
      </c>
      <c r="H14" t="str">
        <f>IF('Master Sheet'!C15="Area 6 (Anitha P)",'Master Sheet'!H15,"")</f>
        <v/>
      </c>
      <c r="I14" t="str">
        <f>IF('Master Sheet'!C15="Area 6 (Anitha P)",'Master Sheet'!I15,"")</f>
        <v/>
      </c>
      <c r="J14" t="str">
        <f>IF('Master Sheet'!C15="Area 6 (Anitha P)",'Master Sheet'!J15,"")</f>
        <v/>
      </c>
      <c r="K14" t="str">
        <f>IF('Master Sheet'!C15="Area 6 (Anitha P)",'Master Sheet'!K15,"")</f>
        <v/>
      </c>
      <c r="L14" t="str">
        <f>IF('Master Sheet'!C15="Area 6 (Anitha P)",'Master Sheet'!L15,"")</f>
        <v/>
      </c>
      <c r="M14" t="str">
        <f>IF('Master Sheet'!C15="Area 6 (Anitha P)",'Master Sheet'!M15,"")</f>
        <v/>
      </c>
      <c r="N14" t="str">
        <f>IF('Master Sheet'!C15="Area 6 (Anitha P)",'Master Sheet'!N15,"")</f>
        <v/>
      </c>
      <c r="O14" t="str">
        <f>IF('Master Sheet'!C15="Area 6 (Anitha P)",'Master Sheet'!O15,"")</f>
        <v/>
      </c>
      <c r="P14" t="str">
        <f>IF('Master Sheet'!C15="Area 6 (Anitha P)",'Master Sheet'!P15,"")</f>
        <v/>
      </c>
    </row>
    <row r="15" spans="1:16" hidden="1" x14ac:dyDescent="0.25">
      <c r="A15" t="str">
        <f>IF('Master Sheet'!C16="Area 6 (Anitha P)",'Master Sheet'!A16,"")</f>
        <v/>
      </c>
      <c r="B15" t="str">
        <f>IF('Master Sheet'!C16="Area 6 (Anitha P)",'Master Sheet'!B16,"")</f>
        <v/>
      </c>
      <c r="C15" t="s">
        <v>9</v>
      </c>
      <c r="D15" t="str">
        <f>IF('Master Sheet'!C16="Area 6 (Anitha P)",'Master Sheet'!D16,"")</f>
        <v/>
      </c>
      <c r="E15" t="str">
        <f>IF('Master Sheet'!C16="Area 6 (Anitha P)",'Master Sheet'!E16,"")</f>
        <v/>
      </c>
      <c r="F15" t="str">
        <f>IF('Master Sheet'!C16="Area 6 (Anitha P)",'Master Sheet'!F16,"")</f>
        <v/>
      </c>
      <c r="G15" t="str">
        <f>IF('Master Sheet'!C16="Area 6 (Anitha P)",'Master Sheet'!G16,"")</f>
        <v/>
      </c>
      <c r="H15" t="str">
        <f>IF('Master Sheet'!C16="Area 6 (Anitha P)",'Master Sheet'!H16,"")</f>
        <v/>
      </c>
      <c r="I15" t="str">
        <f>IF('Master Sheet'!C16="Area 6 (Anitha P)",'Master Sheet'!I16,"")</f>
        <v/>
      </c>
      <c r="J15" t="str">
        <f>IF('Master Sheet'!C16="Area 6 (Anitha P)",'Master Sheet'!J16,"")</f>
        <v/>
      </c>
      <c r="K15" t="str">
        <f>IF('Master Sheet'!C16="Area 6 (Anitha P)",'Master Sheet'!K16,"")</f>
        <v/>
      </c>
      <c r="L15" t="str">
        <f>IF('Master Sheet'!C16="Area 6 (Anitha P)",'Master Sheet'!L16,"")</f>
        <v/>
      </c>
      <c r="M15" t="str">
        <f>IF('Master Sheet'!C16="Area 6 (Anitha P)",'Master Sheet'!M16,"")</f>
        <v/>
      </c>
      <c r="N15" t="str">
        <f>IF('Master Sheet'!C16="Area 6 (Anitha P)",'Master Sheet'!N16,"")</f>
        <v/>
      </c>
      <c r="O15" t="str">
        <f>IF('Master Sheet'!C16="Area 6 (Anitha P)",'Master Sheet'!O16,"")</f>
        <v/>
      </c>
      <c r="P15" t="str">
        <f>IF('Master Sheet'!C16="Area 6 (Anitha P)",'Master Sheet'!P16,"")</f>
        <v/>
      </c>
    </row>
    <row r="16" spans="1:16" hidden="1" x14ac:dyDescent="0.25">
      <c r="A16" t="str">
        <f>IF('Master Sheet'!C17="Area 6 (Anitha P)",'Master Sheet'!A17,"")</f>
        <v/>
      </c>
      <c r="B16" t="str">
        <f>IF('Master Sheet'!C17="Area 6 (Anitha P)",'Master Sheet'!B17,"")</f>
        <v/>
      </c>
      <c r="C16" t="s">
        <v>9</v>
      </c>
      <c r="D16" t="str">
        <f>IF('Master Sheet'!C17="Area 6 (Anitha P)",'Master Sheet'!D17,"")</f>
        <v/>
      </c>
      <c r="E16" t="str">
        <f>IF('Master Sheet'!C17="Area 6 (Anitha P)",'Master Sheet'!E17,"")</f>
        <v/>
      </c>
      <c r="F16" t="str">
        <f>IF('Master Sheet'!C17="Area 6 (Anitha P)",'Master Sheet'!F17,"")</f>
        <v/>
      </c>
      <c r="G16" t="str">
        <f>IF('Master Sheet'!C17="Area 6 (Anitha P)",'Master Sheet'!G17,"")</f>
        <v/>
      </c>
      <c r="H16" t="str">
        <f>IF('Master Sheet'!C17="Area 6 (Anitha P)",'Master Sheet'!H17,"")</f>
        <v/>
      </c>
      <c r="I16" t="str">
        <f>IF('Master Sheet'!C17="Area 6 (Anitha P)",'Master Sheet'!I17,"")</f>
        <v/>
      </c>
      <c r="J16" t="str">
        <f>IF('Master Sheet'!C17="Area 6 (Anitha P)",'Master Sheet'!J17,"")</f>
        <v/>
      </c>
      <c r="K16" t="str">
        <f>IF('Master Sheet'!C17="Area 6 (Anitha P)",'Master Sheet'!K17,"")</f>
        <v/>
      </c>
      <c r="L16" t="str">
        <f>IF('Master Sheet'!C17="Area 6 (Anitha P)",'Master Sheet'!L17,"")</f>
        <v/>
      </c>
      <c r="M16" t="str">
        <f>IF('Master Sheet'!C17="Area 6 (Anitha P)",'Master Sheet'!M17,"")</f>
        <v/>
      </c>
      <c r="N16" t="str">
        <f>IF('Master Sheet'!C17="Area 6 (Anitha P)",'Master Sheet'!N17,"")</f>
        <v/>
      </c>
      <c r="O16" t="str">
        <f>IF('Master Sheet'!C17="Area 6 (Anitha P)",'Master Sheet'!O17,"")</f>
        <v/>
      </c>
      <c r="P16" t="str">
        <f>IF('Master Sheet'!C17="Area 6 (Anitha P)",'Master Sheet'!P17,"")</f>
        <v/>
      </c>
    </row>
    <row r="17" spans="1:16" hidden="1" x14ac:dyDescent="0.25">
      <c r="A17" t="str">
        <f>IF('Master Sheet'!C18="Area 6 (Anitha P)",'Master Sheet'!A18,"")</f>
        <v/>
      </c>
      <c r="B17" t="str">
        <f>IF('Master Sheet'!C18="Area 6 (Anitha P)",'Master Sheet'!B18,"")</f>
        <v/>
      </c>
      <c r="C17" t="s">
        <v>9</v>
      </c>
      <c r="D17" t="str">
        <f>IF('Master Sheet'!C18="Area 6 (Anitha P)",'Master Sheet'!D18,"")</f>
        <v/>
      </c>
      <c r="E17" t="str">
        <f>IF('Master Sheet'!C18="Area 6 (Anitha P)",'Master Sheet'!E18,"")</f>
        <v/>
      </c>
      <c r="F17" t="str">
        <f>IF('Master Sheet'!C18="Area 6 (Anitha P)",'Master Sheet'!F18,"")</f>
        <v/>
      </c>
      <c r="G17" t="str">
        <f>IF('Master Sheet'!C18="Area 6 (Anitha P)",'Master Sheet'!G18,"")</f>
        <v/>
      </c>
      <c r="H17" t="str">
        <f>IF('Master Sheet'!C18="Area 6 (Anitha P)",'Master Sheet'!H18,"")</f>
        <v/>
      </c>
      <c r="I17" t="str">
        <f>IF('Master Sheet'!C18="Area 6 (Anitha P)",'Master Sheet'!I18,"")</f>
        <v/>
      </c>
      <c r="J17" t="str">
        <f>IF('Master Sheet'!C18="Area 6 (Anitha P)",'Master Sheet'!J18,"")</f>
        <v/>
      </c>
      <c r="K17" t="str">
        <f>IF('Master Sheet'!C18="Area 6 (Anitha P)",'Master Sheet'!K18,"")</f>
        <v/>
      </c>
      <c r="L17" t="str">
        <f>IF('Master Sheet'!C18="Area 6 (Anitha P)",'Master Sheet'!L18,"")</f>
        <v/>
      </c>
      <c r="M17" t="str">
        <f>IF('Master Sheet'!C18="Area 6 (Anitha P)",'Master Sheet'!M18,"")</f>
        <v/>
      </c>
      <c r="N17" t="str">
        <f>IF('Master Sheet'!C18="Area 6 (Anitha P)",'Master Sheet'!N18,"")</f>
        <v/>
      </c>
      <c r="O17" t="str">
        <f>IF('Master Sheet'!C18="Area 6 (Anitha P)",'Master Sheet'!O18,"")</f>
        <v/>
      </c>
      <c r="P17" t="str">
        <f>IF('Master Sheet'!C18="Area 6 (Anitha P)",'Master Sheet'!P18,"")</f>
        <v/>
      </c>
    </row>
    <row r="18" spans="1:16" hidden="1" x14ac:dyDescent="0.25">
      <c r="A18" t="str">
        <f>IF('Master Sheet'!C19="Area 6 (Anitha P)",'Master Sheet'!A19,"")</f>
        <v/>
      </c>
      <c r="B18" t="str">
        <f>IF('Master Sheet'!C19="Area 6 (Anitha P)",'Master Sheet'!B19,"")</f>
        <v/>
      </c>
      <c r="C18" t="s">
        <v>9</v>
      </c>
      <c r="D18" t="str">
        <f>IF('Master Sheet'!C19="Area 6 (Anitha P)",'Master Sheet'!D19,"")</f>
        <v/>
      </c>
      <c r="E18" t="str">
        <f>IF('Master Sheet'!C19="Area 6 (Anitha P)",'Master Sheet'!E19,"")</f>
        <v/>
      </c>
      <c r="F18" t="str">
        <f>IF('Master Sheet'!C19="Area 6 (Anitha P)",'Master Sheet'!F19,"")</f>
        <v/>
      </c>
      <c r="G18" t="str">
        <f>IF('Master Sheet'!C19="Area 6 (Anitha P)",'Master Sheet'!G19,"")</f>
        <v/>
      </c>
      <c r="H18" t="str">
        <f>IF('Master Sheet'!C19="Area 6 (Anitha P)",'Master Sheet'!H19,"")</f>
        <v/>
      </c>
      <c r="I18" t="str">
        <f>IF('Master Sheet'!C19="Area 6 (Anitha P)",'Master Sheet'!I19,"")</f>
        <v/>
      </c>
      <c r="J18" t="str">
        <f>IF('Master Sheet'!C19="Area 6 (Anitha P)",'Master Sheet'!J19,"")</f>
        <v/>
      </c>
      <c r="K18" t="str">
        <f>IF('Master Sheet'!C19="Area 6 (Anitha P)",'Master Sheet'!K19,"")</f>
        <v/>
      </c>
      <c r="L18" t="str">
        <f>IF('Master Sheet'!C19="Area 6 (Anitha P)",'Master Sheet'!L19,"")</f>
        <v/>
      </c>
      <c r="M18" t="str">
        <f>IF('Master Sheet'!C19="Area 6 (Anitha P)",'Master Sheet'!M19,"")</f>
        <v/>
      </c>
      <c r="N18" t="str">
        <f>IF('Master Sheet'!C19="Area 6 (Anitha P)",'Master Sheet'!N19,"")</f>
        <v/>
      </c>
      <c r="O18" t="str">
        <f>IF('Master Sheet'!C19="Area 6 (Anitha P)",'Master Sheet'!O19,"")</f>
        <v/>
      </c>
      <c r="P18" t="str">
        <f>IF('Master Sheet'!C19="Area 6 (Anitha P)",'Master Sheet'!P19,"")</f>
        <v/>
      </c>
    </row>
    <row r="19" spans="1:16" hidden="1" x14ac:dyDescent="0.25">
      <c r="A19" t="str">
        <f>IF('Master Sheet'!C20="Area 6 (Anitha P)",'Master Sheet'!A20,"")</f>
        <v/>
      </c>
      <c r="B19" t="str">
        <f>IF('Master Sheet'!C20="Area 6 (Anitha P)",'Master Sheet'!B20,"")</f>
        <v/>
      </c>
      <c r="C19" t="s">
        <v>9</v>
      </c>
      <c r="D19" t="str">
        <f>IF('Master Sheet'!C20="Area 6 (Anitha P)",'Master Sheet'!D20,"")</f>
        <v/>
      </c>
      <c r="E19" t="str">
        <f>IF('Master Sheet'!C20="Area 6 (Anitha P)",'Master Sheet'!E20,"")</f>
        <v/>
      </c>
      <c r="F19" t="str">
        <f>IF('Master Sheet'!C20="Area 6 (Anitha P)",'Master Sheet'!F20,"")</f>
        <v/>
      </c>
      <c r="G19" t="str">
        <f>IF('Master Sheet'!C20="Area 6 (Anitha P)",'Master Sheet'!G20,"")</f>
        <v/>
      </c>
      <c r="H19" t="str">
        <f>IF('Master Sheet'!C20="Area 6 (Anitha P)",'Master Sheet'!H20,"")</f>
        <v/>
      </c>
      <c r="I19" t="str">
        <f>IF('Master Sheet'!C20="Area 6 (Anitha P)",'Master Sheet'!I20,"")</f>
        <v/>
      </c>
      <c r="J19" t="str">
        <f>IF('Master Sheet'!C20="Area 6 (Anitha P)",'Master Sheet'!J20,"")</f>
        <v/>
      </c>
      <c r="K19" t="str">
        <f>IF('Master Sheet'!C20="Area 6 (Anitha P)",'Master Sheet'!K20,"")</f>
        <v/>
      </c>
      <c r="L19" t="str">
        <f>IF('Master Sheet'!C20="Area 6 (Anitha P)",'Master Sheet'!L20,"")</f>
        <v/>
      </c>
      <c r="M19" t="str">
        <f>IF('Master Sheet'!C20="Area 6 (Anitha P)",'Master Sheet'!M20,"")</f>
        <v/>
      </c>
      <c r="N19" t="str">
        <f>IF('Master Sheet'!C20="Area 6 (Anitha P)",'Master Sheet'!N20,"")</f>
        <v/>
      </c>
      <c r="O19" t="str">
        <f>IF('Master Sheet'!C20="Area 6 (Anitha P)",'Master Sheet'!O20,"")</f>
        <v/>
      </c>
      <c r="P19" t="str">
        <f>IF('Master Sheet'!C20="Area 6 (Anitha P)",'Master Sheet'!P20,"")</f>
        <v/>
      </c>
    </row>
    <row r="20" spans="1:16" hidden="1" x14ac:dyDescent="0.25">
      <c r="A20" t="str">
        <f>IF('Master Sheet'!C21="Area 6 (Anitha P)",'Master Sheet'!A21,"")</f>
        <v/>
      </c>
      <c r="B20" t="str">
        <f>IF('Master Sheet'!C21="Area 6 (Anitha P)",'Master Sheet'!B21,"")</f>
        <v/>
      </c>
      <c r="C20" t="s">
        <v>9</v>
      </c>
      <c r="D20" t="str">
        <f>IF('Master Sheet'!C21="Area 6 (Anitha P)",'Master Sheet'!D21,"")</f>
        <v/>
      </c>
      <c r="E20" t="str">
        <f>IF('Master Sheet'!C21="Area 6 (Anitha P)",'Master Sheet'!E21,"")</f>
        <v/>
      </c>
      <c r="F20" t="str">
        <f>IF('Master Sheet'!C21="Area 6 (Anitha P)",'Master Sheet'!F21,"")</f>
        <v/>
      </c>
      <c r="G20" t="str">
        <f>IF('Master Sheet'!C21="Area 6 (Anitha P)",'Master Sheet'!G21,"")</f>
        <v/>
      </c>
      <c r="H20" t="str">
        <f>IF('Master Sheet'!C21="Area 6 (Anitha P)",'Master Sheet'!H21,"")</f>
        <v/>
      </c>
      <c r="I20" t="str">
        <f>IF('Master Sheet'!C21="Area 6 (Anitha P)",'Master Sheet'!I21,"")</f>
        <v/>
      </c>
      <c r="J20" t="str">
        <f>IF('Master Sheet'!C21="Area 6 (Anitha P)",'Master Sheet'!J21,"")</f>
        <v/>
      </c>
      <c r="K20" t="str">
        <f>IF('Master Sheet'!C21="Area 6 (Anitha P)",'Master Sheet'!K21,"")</f>
        <v/>
      </c>
      <c r="L20" t="str">
        <f>IF('Master Sheet'!C21="Area 6 (Anitha P)",'Master Sheet'!L21,"")</f>
        <v/>
      </c>
      <c r="M20" t="str">
        <f>IF('Master Sheet'!C21="Area 6 (Anitha P)",'Master Sheet'!M21,"")</f>
        <v/>
      </c>
      <c r="N20" t="str">
        <f>IF('Master Sheet'!C21="Area 6 (Anitha P)",'Master Sheet'!N21,"")</f>
        <v/>
      </c>
      <c r="O20" t="str">
        <f>IF('Master Sheet'!C21="Area 6 (Anitha P)",'Master Sheet'!O21,"")</f>
        <v/>
      </c>
      <c r="P20" t="str">
        <f>IF('Master Sheet'!C21="Area 6 (Anitha P)",'Master Sheet'!P21,"")</f>
        <v/>
      </c>
    </row>
    <row r="21" spans="1:16" hidden="1" x14ac:dyDescent="0.25">
      <c r="A21" t="str">
        <f>IF('Master Sheet'!C22="Area 6 (Anitha P)",'Master Sheet'!A22,"")</f>
        <v/>
      </c>
      <c r="B21" t="str">
        <f>IF('Master Sheet'!C22="Area 6 (Anitha P)",'Master Sheet'!B22,"")</f>
        <v/>
      </c>
      <c r="C21" t="s">
        <v>9</v>
      </c>
      <c r="D21" t="str">
        <f>IF('Master Sheet'!C22="Area 6 (Anitha P)",'Master Sheet'!D22,"")</f>
        <v/>
      </c>
      <c r="E21" t="str">
        <f>IF('Master Sheet'!C22="Area 6 (Anitha P)",'Master Sheet'!E22,"")</f>
        <v/>
      </c>
      <c r="F21" t="str">
        <f>IF('Master Sheet'!C22="Area 6 (Anitha P)",'Master Sheet'!F22,"")</f>
        <v/>
      </c>
      <c r="G21" t="str">
        <f>IF('Master Sheet'!C22="Area 6 (Anitha P)",'Master Sheet'!G22,"")</f>
        <v/>
      </c>
      <c r="H21" t="str">
        <f>IF('Master Sheet'!C22="Area 6 (Anitha P)",'Master Sheet'!H22,"")</f>
        <v/>
      </c>
      <c r="I21" t="str">
        <f>IF('Master Sheet'!C22="Area 6 (Anitha P)",'Master Sheet'!I22,"")</f>
        <v/>
      </c>
      <c r="J21" t="str">
        <f>IF('Master Sheet'!C22="Area 6 (Anitha P)",'Master Sheet'!J22,"")</f>
        <v/>
      </c>
      <c r="K21" t="str">
        <f>IF('Master Sheet'!C22="Area 6 (Anitha P)",'Master Sheet'!K22,"")</f>
        <v/>
      </c>
      <c r="L21" t="str">
        <f>IF('Master Sheet'!C22="Area 6 (Anitha P)",'Master Sheet'!L22,"")</f>
        <v/>
      </c>
      <c r="M21" t="str">
        <f>IF('Master Sheet'!C22="Area 6 (Anitha P)",'Master Sheet'!M22,"")</f>
        <v/>
      </c>
      <c r="N21" t="str">
        <f>IF('Master Sheet'!C22="Area 6 (Anitha P)",'Master Sheet'!N22,"")</f>
        <v/>
      </c>
      <c r="O21" t="str">
        <f>IF('Master Sheet'!C22="Area 6 (Anitha P)",'Master Sheet'!O22,"")</f>
        <v/>
      </c>
      <c r="P21" t="str">
        <f>IF('Master Sheet'!C22="Area 6 (Anitha P)",'Master Sheet'!P22,"")</f>
        <v/>
      </c>
    </row>
    <row r="22" spans="1:16" hidden="1" x14ac:dyDescent="0.25">
      <c r="A22" t="str">
        <f>IF('Master Sheet'!C23="Area 6 (Anitha P)",'Master Sheet'!A23,"")</f>
        <v/>
      </c>
      <c r="B22" t="str">
        <f>IF('Master Sheet'!C23="Area 6 (Anitha P)",'Master Sheet'!B23,"")</f>
        <v/>
      </c>
      <c r="C22" t="s">
        <v>9</v>
      </c>
      <c r="D22" t="str">
        <f>IF('Master Sheet'!C23="Area 6 (Anitha P)",'Master Sheet'!D23,"")</f>
        <v/>
      </c>
      <c r="E22" t="str">
        <f>IF('Master Sheet'!C23="Area 6 (Anitha P)",'Master Sheet'!E23,"")</f>
        <v/>
      </c>
      <c r="F22" t="str">
        <f>IF('Master Sheet'!C23="Area 6 (Anitha P)",'Master Sheet'!F23,"")</f>
        <v/>
      </c>
      <c r="G22" t="str">
        <f>IF('Master Sheet'!C23="Area 6 (Anitha P)",'Master Sheet'!G23,"")</f>
        <v/>
      </c>
      <c r="H22" t="str">
        <f>IF('Master Sheet'!C23="Area 6 (Anitha P)",'Master Sheet'!H23,"")</f>
        <v/>
      </c>
      <c r="I22" t="str">
        <f>IF('Master Sheet'!C23="Area 6 (Anitha P)",'Master Sheet'!I23,"")</f>
        <v/>
      </c>
      <c r="J22" t="str">
        <f>IF('Master Sheet'!C23="Area 6 (Anitha P)",'Master Sheet'!J23,"")</f>
        <v/>
      </c>
      <c r="K22" t="str">
        <f>IF('Master Sheet'!C23="Area 6 (Anitha P)",'Master Sheet'!K23,"")</f>
        <v/>
      </c>
      <c r="L22" t="str">
        <f>IF('Master Sheet'!C23="Area 6 (Anitha P)",'Master Sheet'!L23,"")</f>
        <v/>
      </c>
      <c r="M22" t="str">
        <f>IF('Master Sheet'!C23="Area 6 (Anitha P)",'Master Sheet'!M23,"")</f>
        <v/>
      </c>
      <c r="N22" t="str">
        <f>IF('Master Sheet'!C23="Area 6 (Anitha P)",'Master Sheet'!N23,"")</f>
        <v/>
      </c>
      <c r="O22" t="str">
        <f>IF('Master Sheet'!C23="Area 6 (Anitha P)",'Master Sheet'!O23,"")</f>
        <v/>
      </c>
      <c r="P22" t="str">
        <f>IF('Master Sheet'!C23="Area 6 (Anitha P)",'Master Sheet'!P23,"")</f>
        <v/>
      </c>
    </row>
    <row r="23" spans="1:16" hidden="1" x14ac:dyDescent="0.25">
      <c r="A23" t="str">
        <f>IF('Master Sheet'!C24="Area 6 (Anitha P)",'Master Sheet'!A24,"")</f>
        <v/>
      </c>
      <c r="B23" t="str">
        <f>IF('Master Sheet'!C24="Area 6 (Anitha P)",'Master Sheet'!B24,"")</f>
        <v/>
      </c>
      <c r="C23" t="s">
        <v>9</v>
      </c>
      <c r="D23" t="str">
        <f>IF('Master Sheet'!C24="Area 6 (Anitha P)",'Master Sheet'!D24,"")</f>
        <v/>
      </c>
      <c r="E23" t="str">
        <f>IF('Master Sheet'!C24="Area 6 (Anitha P)",'Master Sheet'!E24,"")</f>
        <v/>
      </c>
      <c r="F23" t="str">
        <f>IF('Master Sheet'!C24="Area 6 (Anitha P)",'Master Sheet'!F24,"")</f>
        <v/>
      </c>
      <c r="G23" t="str">
        <f>IF('Master Sheet'!C24="Area 6 (Anitha P)",'Master Sheet'!G24,"")</f>
        <v/>
      </c>
      <c r="H23" t="str">
        <f>IF('Master Sheet'!C24="Area 6 (Anitha P)",'Master Sheet'!H24,"")</f>
        <v/>
      </c>
      <c r="I23" t="str">
        <f>IF('Master Sheet'!C24="Area 6 (Anitha P)",'Master Sheet'!I24,"")</f>
        <v/>
      </c>
      <c r="J23" t="str">
        <f>IF('Master Sheet'!C24="Area 6 (Anitha P)",'Master Sheet'!J24,"")</f>
        <v/>
      </c>
      <c r="K23" t="str">
        <f>IF('Master Sheet'!C24="Area 6 (Anitha P)",'Master Sheet'!K24,"")</f>
        <v/>
      </c>
      <c r="L23" t="str">
        <f>IF('Master Sheet'!C24="Area 6 (Anitha P)",'Master Sheet'!L24,"")</f>
        <v/>
      </c>
      <c r="M23" t="str">
        <f>IF('Master Sheet'!C24="Area 6 (Anitha P)",'Master Sheet'!M24,"")</f>
        <v/>
      </c>
      <c r="N23" t="str">
        <f>IF('Master Sheet'!C24="Area 6 (Anitha P)",'Master Sheet'!N24,"")</f>
        <v/>
      </c>
      <c r="O23" t="str">
        <f>IF('Master Sheet'!C24="Area 6 (Anitha P)",'Master Sheet'!O24,"")</f>
        <v/>
      </c>
      <c r="P23" t="str">
        <f>IF('Master Sheet'!C24="Area 6 (Anitha P)",'Master Sheet'!P24,"")</f>
        <v/>
      </c>
    </row>
    <row r="24" spans="1:16" hidden="1" x14ac:dyDescent="0.25">
      <c r="A24" t="str">
        <f>IF('Master Sheet'!C25="Area 6 (Anitha P)",'Master Sheet'!A25,"")</f>
        <v/>
      </c>
      <c r="B24" t="str">
        <f>IF('Master Sheet'!C25="Area 6 (Anitha P)",'Master Sheet'!B25,"")</f>
        <v/>
      </c>
      <c r="C24" t="s">
        <v>9</v>
      </c>
      <c r="D24" t="str">
        <f>IF('Master Sheet'!C25="Area 6 (Anitha P)",'Master Sheet'!D25,"")</f>
        <v/>
      </c>
      <c r="E24" t="str">
        <f>IF('Master Sheet'!C25="Area 6 (Anitha P)",'Master Sheet'!E25,"")</f>
        <v/>
      </c>
      <c r="F24" t="str">
        <f>IF('Master Sheet'!C25="Area 6 (Anitha P)",'Master Sheet'!F25,"")</f>
        <v/>
      </c>
      <c r="G24" t="str">
        <f>IF('Master Sheet'!C25="Area 6 (Anitha P)",'Master Sheet'!G25,"")</f>
        <v/>
      </c>
      <c r="H24" t="str">
        <f>IF('Master Sheet'!C25="Area 6 (Anitha P)",'Master Sheet'!H25,"")</f>
        <v/>
      </c>
      <c r="I24" t="str">
        <f>IF('Master Sheet'!C25="Area 6 (Anitha P)",'Master Sheet'!I25,"")</f>
        <v/>
      </c>
      <c r="J24" t="str">
        <f>IF('Master Sheet'!C25="Area 6 (Anitha P)",'Master Sheet'!J25,"")</f>
        <v/>
      </c>
      <c r="K24" t="str">
        <f>IF('Master Sheet'!C25="Area 6 (Anitha P)",'Master Sheet'!K25,"")</f>
        <v/>
      </c>
      <c r="L24" t="str">
        <f>IF('Master Sheet'!C25="Area 6 (Anitha P)",'Master Sheet'!L25,"")</f>
        <v/>
      </c>
      <c r="M24" t="str">
        <f>IF('Master Sheet'!C25="Area 6 (Anitha P)",'Master Sheet'!M25,"")</f>
        <v/>
      </c>
      <c r="N24" t="str">
        <f>IF('Master Sheet'!C25="Area 6 (Anitha P)",'Master Sheet'!N25,"")</f>
        <v/>
      </c>
      <c r="O24" t="str">
        <f>IF('Master Sheet'!C25="Area 6 (Anitha P)",'Master Sheet'!O25,"")</f>
        <v/>
      </c>
      <c r="P24" t="str">
        <f>IF('Master Sheet'!C25="Area 6 (Anitha P)",'Master Sheet'!P25,"")</f>
        <v/>
      </c>
    </row>
    <row r="25" spans="1:16" hidden="1" x14ac:dyDescent="0.25">
      <c r="A25" t="str">
        <f>IF('Master Sheet'!C26="Area 6 (Anitha P)",'Master Sheet'!A26,"")</f>
        <v/>
      </c>
      <c r="B25" t="str">
        <f>IF('Master Sheet'!C26="Area 6 (Anitha P)",'Master Sheet'!B26,"")</f>
        <v/>
      </c>
      <c r="C25" t="s">
        <v>9</v>
      </c>
      <c r="D25" t="str">
        <f>IF('Master Sheet'!C26="Area 6 (Anitha P)",'Master Sheet'!D26,"")</f>
        <v/>
      </c>
      <c r="E25" t="str">
        <f>IF('Master Sheet'!C26="Area 6 (Anitha P)",'Master Sheet'!E26,"")</f>
        <v/>
      </c>
      <c r="F25" t="str">
        <f>IF('Master Sheet'!C26="Area 6 (Anitha P)",'Master Sheet'!F26,"")</f>
        <v/>
      </c>
      <c r="G25" t="str">
        <f>IF('Master Sheet'!C26="Area 6 (Anitha P)",'Master Sheet'!G26,"")</f>
        <v/>
      </c>
      <c r="H25" t="str">
        <f>IF('Master Sheet'!C26="Area 6 (Anitha P)",'Master Sheet'!H26,"")</f>
        <v/>
      </c>
      <c r="I25" t="str">
        <f>IF('Master Sheet'!C26="Area 6 (Anitha P)",'Master Sheet'!I26,"")</f>
        <v/>
      </c>
      <c r="J25" t="str">
        <f>IF('Master Sheet'!C26="Area 6 (Anitha P)",'Master Sheet'!J26,"")</f>
        <v/>
      </c>
      <c r="K25" t="str">
        <f>IF('Master Sheet'!C26="Area 6 (Anitha P)",'Master Sheet'!K26,"")</f>
        <v/>
      </c>
      <c r="L25" t="str">
        <f>IF('Master Sheet'!C26="Area 6 (Anitha P)",'Master Sheet'!L26,"")</f>
        <v/>
      </c>
      <c r="M25" t="str">
        <f>IF('Master Sheet'!C26="Area 6 (Anitha P)",'Master Sheet'!M26,"")</f>
        <v/>
      </c>
      <c r="N25" t="str">
        <f>IF('Master Sheet'!C26="Area 6 (Anitha P)",'Master Sheet'!N26,"")</f>
        <v/>
      </c>
      <c r="O25" t="str">
        <f>IF('Master Sheet'!C26="Area 6 (Anitha P)",'Master Sheet'!O26,"")</f>
        <v/>
      </c>
      <c r="P25" t="str">
        <f>IF('Master Sheet'!C26="Area 6 (Anitha P)",'Master Sheet'!P26,"")</f>
        <v/>
      </c>
    </row>
    <row r="26" spans="1:16" hidden="1" x14ac:dyDescent="0.25">
      <c r="A26" t="str">
        <f>IF('Master Sheet'!C27="Area 6 (Anitha P)",'Master Sheet'!A27,"")</f>
        <v/>
      </c>
      <c r="B26" t="str">
        <f>IF('Master Sheet'!C27="Area 6 (Anitha P)",'Master Sheet'!B27,"")</f>
        <v/>
      </c>
      <c r="C26" t="s">
        <v>9</v>
      </c>
      <c r="D26" t="str">
        <f>IF('Master Sheet'!C27="Area 6 (Anitha P)",'Master Sheet'!D27,"")</f>
        <v/>
      </c>
      <c r="E26" t="str">
        <f>IF('Master Sheet'!C27="Area 6 (Anitha P)",'Master Sheet'!E27,"")</f>
        <v/>
      </c>
      <c r="F26" t="str">
        <f>IF('Master Sheet'!C27="Area 6 (Anitha P)",'Master Sheet'!F27,"")</f>
        <v/>
      </c>
      <c r="G26" t="str">
        <f>IF('Master Sheet'!C27="Area 6 (Anitha P)",'Master Sheet'!G27,"")</f>
        <v/>
      </c>
      <c r="H26" t="str">
        <f>IF('Master Sheet'!C27="Area 6 (Anitha P)",'Master Sheet'!H27,"")</f>
        <v/>
      </c>
      <c r="I26" t="str">
        <f>IF('Master Sheet'!C27="Area 6 (Anitha P)",'Master Sheet'!I27,"")</f>
        <v/>
      </c>
      <c r="J26" t="str">
        <f>IF('Master Sheet'!C27="Area 6 (Anitha P)",'Master Sheet'!J27,"")</f>
        <v/>
      </c>
      <c r="K26" t="str">
        <f>IF('Master Sheet'!C27="Area 6 (Anitha P)",'Master Sheet'!K27,"")</f>
        <v/>
      </c>
      <c r="L26" t="str">
        <f>IF('Master Sheet'!C27="Area 6 (Anitha P)",'Master Sheet'!L27,"")</f>
        <v/>
      </c>
      <c r="M26" t="str">
        <f>IF('Master Sheet'!C27="Area 6 (Anitha P)",'Master Sheet'!M27,"")</f>
        <v/>
      </c>
      <c r="N26" t="str">
        <f>IF('Master Sheet'!C27="Area 6 (Anitha P)",'Master Sheet'!N27,"")</f>
        <v/>
      </c>
      <c r="O26" t="str">
        <f>IF('Master Sheet'!C27="Area 6 (Anitha P)",'Master Sheet'!O27,"")</f>
        <v/>
      </c>
      <c r="P26" t="str">
        <f>IF('Master Sheet'!C27="Area 6 (Anitha P)",'Master Sheet'!P27,"")</f>
        <v/>
      </c>
    </row>
    <row r="27" spans="1:16" hidden="1" x14ac:dyDescent="0.25">
      <c r="A27" t="str">
        <f>IF('Master Sheet'!C28="Area 6 (Anitha P)",'Master Sheet'!A28,"")</f>
        <v/>
      </c>
      <c r="B27" t="str">
        <f>IF('Master Sheet'!C28="Area 6 (Anitha P)",'Master Sheet'!B28,"")</f>
        <v/>
      </c>
      <c r="C27" t="s">
        <v>9</v>
      </c>
      <c r="D27" t="str">
        <f>IF('Master Sheet'!C28="Area 6 (Anitha P)",'Master Sheet'!D28,"")</f>
        <v/>
      </c>
      <c r="E27" t="str">
        <f>IF('Master Sheet'!C28="Area 6 (Anitha P)",'Master Sheet'!E28,"")</f>
        <v/>
      </c>
      <c r="F27" t="str">
        <f>IF('Master Sheet'!C28="Area 6 (Anitha P)",'Master Sheet'!F28,"")</f>
        <v/>
      </c>
      <c r="G27" t="str">
        <f>IF('Master Sheet'!C28="Area 6 (Anitha P)",'Master Sheet'!G28,"")</f>
        <v/>
      </c>
      <c r="H27" t="str">
        <f>IF('Master Sheet'!C28="Area 6 (Anitha P)",'Master Sheet'!H28,"")</f>
        <v/>
      </c>
      <c r="I27" t="str">
        <f>IF('Master Sheet'!C28="Area 6 (Anitha P)",'Master Sheet'!I28,"")</f>
        <v/>
      </c>
      <c r="J27" t="str">
        <f>IF('Master Sheet'!C28="Area 6 (Anitha P)",'Master Sheet'!J28,"")</f>
        <v/>
      </c>
      <c r="K27" t="str">
        <f>IF('Master Sheet'!C28="Area 6 (Anitha P)",'Master Sheet'!K28,"")</f>
        <v/>
      </c>
      <c r="L27" t="str">
        <f>IF('Master Sheet'!C28="Area 6 (Anitha P)",'Master Sheet'!L28,"")</f>
        <v/>
      </c>
      <c r="M27" t="str">
        <f>IF('Master Sheet'!C28="Area 6 (Anitha P)",'Master Sheet'!M28,"")</f>
        <v/>
      </c>
      <c r="N27" t="str">
        <f>IF('Master Sheet'!C28="Area 6 (Anitha P)",'Master Sheet'!N28,"")</f>
        <v/>
      </c>
      <c r="O27" t="str">
        <f>IF('Master Sheet'!C28="Area 6 (Anitha P)",'Master Sheet'!O28,"")</f>
        <v/>
      </c>
      <c r="P27" t="str">
        <f>IF('Master Sheet'!C28="Area 6 (Anitha P)",'Master Sheet'!P28,"")</f>
        <v/>
      </c>
    </row>
    <row r="28" spans="1:16" hidden="1" x14ac:dyDescent="0.25">
      <c r="A28" t="str">
        <f>IF('Master Sheet'!C29="Area 6 (Anitha P)",'Master Sheet'!A29,"")</f>
        <v/>
      </c>
      <c r="B28" t="str">
        <f>IF('Master Sheet'!C29="Area 6 (Anitha P)",'Master Sheet'!B29,"")</f>
        <v/>
      </c>
      <c r="C28" t="s">
        <v>9</v>
      </c>
      <c r="D28" t="str">
        <f>IF('Master Sheet'!C29="Area 6 (Anitha P)",'Master Sheet'!D29,"")</f>
        <v/>
      </c>
      <c r="E28" t="str">
        <f>IF('Master Sheet'!C29="Area 6 (Anitha P)",'Master Sheet'!E29,"")</f>
        <v/>
      </c>
      <c r="F28" t="str">
        <f>IF('Master Sheet'!C29="Area 6 (Anitha P)",'Master Sheet'!F29,"")</f>
        <v/>
      </c>
      <c r="G28" t="str">
        <f>IF('Master Sheet'!C29="Area 6 (Anitha P)",'Master Sheet'!G29,"")</f>
        <v/>
      </c>
      <c r="H28" t="str">
        <f>IF('Master Sheet'!C29="Area 6 (Anitha P)",'Master Sheet'!H29,"")</f>
        <v/>
      </c>
      <c r="I28" t="str">
        <f>IF('Master Sheet'!C29="Area 6 (Anitha P)",'Master Sheet'!I29,"")</f>
        <v/>
      </c>
      <c r="J28" t="str">
        <f>IF('Master Sheet'!C29="Area 6 (Anitha P)",'Master Sheet'!J29,"")</f>
        <v/>
      </c>
      <c r="K28" t="str">
        <f>IF('Master Sheet'!C29="Area 6 (Anitha P)",'Master Sheet'!K29,"")</f>
        <v/>
      </c>
      <c r="L28" t="str">
        <f>IF('Master Sheet'!C29="Area 6 (Anitha P)",'Master Sheet'!L29,"")</f>
        <v/>
      </c>
      <c r="M28" t="str">
        <f>IF('Master Sheet'!C29="Area 6 (Anitha P)",'Master Sheet'!M29,"")</f>
        <v/>
      </c>
      <c r="N28" t="str">
        <f>IF('Master Sheet'!C29="Area 6 (Anitha P)",'Master Sheet'!N29,"")</f>
        <v/>
      </c>
      <c r="O28" t="str">
        <f>IF('Master Sheet'!C29="Area 6 (Anitha P)",'Master Sheet'!O29,"")</f>
        <v/>
      </c>
      <c r="P28" t="str">
        <f>IF('Master Sheet'!C29="Area 6 (Anitha P)",'Master Sheet'!P29,"")</f>
        <v/>
      </c>
    </row>
    <row r="29" spans="1:16" hidden="1" x14ac:dyDescent="0.25">
      <c r="A29" t="str">
        <f>IF('Master Sheet'!C30="Area 6 (Anitha P)",'Master Sheet'!A30,"")</f>
        <v/>
      </c>
      <c r="B29" t="str">
        <f>IF('Master Sheet'!C30="Area 6 (Anitha P)",'Master Sheet'!B30,"")</f>
        <v/>
      </c>
      <c r="C29" t="s">
        <v>9</v>
      </c>
      <c r="D29" t="str">
        <f>IF('Master Sheet'!C30="Area 6 (Anitha P)",'Master Sheet'!D30,"")</f>
        <v/>
      </c>
      <c r="E29" t="str">
        <f>IF('Master Sheet'!C30="Area 6 (Anitha P)",'Master Sheet'!E30,"")</f>
        <v/>
      </c>
      <c r="F29" t="str">
        <f>IF('Master Sheet'!C30="Area 6 (Anitha P)",'Master Sheet'!F30,"")</f>
        <v/>
      </c>
      <c r="G29" t="str">
        <f>IF('Master Sheet'!C30="Area 6 (Anitha P)",'Master Sheet'!G30,"")</f>
        <v/>
      </c>
      <c r="H29" t="str">
        <f>IF('Master Sheet'!C30="Area 6 (Anitha P)",'Master Sheet'!H30,"")</f>
        <v/>
      </c>
      <c r="I29" t="str">
        <f>IF('Master Sheet'!C30="Area 6 (Anitha P)",'Master Sheet'!I30,"")</f>
        <v/>
      </c>
      <c r="J29" t="str">
        <f>IF('Master Sheet'!C30="Area 6 (Anitha P)",'Master Sheet'!J30,"")</f>
        <v/>
      </c>
      <c r="K29" t="str">
        <f>IF('Master Sheet'!C30="Area 6 (Anitha P)",'Master Sheet'!K30,"")</f>
        <v/>
      </c>
      <c r="L29" t="str">
        <f>IF('Master Sheet'!C30="Area 6 (Anitha P)",'Master Sheet'!L30,"")</f>
        <v/>
      </c>
      <c r="M29" t="str">
        <f>IF('Master Sheet'!C30="Area 6 (Anitha P)",'Master Sheet'!M30,"")</f>
        <v/>
      </c>
      <c r="N29" t="str">
        <f>IF('Master Sheet'!C30="Area 6 (Anitha P)",'Master Sheet'!N30,"")</f>
        <v/>
      </c>
      <c r="O29" t="str">
        <f>IF('Master Sheet'!C30="Area 6 (Anitha P)",'Master Sheet'!O30,"")</f>
        <v/>
      </c>
      <c r="P29" t="str">
        <f>IF('Master Sheet'!C30="Area 6 (Anitha P)",'Master Sheet'!P30,"")</f>
        <v/>
      </c>
    </row>
    <row r="30" spans="1:16" hidden="1" x14ac:dyDescent="0.25">
      <c r="A30" t="str">
        <f>IF('Master Sheet'!C31="Area 6 (Anitha P)",'Master Sheet'!A31,"")</f>
        <v/>
      </c>
      <c r="B30" t="str">
        <f>IF('Master Sheet'!C31="Area 6 (Anitha P)",'Master Sheet'!B31,"")</f>
        <v/>
      </c>
      <c r="C30" t="s">
        <v>9</v>
      </c>
      <c r="D30" t="str">
        <f>IF('Master Sheet'!C31="Area 6 (Anitha P)",'Master Sheet'!D31,"")</f>
        <v/>
      </c>
      <c r="E30" t="str">
        <f>IF('Master Sheet'!C31="Area 6 (Anitha P)",'Master Sheet'!E31,"")</f>
        <v/>
      </c>
      <c r="F30" t="str">
        <f>IF('Master Sheet'!C31="Area 6 (Anitha P)",'Master Sheet'!F31,"")</f>
        <v/>
      </c>
      <c r="G30" t="str">
        <f>IF('Master Sheet'!C31="Area 6 (Anitha P)",'Master Sheet'!G31,"")</f>
        <v/>
      </c>
      <c r="H30" t="str">
        <f>IF('Master Sheet'!C31="Area 6 (Anitha P)",'Master Sheet'!H31,"")</f>
        <v/>
      </c>
      <c r="I30" t="str">
        <f>IF('Master Sheet'!C31="Area 6 (Anitha P)",'Master Sheet'!I31,"")</f>
        <v/>
      </c>
      <c r="J30" t="str">
        <f>IF('Master Sheet'!C31="Area 6 (Anitha P)",'Master Sheet'!J31,"")</f>
        <v/>
      </c>
      <c r="K30" t="str">
        <f>IF('Master Sheet'!C31="Area 6 (Anitha P)",'Master Sheet'!K31,"")</f>
        <v/>
      </c>
      <c r="L30" t="str">
        <f>IF('Master Sheet'!C31="Area 6 (Anitha P)",'Master Sheet'!L31,"")</f>
        <v/>
      </c>
      <c r="M30" t="str">
        <f>IF('Master Sheet'!C31="Area 6 (Anitha P)",'Master Sheet'!M31,"")</f>
        <v/>
      </c>
      <c r="N30" t="str">
        <f>IF('Master Sheet'!C31="Area 6 (Anitha P)",'Master Sheet'!N31,"")</f>
        <v/>
      </c>
      <c r="O30" t="str">
        <f>IF('Master Sheet'!C31="Area 6 (Anitha P)",'Master Sheet'!O31,"")</f>
        <v/>
      </c>
      <c r="P30" t="str">
        <f>IF('Master Sheet'!C31="Area 6 (Anitha P)",'Master Sheet'!P31,"")</f>
        <v/>
      </c>
    </row>
    <row r="31" spans="1:16" hidden="1" x14ac:dyDescent="0.25">
      <c r="A31" t="str">
        <f>IF('Master Sheet'!C32="Area 6 (Anitha P)",'Master Sheet'!A32,"")</f>
        <v/>
      </c>
      <c r="B31" t="str">
        <f>IF('Master Sheet'!C32="Area 6 (Anitha P)",'Master Sheet'!B32,"")</f>
        <v/>
      </c>
      <c r="C31" t="s">
        <v>9</v>
      </c>
      <c r="D31" t="str">
        <f>IF('Master Sheet'!C32="Area 6 (Anitha P)",'Master Sheet'!D32,"")</f>
        <v/>
      </c>
      <c r="E31" t="str">
        <f>IF('Master Sheet'!C32="Area 6 (Anitha P)",'Master Sheet'!E32,"")</f>
        <v/>
      </c>
      <c r="F31" t="str">
        <f>IF('Master Sheet'!C32="Area 6 (Anitha P)",'Master Sheet'!F32,"")</f>
        <v/>
      </c>
      <c r="G31" t="str">
        <f>IF('Master Sheet'!C32="Area 6 (Anitha P)",'Master Sheet'!G32,"")</f>
        <v/>
      </c>
      <c r="H31" t="str">
        <f>IF('Master Sheet'!C32="Area 6 (Anitha P)",'Master Sheet'!H32,"")</f>
        <v/>
      </c>
      <c r="I31" t="str">
        <f>IF('Master Sheet'!C32="Area 6 (Anitha P)",'Master Sheet'!I32,"")</f>
        <v/>
      </c>
      <c r="J31" t="str">
        <f>IF('Master Sheet'!C32="Area 6 (Anitha P)",'Master Sheet'!J32,"")</f>
        <v/>
      </c>
      <c r="K31" t="str">
        <f>IF('Master Sheet'!C32="Area 6 (Anitha P)",'Master Sheet'!K32,"")</f>
        <v/>
      </c>
      <c r="L31" t="str">
        <f>IF('Master Sheet'!C32="Area 6 (Anitha P)",'Master Sheet'!L32,"")</f>
        <v/>
      </c>
      <c r="M31" t="str">
        <f>IF('Master Sheet'!C32="Area 6 (Anitha P)",'Master Sheet'!M32,"")</f>
        <v/>
      </c>
      <c r="N31" t="str">
        <f>IF('Master Sheet'!C32="Area 6 (Anitha P)",'Master Sheet'!N32,"")</f>
        <v/>
      </c>
      <c r="O31" t="str">
        <f>IF('Master Sheet'!C32="Area 6 (Anitha P)",'Master Sheet'!O32,"")</f>
        <v/>
      </c>
      <c r="P31" t="str">
        <f>IF('Master Sheet'!C32="Area 6 (Anitha P)",'Master Sheet'!P32,"")</f>
        <v/>
      </c>
    </row>
    <row r="32" spans="1:16" hidden="1" x14ac:dyDescent="0.25">
      <c r="A32" t="str">
        <f>IF('Master Sheet'!C33="Area 6 (Anitha P)",'Master Sheet'!A33,"")</f>
        <v/>
      </c>
      <c r="B32" t="str">
        <f>IF('Master Sheet'!C33="Area 6 (Anitha P)",'Master Sheet'!B33,"")</f>
        <v/>
      </c>
      <c r="C32" t="s">
        <v>9</v>
      </c>
      <c r="D32" t="str">
        <f>IF('Master Sheet'!C33="Area 6 (Anitha P)",'Master Sheet'!D33,"")</f>
        <v/>
      </c>
      <c r="E32" t="str">
        <f>IF('Master Sheet'!C33="Area 6 (Anitha P)",'Master Sheet'!E33,"")</f>
        <v/>
      </c>
      <c r="F32" t="str">
        <f>IF('Master Sheet'!C33="Area 6 (Anitha P)",'Master Sheet'!F33,"")</f>
        <v/>
      </c>
      <c r="G32" t="str">
        <f>IF('Master Sheet'!C33="Area 6 (Anitha P)",'Master Sheet'!G33,"")</f>
        <v/>
      </c>
      <c r="H32" t="str">
        <f>IF('Master Sheet'!C33="Area 6 (Anitha P)",'Master Sheet'!H33,"")</f>
        <v/>
      </c>
      <c r="I32" t="str">
        <f>IF('Master Sheet'!C33="Area 6 (Anitha P)",'Master Sheet'!I33,"")</f>
        <v/>
      </c>
      <c r="J32" t="str">
        <f>IF('Master Sheet'!C33="Area 6 (Anitha P)",'Master Sheet'!J33,"")</f>
        <v/>
      </c>
      <c r="K32" t="str">
        <f>IF('Master Sheet'!C33="Area 6 (Anitha P)",'Master Sheet'!K33,"")</f>
        <v/>
      </c>
      <c r="L32" t="str">
        <f>IF('Master Sheet'!C33="Area 6 (Anitha P)",'Master Sheet'!L33,"")</f>
        <v/>
      </c>
      <c r="M32" t="str">
        <f>IF('Master Sheet'!C33="Area 6 (Anitha P)",'Master Sheet'!M33,"")</f>
        <v/>
      </c>
      <c r="N32" t="str">
        <f>IF('Master Sheet'!C33="Area 6 (Anitha P)",'Master Sheet'!N33,"")</f>
        <v/>
      </c>
      <c r="O32" t="str">
        <f>IF('Master Sheet'!C33="Area 6 (Anitha P)",'Master Sheet'!O33,"")</f>
        <v/>
      </c>
      <c r="P32" t="str">
        <f>IF('Master Sheet'!C33="Area 6 (Anitha P)",'Master Sheet'!P33,"")</f>
        <v/>
      </c>
    </row>
    <row r="33" spans="1:16" hidden="1" x14ac:dyDescent="0.25">
      <c r="A33" t="str">
        <f>IF('Master Sheet'!C34="Area 6 (Anitha P)",'Master Sheet'!A34,"")</f>
        <v/>
      </c>
      <c r="B33" t="str">
        <f>IF('Master Sheet'!C34="Area 6 (Anitha P)",'Master Sheet'!B34,"")</f>
        <v/>
      </c>
      <c r="C33" t="s">
        <v>9</v>
      </c>
      <c r="D33" t="str">
        <f>IF('Master Sheet'!C34="Area 6 (Anitha P)",'Master Sheet'!D34,"")</f>
        <v/>
      </c>
      <c r="E33" t="str">
        <f>IF('Master Sheet'!C34="Area 6 (Anitha P)",'Master Sheet'!E34,"")</f>
        <v/>
      </c>
      <c r="F33" t="str">
        <f>IF('Master Sheet'!C34="Area 6 (Anitha P)",'Master Sheet'!F34,"")</f>
        <v/>
      </c>
      <c r="G33" t="str">
        <f>IF('Master Sheet'!C34="Area 6 (Anitha P)",'Master Sheet'!G34,"")</f>
        <v/>
      </c>
      <c r="H33" t="str">
        <f>IF('Master Sheet'!C34="Area 6 (Anitha P)",'Master Sheet'!H34,"")</f>
        <v/>
      </c>
      <c r="I33" t="str">
        <f>IF('Master Sheet'!C34="Area 6 (Anitha P)",'Master Sheet'!I34,"")</f>
        <v/>
      </c>
      <c r="J33" t="str">
        <f>IF('Master Sheet'!C34="Area 6 (Anitha P)",'Master Sheet'!J34,"")</f>
        <v/>
      </c>
      <c r="K33" t="str">
        <f>IF('Master Sheet'!C34="Area 6 (Anitha P)",'Master Sheet'!K34,"")</f>
        <v/>
      </c>
      <c r="L33" t="str">
        <f>IF('Master Sheet'!C34="Area 6 (Anitha P)",'Master Sheet'!L34,"")</f>
        <v/>
      </c>
      <c r="M33" t="str">
        <f>IF('Master Sheet'!C34="Area 6 (Anitha P)",'Master Sheet'!M34,"")</f>
        <v/>
      </c>
      <c r="N33" t="str">
        <f>IF('Master Sheet'!C34="Area 6 (Anitha P)",'Master Sheet'!N34,"")</f>
        <v/>
      </c>
      <c r="O33" t="str">
        <f>IF('Master Sheet'!C34="Area 6 (Anitha P)",'Master Sheet'!O34,"")</f>
        <v/>
      </c>
      <c r="P33" t="str">
        <f>IF('Master Sheet'!C34="Area 6 (Anitha P)",'Master Sheet'!P34,"")</f>
        <v/>
      </c>
    </row>
    <row r="34" spans="1:16" hidden="1" x14ac:dyDescent="0.25">
      <c r="A34" t="str">
        <f>IF('Master Sheet'!C35="Area 6 (Anitha P)",'Master Sheet'!A35,"")</f>
        <v/>
      </c>
      <c r="B34" t="str">
        <f>IF('Master Sheet'!C35="Area 6 (Anitha P)",'Master Sheet'!B35,"")</f>
        <v/>
      </c>
      <c r="C34" t="s">
        <v>9</v>
      </c>
      <c r="D34" t="str">
        <f>IF('Master Sheet'!C35="Area 6 (Anitha P)",'Master Sheet'!D35,"")</f>
        <v/>
      </c>
      <c r="E34" t="str">
        <f>IF('Master Sheet'!C35="Area 6 (Anitha P)",'Master Sheet'!E35,"")</f>
        <v/>
      </c>
      <c r="F34" t="str">
        <f>IF('Master Sheet'!C35="Area 6 (Anitha P)",'Master Sheet'!F35,"")</f>
        <v/>
      </c>
      <c r="G34" t="str">
        <f>IF('Master Sheet'!C35="Area 6 (Anitha P)",'Master Sheet'!G35,"")</f>
        <v/>
      </c>
      <c r="H34" t="str">
        <f>IF('Master Sheet'!C35="Area 6 (Anitha P)",'Master Sheet'!H35,"")</f>
        <v/>
      </c>
      <c r="I34" t="str">
        <f>IF('Master Sheet'!C35="Area 6 (Anitha P)",'Master Sheet'!I35,"")</f>
        <v/>
      </c>
      <c r="J34" t="str">
        <f>IF('Master Sheet'!C35="Area 6 (Anitha P)",'Master Sheet'!J35,"")</f>
        <v/>
      </c>
      <c r="K34" t="str">
        <f>IF('Master Sheet'!C35="Area 6 (Anitha P)",'Master Sheet'!K35,"")</f>
        <v/>
      </c>
      <c r="L34" t="str">
        <f>IF('Master Sheet'!C35="Area 6 (Anitha P)",'Master Sheet'!L35,"")</f>
        <v/>
      </c>
      <c r="M34" t="str">
        <f>IF('Master Sheet'!C35="Area 6 (Anitha P)",'Master Sheet'!M35,"")</f>
        <v/>
      </c>
      <c r="N34" t="str">
        <f>IF('Master Sheet'!C35="Area 6 (Anitha P)",'Master Sheet'!N35,"")</f>
        <v/>
      </c>
      <c r="O34" t="str">
        <f>IF('Master Sheet'!C35="Area 6 (Anitha P)",'Master Sheet'!O35,"")</f>
        <v/>
      </c>
      <c r="P34" t="str">
        <f>IF('Master Sheet'!C35="Area 6 (Anitha P)",'Master Sheet'!P35,"")</f>
        <v/>
      </c>
    </row>
    <row r="35" spans="1:16" hidden="1" x14ac:dyDescent="0.25">
      <c r="A35" t="str">
        <f>IF('Master Sheet'!C36="Area 6 (Anitha P)",'Master Sheet'!A36,"")</f>
        <v/>
      </c>
      <c r="B35" t="str">
        <f>IF('Master Sheet'!C36="Area 6 (Anitha P)",'Master Sheet'!B36,"")</f>
        <v/>
      </c>
      <c r="C35" t="s">
        <v>9</v>
      </c>
      <c r="D35" t="str">
        <f>IF('Master Sheet'!C36="Area 6 (Anitha P)",'Master Sheet'!D36,"")</f>
        <v/>
      </c>
      <c r="E35" t="str">
        <f>IF('Master Sheet'!C36="Area 6 (Anitha P)",'Master Sheet'!E36,"")</f>
        <v/>
      </c>
      <c r="F35" t="str">
        <f>IF('Master Sheet'!C36="Area 6 (Anitha P)",'Master Sheet'!F36,"")</f>
        <v/>
      </c>
      <c r="G35" t="str">
        <f>IF('Master Sheet'!C36="Area 6 (Anitha P)",'Master Sheet'!G36,"")</f>
        <v/>
      </c>
      <c r="H35" t="str">
        <f>IF('Master Sheet'!C36="Area 6 (Anitha P)",'Master Sheet'!H36,"")</f>
        <v/>
      </c>
      <c r="I35" t="str">
        <f>IF('Master Sheet'!C36="Area 6 (Anitha P)",'Master Sheet'!I36,"")</f>
        <v/>
      </c>
      <c r="J35" t="str">
        <f>IF('Master Sheet'!C36="Area 6 (Anitha P)",'Master Sheet'!J36,"")</f>
        <v/>
      </c>
      <c r="K35" t="str">
        <f>IF('Master Sheet'!C36="Area 6 (Anitha P)",'Master Sheet'!K36,"")</f>
        <v/>
      </c>
      <c r="L35" t="str">
        <f>IF('Master Sheet'!C36="Area 6 (Anitha P)",'Master Sheet'!L36,"")</f>
        <v/>
      </c>
      <c r="M35" t="str">
        <f>IF('Master Sheet'!C36="Area 6 (Anitha P)",'Master Sheet'!M36,"")</f>
        <v/>
      </c>
      <c r="N35" t="str">
        <f>IF('Master Sheet'!C36="Area 6 (Anitha P)",'Master Sheet'!N36,"")</f>
        <v/>
      </c>
      <c r="O35" t="str">
        <f>IF('Master Sheet'!C36="Area 6 (Anitha P)",'Master Sheet'!O36,"")</f>
        <v/>
      </c>
      <c r="P35" t="str">
        <f>IF('Master Sheet'!C36="Area 6 (Anitha P)",'Master Sheet'!P36,"")</f>
        <v/>
      </c>
    </row>
    <row r="36" spans="1:16" hidden="1" x14ac:dyDescent="0.25">
      <c r="A36" t="str">
        <f>IF('Master Sheet'!C37="Area 6 (Anitha P)",'Master Sheet'!A37,"")</f>
        <v/>
      </c>
      <c r="B36" t="str">
        <f>IF('Master Sheet'!C37="Area 6 (Anitha P)",'Master Sheet'!B37,"")</f>
        <v/>
      </c>
      <c r="C36" t="s">
        <v>9</v>
      </c>
      <c r="D36" t="str">
        <f>IF('Master Sheet'!C37="Area 6 (Anitha P)",'Master Sheet'!D37,"")</f>
        <v/>
      </c>
      <c r="E36" t="str">
        <f>IF('Master Sheet'!C37="Area 6 (Anitha P)",'Master Sheet'!E37,"")</f>
        <v/>
      </c>
      <c r="F36" t="str">
        <f>IF('Master Sheet'!C37="Area 6 (Anitha P)",'Master Sheet'!F37,"")</f>
        <v/>
      </c>
      <c r="G36" t="str">
        <f>IF('Master Sheet'!C37="Area 6 (Anitha P)",'Master Sheet'!G37,"")</f>
        <v/>
      </c>
      <c r="H36" t="str">
        <f>IF('Master Sheet'!C37="Area 6 (Anitha P)",'Master Sheet'!H37,"")</f>
        <v/>
      </c>
      <c r="I36" t="str">
        <f>IF('Master Sheet'!C37="Area 6 (Anitha P)",'Master Sheet'!I37,"")</f>
        <v/>
      </c>
      <c r="J36" t="str">
        <f>IF('Master Sheet'!C37="Area 6 (Anitha P)",'Master Sheet'!J37,"")</f>
        <v/>
      </c>
      <c r="K36" t="str">
        <f>IF('Master Sheet'!C37="Area 6 (Anitha P)",'Master Sheet'!K37,"")</f>
        <v/>
      </c>
      <c r="L36" t="str">
        <f>IF('Master Sheet'!C37="Area 6 (Anitha P)",'Master Sheet'!L37,"")</f>
        <v/>
      </c>
      <c r="M36" t="str">
        <f>IF('Master Sheet'!C37="Area 6 (Anitha P)",'Master Sheet'!M37,"")</f>
        <v/>
      </c>
      <c r="N36" t="str">
        <f>IF('Master Sheet'!C37="Area 6 (Anitha P)",'Master Sheet'!N37,"")</f>
        <v/>
      </c>
      <c r="O36" t="str">
        <f>IF('Master Sheet'!C37="Area 6 (Anitha P)",'Master Sheet'!O37,"")</f>
        <v/>
      </c>
      <c r="P36" t="str">
        <f>IF('Master Sheet'!C37="Area 6 (Anitha P)",'Master Sheet'!P37,"")</f>
        <v/>
      </c>
    </row>
    <row r="37" spans="1:16" hidden="1" x14ac:dyDescent="0.25">
      <c r="A37" t="str">
        <f>IF('Master Sheet'!C38="Area 6 (Anitha P)",'Master Sheet'!A38,"")</f>
        <v/>
      </c>
      <c r="B37" t="str">
        <f>IF('Master Sheet'!C38="Area 6 (Anitha P)",'Master Sheet'!B38,"")</f>
        <v/>
      </c>
      <c r="C37" t="s">
        <v>9</v>
      </c>
      <c r="D37" t="str">
        <f>IF('Master Sheet'!C38="Area 6 (Anitha P)",'Master Sheet'!D38,"")</f>
        <v/>
      </c>
      <c r="E37" t="str">
        <f>IF('Master Sheet'!C38="Area 6 (Anitha P)",'Master Sheet'!E38,"")</f>
        <v/>
      </c>
      <c r="F37" t="str">
        <f>IF('Master Sheet'!C38="Area 6 (Anitha P)",'Master Sheet'!F38,"")</f>
        <v/>
      </c>
      <c r="G37" t="str">
        <f>IF('Master Sheet'!C38="Area 6 (Anitha P)",'Master Sheet'!G38,"")</f>
        <v/>
      </c>
      <c r="H37" t="str">
        <f>IF('Master Sheet'!C38="Area 6 (Anitha P)",'Master Sheet'!H38,"")</f>
        <v/>
      </c>
      <c r="I37" t="str">
        <f>IF('Master Sheet'!C38="Area 6 (Anitha P)",'Master Sheet'!I38,"")</f>
        <v/>
      </c>
      <c r="J37" t="str">
        <f>IF('Master Sheet'!C38="Area 6 (Anitha P)",'Master Sheet'!J38,"")</f>
        <v/>
      </c>
      <c r="K37" t="str">
        <f>IF('Master Sheet'!C38="Area 6 (Anitha P)",'Master Sheet'!K38,"")</f>
        <v/>
      </c>
      <c r="L37" t="str">
        <f>IF('Master Sheet'!C38="Area 6 (Anitha P)",'Master Sheet'!L38,"")</f>
        <v/>
      </c>
      <c r="M37" t="str">
        <f>IF('Master Sheet'!C38="Area 6 (Anitha P)",'Master Sheet'!M38,"")</f>
        <v/>
      </c>
      <c r="N37" t="str">
        <f>IF('Master Sheet'!C38="Area 6 (Anitha P)",'Master Sheet'!N38,"")</f>
        <v/>
      </c>
      <c r="O37" t="str">
        <f>IF('Master Sheet'!C38="Area 6 (Anitha P)",'Master Sheet'!O38,"")</f>
        <v/>
      </c>
      <c r="P37" t="str">
        <f>IF('Master Sheet'!C38="Area 6 (Anitha P)",'Master Sheet'!P38,"")</f>
        <v/>
      </c>
    </row>
    <row r="38" spans="1:16" hidden="1" x14ac:dyDescent="0.25">
      <c r="A38" t="str">
        <f>IF('Master Sheet'!C39="Area 6 (Anitha P)",'Master Sheet'!A39,"")</f>
        <v/>
      </c>
      <c r="B38" t="str">
        <f>IF('Master Sheet'!C39="Area 6 (Anitha P)",'Master Sheet'!B39,"")</f>
        <v/>
      </c>
      <c r="C38" t="s">
        <v>9</v>
      </c>
      <c r="D38" t="str">
        <f>IF('Master Sheet'!C39="Area 6 (Anitha P)",'Master Sheet'!D39,"")</f>
        <v/>
      </c>
      <c r="E38" t="str">
        <f>IF('Master Sheet'!C39="Area 6 (Anitha P)",'Master Sheet'!E39,"")</f>
        <v/>
      </c>
      <c r="F38" t="str">
        <f>IF('Master Sheet'!C39="Area 6 (Anitha P)",'Master Sheet'!F39,"")</f>
        <v/>
      </c>
      <c r="G38" t="str">
        <f>IF('Master Sheet'!C39="Area 6 (Anitha P)",'Master Sheet'!G39,"")</f>
        <v/>
      </c>
      <c r="H38" t="str">
        <f>IF('Master Sheet'!C39="Area 6 (Anitha P)",'Master Sheet'!H39,"")</f>
        <v/>
      </c>
      <c r="I38" t="str">
        <f>IF('Master Sheet'!C39="Area 6 (Anitha P)",'Master Sheet'!I39,"")</f>
        <v/>
      </c>
      <c r="J38" t="str">
        <f>IF('Master Sheet'!C39="Area 6 (Anitha P)",'Master Sheet'!J39,"")</f>
        <v/>
      </c>
      <c r="K38" t="str">
        <f>IF('Master Sheet'!C39="Area 6 (Anitha P)",'Master Sheet'!K39,"")</f>
        <v/>
      </c>
      <c r="L38" t="str">
        <f>IF('Master Sheet'!C39="Area 6 (Anitha P)",'Master Sheet'!L39,"")</f>
        <v/>
      </c>
      <c r="M38" t="str">
        <f>IF('Master Sheet'!C39="Area 6 (Anitha P)",'Master Sheet'!M39,"")</f>
        <v/>
      </c>
      <c r="N38" t="str">
        <f>IF('Master Sheet'!C39="Area 6 (Anitha P)",'Master Sheet'!N39,"")</f>
        <v/>
      </c>
      <c r="O38" t="str">
        <f>IF('Master Sheet'!C39="Area 6 (Anitha P)",'Master Sheet'!O39,"")</f>
        <v/>
      </c>
      <c r="P38" t="str">
        <f>IF('Master Sheet'!C39="Area 6 (Anitha P)",'Master Sheet'!P39,"")</f>
        <v/>
      </c>
    </row>
    <row r="39" spans="1:16" hidden="1" x14ac:dyDescent="0.25">
      <c r="A39" t="str">
        <f>IF('Master Sheet'!C40="Area 6 (Anitha P)",'Master Sheet'!A40,"")</f>
        <v/>
      </c>
      <c r="B39" t="str">
        <f>IF('Master Sheet'!C40="Area 6 (Anitha P)",'Master Sheet'!B40,"")</f>
        <v/>
      </c>
      <c r="C39" t="s">
        <v>9</v>
      </c>
      <c r="D39" t="str">
        <f>IF('Master Sheet'!C40="Area 6 (Anitha P)",'Master Sheet'!D40,"")</f>
        <v/>
      </c>
      <c r="E39" t="str">
        <f>IF('Master Sheet'!C40="Area 6 (Anitha P)",'Master Sheet'!E40,"")</f>
        <v/>
      </c>
      <c r="F39" t="str">
        <f>IF('Master Sheet'!C40="Area 6 (Anitha P)",'Master Sheet'!F40,"")</f>
        <v/>
      </c>
      <c r="G39" t="str">
        <f>IF('Master Sheet'!C40="Area 6 (Anitha P)",'Master Sheet'!G40,"")</f>
        <v/>
      </c>
      <c r="H39" t="str">
        <f>IF('Master Sheet'!C40="Area 6 (Anitha P)",'Master Sheet'!H40,"")</f>
        <v/>
      </c>
      <c r="I39" t="str">
        <f>IF('Master Sheet'!C40="Area 6 (Anitha P)",'Master Sheet'!I40,"")</f>
        <v/>
      </c>
      <c r="J39" t="str">
        <f>IF('Master Sheet'!C40="Area 6 (Anitha P)",'Master Sheet'!J40,"")</f>
        <v/>
      </c>
      <c r="K39" t="str">
        <f>IF('Master Sheet'!C40="Area 6 (Anitha P)",'Master Sheet'!K40,"")</f>
        <v/>
      </c>
      <c r="L39" t="str">
        <f>IF('Master Sheet'!C40="Area 6 (Anitha P)",'Master Sheet'!L40,"")</f>
        <v/>
      </c>
      <c r="M39" t="str">
        <f>IF('Master Sheet'!C40="Area 6 (Anitha P)",'Master Sheet'!M40,"")</f>
        <v/>
      </c>
      <c r="N39" t="str">
        <f>IF('Master Sheet'!C40="Area 6 (Anitha P)",'Master Sheet'!N40,"")</f>
        <v/>
      </c>
      <c r="O39" t="str">
        <f>IF('Master Sheet'!C40="Area 6 (Anitha P)",'Master Sheet'!O40,"")</f>
        <v/>
      </c>
      <c r="P39" t="str">
        <f>IF('Master Sheet'!C40="Area 6 (Anitha P)",'Master Sheet'!P40,"")</f>
        <v/>
      </c>
    </row>
    <row r="40" spans="1:16" hidden="1" x14ac:dyDescent="0.25">
      <c r="A40" t="str">
        <f>IF('Master Sheet'!C41="Area 6 (Anitha P)",'Master Sheet'!A41,"")</f>
        <v/>
      </c>
      <c r="B40" t="str">
        <f>IF('Master Sheet'!C41="Area 6 (Anitha P)",'Master Sheet'!B41,"")</f>
        <v/>
      </c>
      <c r="C40" t="s">
        <v>9</v>
      </c>
      <c r="D40" t="str">
        <f>IF('Master Sheet'!C41="Area 6 (Anitha P)",'Master Sheet'!D41,"")</f>
        <v/>
      </c>
      <c r="E40" t="str">
        <f>IF('Master Sheet'!C41="Area 6 (Anitha P)",'Master Sheet'!E41,"")</f>
        <v/>
      </c>
      <c r="F40" t="str">
        <f>IF('Master Sheet'!C41="Area 6 (Anitha P)",'Master Sheet'!F41,"")</f>
        <v/>
      </c>
      <c r="G40" t="str">
        <f>IF('Master Sheet'!C41="Area 6 (Anitha P)",'Master Sheet'!G41,"")</f>
        <v/>
      </c>
      <c r="H40" t="str">
        <f>IF('Master Sheet'!C41="Area 6 (Anitha P)",'Master Sheet'!H41,"")</f>
        <v/>
      </c>
      <c r="I40" t="str">
        <f>IF('Master Sheet'!C41="Area 6 (Anitha P)",'Master Sheet'!I41,"")</f>
        <v/>
      </c>
      <c r="J40" t="str">
        <f>IF('Master Sheet'!C41="Area 6 (Anitha P)",'Master Sheet'!J41,"")</f>
        <v/>
      </c>
      <c r="K40" t="str">
        <f>IF('Master Sheet'!C41="Area 6 (Anitha P)",'Master Sheet'!K41,"")</f>
        <v/>
      </c>
      <c r="L40" t="str">
        <f>IF('Master Sheet'!C41="Area 6 (Anitha P)",'Master Sheet'!L41,"")</f>
        <v/>
      </c>
      <c r="M40" t="str">
        <f>IF('Master Sheet'!C41="Area 6 (Anitha P)",'Master Sheet'!M41,"")</f>
        <v/>
      </c>
      <c r="N40" t="str">
        <f>IF('Master Sheet'!C41="Area 6 (Anitha P)",'Master Sheet'!N41,"")</f>
        <v/>
      </c>
      <c r="O40" t="str">
        <f>IF('Master Sheet'!C41="Area 6 (Anitha P)",'Master Sheet'!O41,"")</f>
        <v/>
      </c>
      <c r="P40" t="str">
        <f>IF('Master Sheet'!C41="Area 6 (Anitha P)",'Master Sheet'!P41,"")</f>
        <v/>
      </c>
    </row>
    <row r="41" spans="1:16" hidden="1" x14ac:dyDescent="0.25">
      <c r="A41" t="str">
        <f>IF('Master Sheet'!C42="Area 6 (Anitha P)",'Master Sheet'!A42,"")</f>
        <v/>
      </c>
      <c r="B41" t="str">
        <f>IF('Master Sheet'!C42="Area 6 (Anitha P)",'Master Sheet'!B42,"")</f>
        <v/>
      </c>
      <c r="C41" t="s">
        <v>9</v>
      </c>
      <c r="D41" t="str">
        <f>IF('Master Sheet'!C42="Area 6 (Anitha P)",'Master Sheet'!D42,"")</f>
        <v/>
      </c>
      <c r="E41" t="str">
        <f>IF('Master Sheet'!C42="Area 6 (Anitha P)",'Master Sheet'!E42,"")</f>
        <v/>
      </c>
      <c r="F41" t="str">
        <f>IF('Master Sheet'!C42="Area 6 (Anitha P)",'Master Sheet'!F42,"")</f>
        <v/>
      </c>
      <c r="G41" t="str">
        <f>IF('Master Sheet'!C42="Area 6 (Anitha P)",'Master Sheet'!G42,"")</f>
        <v/>
      </c>
      <c r="H41" t="str">
        <f>IF('Master Sheet'!C42="Area 6 (Anitha P)",'Master Sheet'!H42,"")</f>
        <v/>
      </c>
      <c r="I41" t="str">
        <f>IF('Master Sheet'!C42="Area 6 (Anitha P)",'Master Sheet'!I42,"")</f>
        <v/>
      </c>
      <c r="J41" t="str">
        <f>IF('Master Sheet'!C42="Area 6 (Anitha P)",'Master Sheet'!J42,"")</f>
        <v/>
      </c>
      <c r="K41" t="str">
        <f>IF('Master Sheet'!C42="Area 6 (Anitha P)",'Master Sheet'!K42,"")</f>
        <v/>
      </c>
      <c r="L41" t="str">
        <f>IF('Master Sheet'!C42="Area 6 (Anitha P)",'Master Sheet'!L42,"")</f>
        <v/>
      </c>
      <c r="M41" t="str">
        <f>IF('Master Sheet'!C42="Area 6 (Anitha P)",'Master Sheet'!M42,"")</f>
        <v/>
      </c>
      <c r="N41" t="str">
        <f>IF('Master Sheet'!C42="Area 6 (Anitha P)",'Master Sheet'!N42,"")</f>
        <v/>
      </c>
      <c r="O41" t="str">
        <f>IF('Master Sheet'!C42="Area 6 (Anitha P)",'Master Sheet'!O42,"")</f>
        <v/>
      </c>
      <c r="P41" t="str">
        <f>IF('Master Sheet'!C42="Area 6 (Anitha P)",'Master Sheet'!P42,"")</f>
        <v/>
      </c>
    </row>
    <row r="42" spans="1:16" hidden="1" x14ac:dyDescent="0.25">
      <c r="A42" t="str">
        <f>IF('Master Sheet'!C43="Area 6 (Anitha P)",'Master Sheet'!A43,"")</f>
        <v/>
      </c>
      <c r="B42" t="str">
        <f>IF('Master Sheet'!C43="Area 6 (Anitha P)",'Master Sheet'!B43,"")</f>
        <v/>
      </c>
      <c r="C42" t="s">
        <v>9</v>
      </c>
      <c r="D42" t="str">
        <f>IF('Master Sheet'!C43="Area 6 (Anitha P)",'Master Sheet'!D43,"")</f>
        <v/>
      </c>
      <c r="E42" t="str">
        <f>IF('Master Sheet'!C43="Area 6 (Anitha P)",'Master Sheet'!E43,"")</f>
        <v/>
      </c>
      <c r="F42" t="str">
        <f>IF('Master Sheet'!C43="Area 6 (Anitha P)",'Master Sheet'!F43,"")</f>
        <v/>
      </c>
      <c r="G42" t="str">
        <f>IF('Master Sheet'!C43="Area 6 (Anitha P)",'Master Sheet'!G43,"")</f>
        <v/>
      </c>
      <c r="H42" t="str">
        <f>IF('Master Sheet'!C43="Area 6 (Anitha P)",'Master Sheet'!H43,"")</f>
        <v/>
      </c>
      <c r="I42" t="str">
        <f>IF('Master Sheet'!C43="Area 6 (Anitha P)",'Master Sheet'!I43,"")</f>
        <v/>
      </c>
      <c r="J42" t="str">
        <f>IF('Master Sheet'!C43="Area 6 (Anitha P)",'Master Sheet'!J43,"")</f>
        <v/>
      </c>
      <c r="K42" t="str">
        <f>IF('Master Sheet'!C43="Area 6 (Anitha P)",'Master Sheet'!K43,"")</f>
        <v/>
      </c>
      <c r="L42" t="str">
        <f>IF('Master Sheet'!C43="Area 6 (Anitha P)",'Master Sheet'!L43,"")</f>
        <v/>
      </c>
      <c r="M42" t="str">
        <f>IF('Master Sheet'!C43="Area 6 (Anitha P)",'Master Sheet'!M43,"")</f>
        <v/>
      </c>
      <c r="N42" t="str">
        <f>IF('Master Sheet'!C43="Area 6 (Anitha P)",'Master Sheet'!N43,"")</f>
        <v/>
      </c>
      <c r="O42" t="str">
        <f>IF('Master Sheet'!C43="Area 6 (Anitha P)",'Master Sheet'!O43,"")</f>
        <v/>
      </c>
      <c r="P42" t="str">
        <f>IF('Master Sheet'!C43="Area 6 (Anitha P)",'Master Sheet'!P43,"")</f>
        <v/>
      </c>
    </row>
    <row r="43" spans="1:16" hidden="1" x14ac:dyDescent="0.25">
      <c r="A43" t="str">
        <f>IF('Master Sheet'!C44="Area 6 (Anitha P)",'Master Sheet'!A44,"")</f>
        <v/>
      </c>
      <c r="B43" t="str">
        <f>IF('Master Sheet'!C44="Area 6 (Anitha P)",'Master Sheet'!B44,"")</f>
        <v/>
      </c>
      <c r="C43" t="s">
        <v>9</v>
      </c>
      <c r="D43" t="str">
        <f>IF('Master Sheet'!C44="Area 6 (Anitha P)",'Master Sheet'!D44,"")</f>
        <v/>
      </c>
      <c r="E43" t="str">
        <f>IF('Master Sheet'!C44="Area 6 (Anitha P)",'Master Sheet'!E44,"")</f>
        <v/>
      </c>
      <c r="F43" t="str">
        <f>IF('Master Sheet'!C44="Area 6 (Anitha P)",'Master Sheet'!F44,"")</f>
        <v/>
      </c>
      <c r="G43" t="str">
        <f>IF('Master Sheet'!C44="Area 6 (Anitha P)",'Master Sheet'!G44,"")</f>
        <v/>
      </c>
      <c r="H43" t="str">
        <f>IF('Master Sheet'!C44="Area 6 (Anitha P)",'Master Sheet'!H44,"")</f>
        <v/>
      </c>
      <c r="I43" t="str">
        <f>IF('Master Sheet'!C44="Area 6 (Anitha P)",'Master Sheet'!I44,"")</f>
        <v/>
      </c>
      <c r="J43" t="str">
        <f>IF('Master Sheet'!C44="Area 6 (Anitha P)",'Master Sheet'!J44,"")</f>
        <v/>
      </c>
      <c r="K43" t="str">
        <f>IF('Master Sheet'!C44="Area 6 (Anitha P)",'Master Sheet'!K44,"")</f>
        <v/>
      </c>
      <c r="L43" t="str">
        <f>IF('Master Sheet'!C44="Area 6 (Anitha P)",'Master Sheet'!L44,"")</f>
        <v/>
      </c>
      <c r="M43" t="str">
        <f>IF('Master Sheet'!C44="Area 6 (Anitha P)",'Master Sheet'!M44,"")</f>
        <v/>
      </c>
      <c r="N43" t="str">
        <f>IF('Master Sheet'!C44="Area 6 (Anitha P)",'Master Sheet'!N44,"")</f>
        <v/>
      </c>
      <c r="O43" t="str">
        <f>IF('Master Sheet'!C44="Area 6 (Anitha P)",'Master Sheet'!O44,"")</f>
        <v/>
      </c>
      <c r="P43" t="str">
        <f>IF('Master Sheet'!C44="Area 6 (Anitha P)",'Master Sheet'!P44,"")</f>
        <v/>
      </c>
    </row>
    <row r="44" spans="1:16" hidden="1" x14ac:dyDescent="0.25">
      <c r="A44" t="str">
        <f>IF('Master Sheet'!C45="Area 6 (Anitha P)",'Master Sheet'!A45,"")</f>
        <v/>
      </c>
      <c r="B44" t="str">
        <f>IF('Master Sheet'!C45="Area 6 (Anitha P)",'Master Sheet'!B45,"")</f>
        <v/>
      </c>
      <c r="C44" t="s">
        <v>9</v>
      </c>
      <c r="D44" t="str">
        <f>IF('Master Sheet'!C45="Area 6 (Anitha P)",'Master Sheet'!D45,"")</f>
        <v/>
      </c>
      <c r="E44" t="str">
        <f>IF('Master Sheet'!C45="Area 6 (Anitha P)",'Master Sheet'!E45,"")</f>
        <v/>
      </c>
      <c r="F44" t="str">
        <f>IF('Master Sheet'!C45="Area 6 (Anitha P)",'Master Sheet'!F45,"")</f>
        <v/>
      </c>
      <c r="G44" t="str">
        <f>IF('Master Sheet'!C45="Area 6 (Anitha P)",'Master Sheet'!G45,"")</f>
        <v/>
      </c>
      <c r="H44" t="str">
        <f>IF('Master Sheet'!C45="Area 6 (Anitha P)",'Master Sheet'!H45,"")</f>
        <v/>
      </c>
      <c r="I44" t="str">
        <f>IF('Master Sheet'!C45="Area 6 (Anitha P)",'Master Sheet'!I45,"")</f>
        <v/>
      </c>
      <c r="J44" t="str">
        <f>IF('Master Sheet'!C45="Area 6 (Anitha P)",'Master Sheet'!J45,"")</f>
        <v/>
      </c>
      <c r="K44" t="str">
        <f>IF('Master Sheet'!C45="Area 6 (Anitha P)",'Master Sheet'!K45,"")</f>
        <v/>
      </c>
      <c r="L44" t="str">
        <f>IF('Master Sheet'!C45="Area 6 (Anitha P)",'Master Sheet'!L45,"")</f>
        <v/>
      </c>
      <c r="M44" t="str">
        <f>IF('Master Sheet'!C45="Area 6 (Anitha P)",'Master Sheet'!M45,"")</f>
        <v/>
      </c>
      <c r="N44" t="str">
        <f>IF('Master Sheet'!C45="Area 6 (Anitha P)",'Master Sheet'!N45,"")</f>
        <v/>
      </c>
      <c r="O44" t="str">
        <f>IF('Master Sheet'!C45="Area 6 (Anitha P)",'Master Sheet'!O45,"")</f>
        <v/>
      </c>
      <c r="P44" t="str">
        <f>IF('Master Sheet'!C45="Area 6 (Anitha P)",'Master Sheet'!P45,"")</f>
        <v/>
      </c>
    </row>
    <row r="45" spans="1:16" hidden="1" x14ac:dyDescent="0.25">
      <c r="A45" t="str">
        <f>IF('Master Sheet'!C46="Area 6 (Anitha P)",'Master Sheet'!A46,"")</f>
        <v/>
      </c>
      <c r="B45" t="str">
        <f>IF('Master Sheet'!C46="Area 6 (Anitha P)",'Master Sheet'!B46,"")</f>
        <v/>
      </c>
      <c r="C45" t="s">
        <v>9</v>
      </c>
      <c r="D45" t="str">
        <f>IF('Master Sheet'!C46="Area 6 (Anitha P)",'Master Sheet'!D46,"")</f>
        <v/>
      </c>
      <c r="E45" t="str">
        <f>IF('Master Sheet'!C46="Area 6 (Anitha P)",'Master Sheet'!E46,"")</f>
        <v/>
      </c>
      <c r="F45" t="str">
        <f>IF('Master Sheet'!C46="Area 6 (Anitha P)",'Master Sheet'!F46,"")</f>
        <v/>
      </c>
      <c r="G45" t="str">
        <f>IF('Master Sheet'!C46="Area 6 (Anitha P)",'Master Sheet'!G46,"")</f>
        <v/>
      </c>
      <c r="H45" t="str">
        <f>IF('Master Sheet'!C46="Area 6 (Anitha P)",'Master Sheet'!H46,"")</f>
        <v/>
      </c>
      <c r="I45" t="str">
        <f>IF('Master Sheet'!C46="Area 6 (Anitha P)",'Master Sheet'!I46,"")</f>
        <v/>
      </c>
      <c r="J45" t="str">
        <f>IF('Master Sheet'!C46="Area 6 (Anitha P)",'Master Sheet'!J46,"")</f>
        <v/>
      </c>
      <c r="K45" t="str">
        <f>IF('Master Sheet'!C46="Area 6 (Anitha P)",'Master Sheet'!K46,"")</f>
        <v/>
      </c>
      <c r="L45" t="str">
        <f>IF('Master Sheet'!C46="Area 6 (Anitha P)",'Master Sheet'!L46,"")</f>
        <v/>
      </c>
      <c r="M45" t="str">
        <f>IF('Master Sheet'!C46="Area 6 (Anitha P)",'Master Sheet'!M46,"")</f>
        <v/>
      </c>
      <c r="N45" t="str">
        <f>IF('Master Sheet'!C46="Area 6 (Anitha P)",'Master Sheet'!N46,"")</f>
        <v/>
      </c>
      <c r="O45" t="str">
        <f>IF('Master Sheet'!C46="Area 6 (Anitha P)",'Master Sheet'!O46,"")</f>
        <v/>
      </c>
      <c r="P45" t="str">
        <f>IF('Master Sheet'!C46="Area 6 (Anitha P)",'Master Sheet'!P46,"")</f>
        <v/>
      </c>
    </row>
    <row r="46" spans="1:16" hidden="1" x14ac:dyDescent="0.25">
      <c r="A46" t="str">
        <f>IF('Master Sheet'!C47="Area 6 (Anitha P)",'Master Sheet'!A47,"")</f>
        <v/>
      </c>
      <c r="B46" t="str">
        <f>IF('Master Sheet'!C47="Area 6 (Anitha P)",'Master Sheet'!B47,"")</f>
        <v/>
      </c>
      <c r="C46" t="s">
        <v>9</v>
      </c>
      <c r="D46" t="str">
        <f>IF('Master Sheet'!C47="Area 6 (Anitha P)",'Master Sheet'!D47,"")</f>
        <v/>
      </c>
      <c r="E46" t="str">
        <f>IF('Master Sheet'!C47="Area 6 (Anitha P)",'Master Sheet'!E47,"")</f>
        <v/>
      </c>
      <c r="F46" t="str">
        <f>IF('Master Sheet'!C47="Area 6 (Anitha P)",'Master Sheet'!F47,"")</f>
        <v/>
      </c>
      <c r="G46" t="str">
        <f>IF('Master Sheet'!C47="Area 6 (Anitha P)",'Master Sheet'!G47,"")</f>
        <v/>
      </c>
      <c r="H46" t="str">
        <f>IF('Master Sheet'!C47="Area 6 (Anitha P)",'Master Sheet'!H47,"")</f>
        <v/>
      </c>
      <c r="I46" t="str">
        <f>IF('Master Sheet'!C47="Area 6 (Anitha P)",'Master Sheet'!I47,"")</f>
        <v/>
      </c>
      <c r="J46" t="str">
        <f>IF('Master Sheet'!C47="Area 6 (Anitha P)",'Master Sheet'!J47,"")</f>
        <v/>
      </c>
      <c r="K46" t="str">
        <f>IF('Master Sheet'!C47="Area 6 (Anitha P)",'Master Sheet'!K47,"")</f>
        <v/>
      </c>
      <c r="L46" t="str">
        <f>IF('Master Sheet'!C47="Area 6 (Anitha P)",'Master Sheet'!L47,"")</f>
        <v/>
      </c>
      <c r="M46" t="str">
        <f>IF('Master Sheet'!C47="Area 6 (Anitha P)",'Master Sheet'!M47,"")</f>
        <v/>
      </c>
      <c r="N46" t="str">
        <f>IF('Master Sheet'!C47="Area 6 (Anitha P)",'Master Sheet'!N47,"")</f>
        <v/>
      </c>
      <c r="O46" t="str">
        <f>IF('Master Sheet'!C47="Area 6 (Anitha P)",'Master Sheet'!O47,"")</f>
        <v/>
      </c>
      <c r="P46" t="str">
        <f>IF('Master Sheet'!C47="Area 6 (Anitha P)",'Master Sheet'!P47,"")</f>
        <v/>
      </c>
    </row>
    <row r="47" spans="1:16" hidden="1" x14ac:dyDescent="0.25">
      <c r="A47" t="str">
        <f>IF('Master Sheet'!C48="Area 6 (Anitha P)",'Master Sheet'!A48,"")</f>
        <v/>
      </c>
      <c r="B47" t="str">
        <f>IF('Master Sheet'!C48="Area 6 (Anitha P)",'Master Sheet'!B48,"")</f>
        <v/>
      </c>
      <c r="C47" t="s">
        <v>9</v>
      </c>
      <c r="D47" t="str">
        <f>IF('Master Sheet'!C48="Area 6 (Anitha P)",'Master Sheet'!D48,"")</f>
        <v/>
      </c>
      <c r="E47" t="str">
        <f>IF('Master Sheet'!C48="Area 6 (Anitha P)",'Master Sheet'!E48,"")</f>
        <v/>
      </c>
      <c r="F47" t="str">
        <f>IF('Master Sheet'!C48="Area 6 (Anitha P)",'Master Sheet'!F48,"")</f>
        <v/>
      </c>
      <c r="G47" t="str">
        <f>IF('Master Sheet'!C48="Area 6 (Anitha P)",'Master Sheet'!G48,"")</f>
        <v/>
      </c>
      <c r="H47" t="str">
        <f>IF('Master Sheet'!C48="Area 6 (Anitha P)",'Master Sheet'!H48,"")</f>
        <v/>
      </c>
      <c r="I47" t="str">
        <f>IF('Master Sheet'!C48="Area 6 (Anitha P)",'Master Sheet'!I48,"")</f>
        <v/>
      </c>
      <c r="J47" t="str">
        <f>IF('Master Sheet'!C48="Area 6 (Anitha P)",'Master Sheet'!J48,"")</f>
        <v/>
      </c>
      <c r="K47" t="str">
        <f>IF('Master Sheet'!C48="Area 6 (Anitha P)",'Master Sheet'!K48,"")</f>
        <v/>
      </c>
      <c r="L47" t="str">
        <f>IF('Master Sheet'!C48="Area 6 (Anitha P)",'Master Sheet'!L48,"")</f>
        <v/>
      </c>
      <c r="M47" t="str">
        <f>IF('Master Sheet'!C48="Area 6 (Anitha P)",'Master Sheet'!M48,"")</f>
        <v/>
      </c>
      <c r="N47" t="str">
        <f>IF('Master Sheet'!C48="Area 6 (Anitha P)",'Master Sheet'!N48,"")</f>
        <v/>
      </c>
      <c r="O47" t="str">
        <f>IF('Master Sheet'!C48="Area 6 (Anitha P)",'Master Sheet'!O48,"")</f>
        <v/>
      </c>
      <c r="P47" t="str">
        <f>IF('Master Sheet'!C48="Area 6 (Anitha P)",'Master Sheet'!P48,"")</f>
        <v/>
      </c>
    </row>
    <row r="48" spans="1:16" hidden="1" x14ac:dyDescent="0.25">
      <c r="A48" t="str">
        <f>IF('Master Sheet'!C49="Area 6 (Anitha P)",'Master Sheet'!A49,"")</f>
        <v/>
      </c>
      <c r="B48" t="str">
        <f>IF('Master Sheet'!C49="Area 6 (Anitha P)",'Master Sheet'!B49,"")</f>
        <v/>
      </c>
      <c r="C48" t="s">
        <v>9</v>
      </c>
      <c r="D48" t="str">
        <f>IF('Master Sheet'!C49="Area 6 (Anitha P)",'Master Sheet'!D49,"")</f>
        <v/>
      </c>
      <c r="E48" t="str">
        <f>IF('Master Sheet'!C49="Area 6 (Anitha P)",'Master Sheet'!E49,"")</f>
        <v/>
      </c>
      <c r="F48" t="str">
        <f>IF('Master Sheet'!C49="Area 6 (Anitha P)",'Master Sheet'!F49,"")</f>
        <v/>
      </c>
      <c r="G48" t="str">
        <f>IF('Master Sheet'!C49="Area 6 (Anitha P)",'Master Sheet'!G49,"")</f>
        <v/>
      </c>
      <c r="H48" t="str">
        <f>IF('Master Sheet'!C49="Area 6 (Anitha P)",'Master Sheet'!H49,"")</f>
        <v/>
      </c>
      <c r="I48" t="str">
        <f>IF('Master Sheet'!C49="Area 6 (Anitha P)",'Master Sheet'!I49,"")</f>
        <v/>
      </c>
      <c r="J48" t="str">
        <f>IF('Master Sheet'!C49="Area 6 (Anitha P)",'Master Sheet'!J49,"")</f>
        <v/>
      </c>
      <c r="K48" t="str">
        <f>IF('Master Sheet'!C49="Area 6 (Anitha P)",'Master Sheet'!K49,"")</f>
        <v/>
      </c>
      <c r="L48" t="str">
        <f>IF('Master Sheet'!C49="Area 6 (Anitha P)",'Master Sheet'!L49,"")</f>
        <v/>
      </c>
      <c r="M48" t="str">
        <f>IF('Master Sheet'!C49="Area 6 (Anitha P)",'Master Sheet'!M49,"")</f>
        <v/>
      </c>
      <c r="N48" t="str">
        <f>IF('Master Sheet'!C49="Area 6 (Anitha P)",'Master Sheet'!N49,"")</f>
        <v/>
      </c>
      <c r="O48" t="str">
        <f>IF('Master Sheet'!C49="Area 6 (Anitha P)",'Master Sheet'!O49,"")</f>
        <v/>
      </c>
      <c r="P48" t="str">
        <f>IF('Master Sheet'!C49="Area 6 (Anitha P)",'Master Sheet'!P49,"")</f>
        <v/>
      </c>
    </row>
    <row r="49" spans="1:16" hidden="1" x14ac:dyDescent="0.25">
      <c r="A49" t="str">
        <f>IF('Master Sheet'!C50="Area 6 (Anitha P)",'Master Sheet'!A50,"")</f>
        <v/>
      </c>
      <c r="B49" t="str">
        <f>IF('Master Sheet'!C50="Area 6 (Anitha P)",'Master Sheet'!B50,"")</f>
        <v/>
      </c>
      <c r="C49" t="s">
        <v>9</v>
      </c>
      <c r="D49" t="str">
        <f>IF('Master Sheet'!C50="Area 6 (Anitha P)",'Master Sheet'!D50,"")</f>
        <v/>
      </c>
      <c r="E49" t="str">
        <f>IF('Master Sheet'!C50="Area 6 (Anitha P)",'Master Sheet'!E50,"")</f>
        <v/>
      </c>
      <c r="F49" t="str">
        <f>IF('Master Sheet'!C50="Area 6 (Anitha P)",'Master Sheet'!F50,"")</f>
        <v/>
      </c>
      <c r="G49" t="str">
        <f>IF('Master Sheet'!C50="Area 6 (Anitha P)",'Master Sheet'!G50,"")</f>
        <v/>
      </c>
      <c r="H49" t="str">
        <f>IF('Master Sheet'!C50="Area 6 (Anitha P)",'Master Sheet'!H50,"")</f>
        <v/>
      </c>
      <c r="I49" t="str">
        <f>IF('Master Sheet'!C50="Area 6 (Anitha P)",'Master Sheet'!I50,"")</f>
        <v/>
      </c>
      <c r="J49" t="str">
        <f>IF('Master Sheet'!C50="Area 6 (Anitha P)",'Master Sheet'!J50,"")</f>
        <v/>
      </c>
      <c r="K49" t="str">
        <f>IF('Master Sheet'!C50="Area 6 (Anitha P)",'Master Sheet'!K50,"")</f>
        <v/>
      </c>
      <c r="L49" t="str">
        <f>IF('Master Sheet'!C50="Area 6 (Anitha P)",'Master Sheet'!L50,"")</f>
        <v/>
      </c>
      <c r="M49" t="str">
        <f>IF('Master Sheet'!C50="Area 6 (Anitha P)",'Master Sheet'!M50,"")</f>
        <v/>
      </c>
      <c r="N49" t="str">
        <f>IF('Master Sheet'!C50="Area 6 (Anitha P)",'Master Sheet'!N50,"")</f>
        <v/>
      </c>
      <c r="O49" t="str">
        <f>IF('Master Sheet'!C50="Area 6 (Anitha P)",'Master Sheet'!O50,"")</f>
        <v/>
      </c>
      <c r="P49" t="str">
        <f>IF('Master Sheet'!C50="Area 6 (Anitha P)",'Master Sheet'!P50,"")</f>
        <v/>
      </c>
    </row>
    <row r="50" spans="1:16" hidden="1" x14ac:dyDescent="0.25">
      <c r="A50" t="str">
        <f>IF('Master Sheet'!C51="Area 6 (Anitha P)",'Master Sheet'!A51,"")</f>
        <v/>
      </c>
      <c r="B50" t="str">
        <f>IF('Master Sheet'!C51="Area 6 (Anitha P)",'Master Sheet'!B51,"")</f>
        <v/>
      </c>
      <c r="C50" t="s">
        <v>9</v>
      </c>
      <c r="D50" t="str">
        <f>IF('Master Sheet'!C51="Area 6 (Anitha P)",'Master Sheet'!D51,"")</f>
        <v/>
      </c>
      <c r="E50" t="str">
        <f>IF('Master Sheet'!C51="Area 6 (Anitha P)",'Master Sheet'!E51,"")</f>
        <v/>
      </c>
      <c r="F50" t="str">
        <f>IF('Master Sheet'!C51="Area 6 (Anitha P)",'Master Sheet'!F51,"")</f>
        <v/>
      </c>
      <c r="G50" t="str">
        <f>IF('Master Sheet'!C51="Area 6 (Anitha P)",'Master Sheet'!G51,"")</f>
        <v/>
      </c>
      <c r="H50" t="str">
        <f>IF('Master Sheet'!C51="Area 6 (Anitha P)",'Master Sheet'!H51,"")</f>
        <v/>
      </c>
      <c r="I50" t="str">
        <f>IF('Master Sheet'!C51="Area 6 (Anitha P)",'Master Sheet'!I51,"")</f>
        <v/>
      </c>
      <c r="J50" t="str">
        <f>IF('Master Sheet'!C51="Area 6 (Anitha P)",'Master Sheet'!J51,"")</f>
        <v/>
      </c>
      <c r="K50" t="str">
        <f>IF('Master Sheet'!C51="Area 6 (Anitha P)",'Master Sheet'!K51,"")</f>
        <v/>
      </c>
      <c r="L50" t="str">
        <f>IF('Master Sheet'!C51="Area 6 (Anitha P)",'Master Sheet'!L51,"")</f>
        <v/>
      </c>
      <c r="M50" t="str">
        <f>IF('Master Sheet'!C51="Area 6 (Anitha P)",'Master Sheet'!M51,"")</f>
        <v/>
      </c>
      <c r="N50" t="str">
        <f>IF('Master Sheet'!C51="Area 6 (Anitha P)",'Master Sheet'!N51,"")</f>
        <v/>
      </c>
      <c r="O50" t="str">
        <f>IF('Master Sheet'!C51="Area 6 (Anitha P)",'Master Sheet'!O51,"")</f>
        <v/>
      </c>
      <c r="P50" t="str">
        <f>IF('Master Sheet'!C51="Area 6 (Anitha P)",'Master Sheet'!P51,"")</f>
        <v/>
      </c>
    </row>
    <row r="51" spans="1:16" hidden="1" x14ac:dyDescent="0.25">
      <c r="A51" t="str">
        <f>IF('Master Sheet'!C52="Area 6 (Anitha P)",'Master Sheet'!A52,"")</f>
        <v/>
      </c>
      <c r="B51" t="str">
        <f>IF('Master Sheet'!C52="Area 6 (Anitha P)",'Master Sheet'!B52,"")</f>
        <v/>
      </c>
      <c r="C51" t="s">
        <v>9</v>
      </c>
      <c r="D51" t="str">
        <f>IF('Master Sheet'!C52="Area 6 (Anitha P)",'Master Sheet'!D52,"")</f>
        <v/>
      </c>
      <c r="E51" t="str">
        <f>IF('Master Sheet'!C52="Area 6 (Anitha P)",'Master Sheet'!E52,"")</f>
        <v/>
      </c>
      <c r="F51" t="str">
        <f>IF('Master Sheet'!C52="Area 6 (Anitha P)",'Master Sheet'!F52,"")</f>
        <v/>
      </c>
      <c r="G51" t="str">
        <f>IF('Master Sheet'!C52="Area 6 (Anitha P)",'Master Sheet'!G52,"")</f>
        <v/>
      </c>
      <c r="H51" t="str">
        <f>IF('Master Sheet'!C52="Area 6 (Anitha P)",'Master Sheet'!H52,"")</f>
        <v/>
      </c>
      <c r="I51" t="str">
        <f>IF('Master Sheet'!C52="Area 6 (Anitha P)",'Master Sheet'!I52,"")</f>
        <v/>
      </c>
      <c r="J51" t="str">
        <f>IF('Master Sheet'!C52="Area 6 (Anitha P)",'Master Sheet'!J52,"")</f>
        <v/>
      </c>
      <c r="K51" t="str">
        <f>IF('Master Sheet'!C52="Area 6 (Anitha P)",'Master Sheet'!K52,"")</f>
        <v/>
      </c>
      <c r="L51" t="str">
        <f>IF('Master Sheet'!C52="Area 6 (Anitha P)",'Master Sheet'!L52,"")</f>
        <v/>
      </c>
      <c r="M51" t="str">
        <f>IF('Master Sheet'!C52="Area 6 (Anitha P)",'Master Sheet'!M52,"")</f>
        <v/>
      </c>
      <c r="N51" t="str">
        <f>IF('Master Sheet'!C52="Area 6 (Anitha P)",'Master Sheet'!N52,"")</f>
        <v/>
      </c>
      <c r="O51" t="str">
        <f>IF('Master Sheet'!C52="Area 6 (Anitha P)",'Master Sheet'!O52,"")</f>
        <v/>
      </c>
      <c r="P51" t="str">
        <f>IF('Master Sheet'!C52="Area 6 (Anitha P)",'Master Sheet'!P52,"")</f>
        <v/>
      </c>
    </row>
    <row r="52" spans="1:16" hidden="1" x14ac:dyDescent="0.25">
      <c r="A52" t="str">
        <f>IF('Master Sheet'!C53="Area 6 (Anitha P)",'Master Sheet'!A53,"")</f>
        <v/>
      </c>
      <c r="B52" t="str">
        <f>IF('Master Sheet'!C53="Area 6 (Anitha P)",'Master Sheet'!B53,"")</f>
        <v/>
      </c>
      <c r="C52" t="s">
        <v>9</v>
      </c>
      <c r="D52" t="str">
        <f>IF('Master Sheet'!C53="Area 6 (Anitha P)",'Master Sheet'!D53,"")</f>
        <v/>
      </c>
      <c r="E52" t="str">
        <f>IF('Master Sheet'!C53="Area 6 (Anitha P)",'Master Sheet'!E53,"")</f>
        <v/>
      </c>
      <c r="F52" t="str">
        <f>IF('Master Sheet'!C53="Area 6 (Anitha P)",'Master Sheet'!F53,"")</f>
        <v/>
      </c>
      <c r="G52" t="str">
        <f>IF('Master Sheet'!C53="Area 6 (Anitha P)",'Master Sheet'!G53,"")</f>
        <v/>
      </c>
      <c r="H52" t="str">
        <f>IF('Master Sheet'!C53="Area 6 (Anitha P)",'Master Sheet'!H53,"")</f>
        <v/>
      </c>
      <c r="I52" t="str">
        <f>IF('Master Sheet'!C53="Area 6 (Anitha P)",'Master Sheet'!I53,"")</f>
        <v/>
      </c>
      <c r="J52" t="str">
        <f>IF('Master Sheet'!C53="Area 6 (Anitha P)",'Master Sheet'!J53,"")</f>
        <v/>
      </c>
      <c r="K52" t="str">
        <f>IF('Master Sheet'!C53="Area 6 (Anitha P)",'Master Sheet'!K53,"")</f>
        <v/>
      </c>
      <c r="L52" t="str">
        <f>IF('Master Sheet'!C53="Area 6 (Anitha P)",'Master Sheet'!L53,"")</f>
        <v/>
      </c>
      <c r="M52" t="str">
        <f>IF('Master Sheet'!C53="Area 6 (Anitha P)",'Master Sheet'!M53,"")</f>
        <v/>
      </c>
      <c r="N52" t="str">
        <f>IF('Master Sheet'!C53="Area 6 (Anitha P)",'Master Sheet'!N53,"")</f>
        <v/>
      </c>
      <c r="O52" t="str">
        <f>IF('Master Sheet'!C53="Area 6 (Anitha P)",'Master Sheet'!O53,"")</f>
        <v/>
      </c>
      <c r="P52" t="str">
        <f>IF('Master Sheet'!C53="Area 6 (Anitha P)",'Master Sheet'!P53,"")</f>
        <v/>
      </c>
    </row>
    <row r="53" spans="1:16" hidden="1" x14ac:dyDescent="0.25">
      <c r="A53" t="str">
        <f>IF('Master Sheet'!C54="Area 6 (Anitha P)",'Master Sheet'!A54,"")</f>
        <v/>
      </c>
      <c r="B53" t="str">
        <f>IF('Master Sheet'!C54="Area 6 (Anitha P)",'Master Sheet'!B54,"")</f>
        <v/>
      </c>
      <c r="C53" t="s">
        <v>9</v>
      </c>
      <c r="D53" t="str">
        <f>IF('Master Sheet'!C54="Area 6 (Anitha P)",'Master Sheet'!D54,"")</f>
        <v/>
      </c>
      <c r="E53" t="str">
        <f>IF('Master Sheet'!C54="Area 6 (Anitha P)",'Master Sheet'!E54,"")</f>
        <v/>
      </c>
      <c r="F53" t="str">
        <f>IF('Master Sheet'!C54="Area 6 (Anitha P)",'Master Sheet'!F54,"")</f>
        <v/>
      </c>
      <c r="G53" t="str">
        <f>IF('Master Sheet'!C54="Area 6 (Anitha P)",'Master Sheet'!G54,"")</f>
        <v/>
      </c>
      <c r="H53" t="str">
        <f>IF('Master Sheet'!C54="Area 6 (Anitha P)",'Master Sheet'!H54,"")</f>
        <v/>
      </c>
      <c r="I53" t="str">
        <f>IF('Master Sheet'!C54="Area 6 (Anitha P)",'Master Sheet'!I54,"")</f>
        <v/>
      </c>
      <c r="J53" t="str">
        <f>IF('Master Sheet'!C54="Area 6 (Anitha P)",'Master Sheet'!J54,"")</f>
        <v/>
      </c>
      <c r="K53" t="str">
        <f>IF('Master Sheet'!C54="Area 6 (Anitha P)",'Master Sheet'!K54,"")</f>
        <v/>
      </c>
      <c r="L53" t="str">
        <f>IF('Master Sheet'!C54="Area 6 (Anitha P)",'Master Sheet'!L54,"")</f>
        <v/>
      </c>
      <c r="M53" t="str">
        <f>IF('Master Sheet'!C54="Area 6 (Anitha P)",'Master Sheet'!M54,"")</f>
        <v/>
      </c>
      <c r="N53" t="str">
        <f>IF('Master Sheet'!C54="Area 6 (Anitha P)",'Master Sheet'!N54,"")</f>
        <v/>
      </c>
      <c r="O53" t="str">
        <f>IF('Master Sheet'!C54="Area 6 (Anitha P)",'Master Sheet'!O54,"")</f>
        <v/>
      </c>
      <c r="P53" t="str">
        <f>IF('Master Sheet'!C54="Area 6 (Anitha P)",'Master Sheet'!P54,"")</f>
        <v/>
      </c>
    </row>
    <row r="54" spans="1:16" hidden="1" x14ac:dyDescent="0.25">
      <c r="A54" t="str">
        <f>IF('Master Sheet'!C55="Area 6 (Anitha P)",'Master Sheet'!A55,"")</f>
        <v/>
      </c>
      <c r="B54" t="str">
        <f>IF('Master Sheet'!C55="Area 6 (Anitha P)",'Master Sheet'!B55,"")</f>
        <v/>
      </c>
      <c r="C54" t="s">
        <v>9</v>
      </c>
      <c r="D54" t="str">
        <f>IF('Master Sheet'!C55="Area 6 (Anitha P)",'Master Sheet'!D55,"")</f>
        <v/>
      </c>
      <c r="E54" t="str">
        <f>IF('Master Sheet'!C55="Area 6 (Anitha P)",'Master Sheet'!E55,"")</f>
        <v/>
      </c>
      <c r="F54" t="str">
        <f>IF('Master Sheet'!C55="Area 6 (Anitha P)",'Master Sheet'!F55,"")</f>
        <v/>
      </c>
      <c r="G54" t="str">
        <f>IF('Master Sheet'!C55="Area 6 (Anitha P)",'Master Sheet'!G55,"")</f>
        <v/>
      </c>
      <c r="H54" t="str">
        <f>IF('Master Sheet'!C55="Area 6 (Anitha P)",'Master Sheet'!H55,"")</f>
        <v/>
      </c>
      <c r="I54" t="str">
        <f>IF('Master Sheet'!C55="Area 6 (Anitha P)",'Master Sheet'!I55,"")</f>
        <v/>
      </c>
      <c r="J54" t="str">
        <f>IF('Master Sheet'!C55="Area 6 (Anitha P)",'Master Sheet'!J55,"")</f>
        <v/>
      </c>
      <c r="K54" t="str">
        <f>IF('Master Sheet'!C55="Area 6 (Anitha P)",'Master Sheet'!K55,"")</f>
        <v/>
      </c>
      <c r="L54" t="str">
        <f>IF('Master Sheet'!C55="Area 6 (Anitha P)",'Master Sheet'!L55,"")</f>
        <v/>
      </c>
      <c r="M54" t="str">
        <f>IF('Master Sheet'!C55="Area 6 (Anitha P)",'Master Sheet'!M55,"")</f>
        <v/>
      </c>
      <c r="N54" t="str">
        <f>IF('Master Sheet'!C55="Area 6 (Anitha P)",'Master Sheet'!N55,"")</f>
        <v/>
      </c>
      <c r="O54" t="str">
        <f>IF('Master Sheet'!C55="Area 6 (Anitha P)",'Master Sheet'!O55,"")</f>
        <v/>
      </c>
      <c r="P54" t="str">
        <f>IF('Master Sheet'!C55="Area 6 (Anitha P)",'Master Sheet'!P55,"")</f>
        <v/>
      </c>
    </row>
    <row r="55" spans="1:16" hidden="1" x14ac:dyDescent="0.25">
      <c r="A55" t="str">
        <f>IF('Master Sheet'!C56="Area 6 (Anitha P)",'Master Sheet'!A56,"")</f>
        <v/>
      </c>
      <c r="B55" t="str">
        <f>IF('Master Sheet'!C56="Area 6 (Anitha P)",'Master Sheet'!B56,"")</f>
        <v/>
      </c>
      <c r="C55" t="s">
        <v>9</v>
      </c>
      <c r="D55" t="str">
        <f>IF('Master Sheet'!C56="Area 6 (Anitha P)",'Master Sheet'!D56,"")</f>
        <v/>
      </c>
      <c r="E55" t="str">
        <f>IF('Master Sheet'!C56="Area 6 (Anitha P)",'Master Sheet'!E56,"")</f>
        <v/>
      </c>
      <c r="F55" t="str">
        <f>IF('Master Sheet'!C56="Area 6 (Anitha P)",'Master Sheet'!F56,"")</f>
        <v/>
      </c>
      <c r="G55" t="str">
        <f>IF('Master Sheet'!C56="Area 6 (Anitha P)",'Master Sheet'!G56,"")</f>
        <v/>
      </c>
      <c r="H55" t="str">
        <f>IF('Master Sheet'!C56="Area 6 (Anitha P)",'Master Sheet'!H56,"")</f>
        <v/>
      </c>
      <c r="I55" t="str">
        <f>IF('Master Sheet'!C56="Area 6 (Anitha P)",'Master Sheet'!I56,"")</f>
        <v/>
      </c>
      <c r="J55" t="str">
        <f>IF('Master Sheet'!C56="Area 6 (Anitha P)",'Master Sheet'!J56,"")</f>
        <v/>
      </c>
      <c r="K55" t="str">
        <f>IF('Master Sheet'!C56="Area 6 (Anitha P)",'Master Sheet'!K56,"")</f>
        <v/>
      </c>
      <c r="L55" t="str">
        <f>IF('Master Sheet'!C56="Area 6 (Anitha P)",'Master Sheet'!L56,"")</f>
        <v/>
      </c>
      <c r="M55" t="str">
        <f>IF('Master Sheet'!C56="Area 6 (Anitha P)",'Master Sheet'!M56,"")</f>
        <v/>
      </c>
      <c r="N55" t="str">
        <f>IF('Master Sheet'!C56="Area 6 (Anitha P)",'Master Sheet'!N56,"")</f>
        <v/>
      </c>
      <c r="O55" t="str">
        <f>IF('Master Sheet'!C56="Area 6 (Anitha P)",'Master Sheet'!O56,"")</f>
        <v/>
      </c>
      <c r="P55" t="str">
        <f>IF('Master Sheet'!C56="Area 6 (Anitha P)",'Master Sheet'!P56,"")</f>
        <v/>
      </c>
    </row>
    <row r="56" spans="1:16" hidden="1" x14ac:dyDescent="0.25">
      <c r="A56" t="str">
        <f>IF('Master Sheet'!C57="Area 6 (Anitha P)",'Master Sheet'!A57,"")</f>
        <v/>
      </c>
      <c r="B56" t="str">
        <f>IF('Master Sheet'!C57="Area 6 (Anitha P)",'Master Sheet'!B57,"")</f>
        <v/>
      </c>
      <c r="C56" t="s">
        <v>9</v>
      </c>
      <c r="D56" t="str">
        <f>IF('Master Sheet'!C57="Area 6 (Anitha P)",'Master Sheet'!D57,"")</f>
        <v/>
      </c>
      <c r="E56" t="str">
        <f>IF('Master Sheet'!C57="Area 6 (Anitha P)",'Master Sheet'!E57,"")</f>
        <v/>
      </c>
      <c r="F56" t="str">
        <f>IF('Master Sheet'!C57="Area 6 (Anitha P)",'Master Sheet'!F57,"")</f>
        <v/>
      </c>
      <c r="G56" t="str">
        <f>IF('Master Sheet'!C57="Area 6 (Anitha P)",'Master Sheet'!G57,"")</f>
        <v/>
      </c>
      <c r="H56" t="str">
        <f>IF('Master Sheet'!C57="Area 6 (Anitha P)",'Master Sheet'!H57,"")</f>
        <v/>
      </c>
      <c r="I56" t="str">
        <f>IF('Master Sheet'!C57="Area 6 (Anitha P)",'Master Sheet'!I57,"")</f>
        <v/>
      </c>
      <c r="J56" t="str">
        <f>IF('Master Sheet'!C57="Area 6 (Anitha P)",'Master Sheet'!J57,"")</f>
        <v/>
      </c>
      <c r="K56" t="str">
        <f>IF('Master Sheet'!C57="Area 6 (Anitha P)",'Master Sheet'!K57,"")</f>
        <v/>
      </c>
      <c r="L56" t="str">
        <f>IF('Master Sheet'!C57="Area 6 (Anitha P)",'Master Sheet'!L57,"")</f>
        <v/>
      </c>
      <c r="M56" t="str">
        <f>IF('Master Sheet'!C57="Area 6 (Anitha P)",'Master Sheet'!M57,"")</f>
        <v/>
      </c>
      <c r="N56" t="str">
        <f>IF('Master Sheet'!C57="Area 6 (Anitha P)",'Master Sheet'!N57,"")</f>
        <v/>
      </c>
      <c r="O56" t="str">
        <f>IF('Master Sheet'!C57="Area 6 (Anitha P)",'Master Sheet'!O57,"")</f>
        <v/>
      </c>
      <c r="P56" t="str">
        <f>IF('Master Sheet'!C57="Area 6 (Anitha P)",'Master Sheet'!P57,"")</f>
        <v/>
      </c>
    </row>
    <row r="57" spans="1:16" hidden="1" x14ac:dyDescent="0.25">
      <c r="A57" t="str">
        <f>IF('Master Sheet'!C58="Area 6 (Anitha P)",'Master Sheet'!A58,"")</f>
        <v/>
      </c>
      <c r="B57" t="str">
        <f>IF('Master Sheet'!C58="Area 6 (Anitha P)",'Master Sheet'!B58,"")</f>
        <v/>
      </c>
      <c r="C57" t="s">
        <v>9</v>
      </c>
      <c r="D57" t="str">
        <f>IF('Master Sheet'!C58="Area 6 (Anitha P)",'Master Sheet'!D58,"")</f>
        <v/>
      </c>
      <c r="E57" t="str">
        <f>IF('Master Sheet'!C58="Area 6 (Anitha P)",'Master Sheet'!E58,"")</f>
        <v/>
      </c>
      <c r="F57" t="str">
        <f>IF('Master Sheet'!C58="Area 6 (Anitha P)",'Master Sheet'!F58,"")</f>
        <v/>
      </c>
      <c r="G57" t="str">
        <f>IF('Master Sheet'!C58="Area 6 (Anitha P)",'Master Sheet'!G58,"")</f>
        <v/>
      </c>
      <c r="H57" t="str">
        <f>IF('Master Sheet'!C58="Area 6 (Anitha P)",'Master Sheet'!H58,"")</f>
        <v/>
      </c>
      <c r="I57" t="str">
        <f>IF('Master Sheet'!C58="Area 6 (Anitha P)",'Master Sheet'!I58,"")</f>
        <v/>
      </c>
      <c r="J57" t="str">
        <f>IF('Master Sheet'!C58="Area 6 (Anitha P)",'Master Sheet'!J58,"")</f>
        <v/>
      </c>
      <c r="K57" t="str">
        <f>IF('Master Sheet'!C58="Area 6 (Anitha P)",'Master Sheet'!K58,"")</f>
        <v/>
      </c>
      <c r="L57" t="str">
        <f>IF('Master Sheet'!C58="Area 6 (Anitha P)",'Master Sheet'!L58,"")</f>
        <v/>
      </c>
      <c r="M57" t="str">
        <f>IF('Master Sheet'!C58="Area 6 (Anitha P)",'Master Sheet'!M58,"")</f>
        <v/>
      </c>
      <c r="N57" t="str">
        <f>IF('Master Sheet'!C58="Area 6 (Anitha P)",'Master Sheet'!N58,"")</f>
        <v/>
      </c>
      <c r="O57" t="str">
        <f>IF('Master Sheet'!C58="Area 6 (Anitha P)",'Master Sheet'!O58,"")</f>
        <v/>
      </c>
      <c r="P57" t="str">
        <f>IF('Master Sheet'!C58="Area 6 (Anitha P)",'Master Sheet'!P58,"")</f>
        <v/>
      </c>
    </row>
    <row r="58" spans="1:16" hidden="1" x14ac:dyDescent="0.25">
      <c r="A58" t="str">
        <f>IF('Master Sheet'!C59="Area 6 (Anitha P)",'Master Sheet'!A59,"")</f>
        <v/>
      </c>
      <c r="B58" t="str">
        <f>IF('Master Sheet'!C59="Area 6 (Anitha P)",'Master Sheet'!B59,"")</f>
        <v/>
      </c>
      <c r="C58" t="s">
        <v>9</v>
      </c>
      <c r="D58" t="str">
        <f>IF('Master Sheet'!C59="Area 6 (Anitha P)",'Master Sheet'!D59,"")</f>
        <v/>
      </c>
      <c r="E58" t="str">
        <f>IF('Master Sheet'!C59="Area 6 (Anitha P)",'Master Sheet'!E59,"")</f>
        <v/>
      </c>
      <c r="F58" t="str">
        <f>IF('Master Sheet'!C59="Area 6 (Anitha P)",'Master Sheet'!F59,"")</f>
        <v/>
      </c>
      <c r="G58" t="str">
        <f>IF('Master Sheet'!C59="Area 6 (Anitha P)",'Master Sheet'!G59,"")</f>
        <v/>
      </c>
      <c r="H58" t="str">
        <f>IF('Master Sheet'!C59="Area 6 (Anitha P)",'Master Sheet'!H59,"")</f>
        <v/>
      </c>
      <c r="I58" t="str">
        <f>IF('Master Sheet'!C59="Area 6 (Anitha P)",'Master Sheet'!I59,"")</f>
        <v/>
      </c>
      <c r="J58" t="str">
        <f>IF('Master Sheet'!C59="Area 6 (Anitha P)",'Master Sheet'!J59,"")</f>
        <v/>
      </c>
      <c r="K58" t="str">
        <f>IF('Master Sheet'!C59="Area 6 (Anitha P)",'Master Sheet'!K59,"")</f>
        <v/>
      </c>
      <c r="L58" t="str">
        <f>IF('Master Sheet'!C59="Area 6 (Anitha P)",'Master Sheet'!L59,"")</f>
        <v/>
      </c>
      <c r="M58" t="str">
        <f>IF('Master Sheet'!C59="Area 6 (Anitha P)",'Master Sheet'!M59,"")</f>
        <v/>
      </c>
      <c r="N58" t="str">
        <f>IF('Master Sheet'!C59="Area 6 (Anitha P)",'Master Sheet'!N59,"")</f>
        <v/>
      </c>
      <c r="O58" t="str">
        <f>IF('Master Sheet'!C59="Area 6 (Anitha P)",'Master Sheet'!O59,"")</f>
        <v/>
      </c>
      <c r="P58" t="str">
        <f>IF('Master Sheet'!C59="Area 6 (Anitha P)",'Master Sheet'!P59,"")</f>
        <v/>
      </c>
    </row>
    <row r="59" spans="1:16" hidden="1" x14ac:dyDescent="0.25">
      <c r="A59" t="str">
        <f>IF('Master Sheet'!C60="Area 6 (Anitha P)",'Master Sheet'!A60,"")</f>
        <v/>
      </c>
      <c r="B59" t="str">
        <f>IF('Master Sheet'!C60="Area 6 (Anitha P)",'Master Sheet'!B60,"")</f>
        <v/>
      </c>
      <c r="C59" t="s">
        <v>9</v>
      </c>
      <c r="D59" t="str">
        <f>IF('Master Sheet'!C60="Area 6 (Anitha P)",'Master Sheet'!D60,"")</f>
        <v/>
      </c>
      <c r="E59" t="str">
        <f>IF('Master Sheet'!C60="Area 6 (Anitha P)",'Master Sheet'!E60,"")</f>
        <v/>
      </c>
      <c r="F59" t="str">
        <f>IF('Master Sheet'!C60="Area 6 (Anitha P)",'Master Sheet'!F60,"")</f>
        <v/>
      </c>
      <c r="G59" t="str">
        <f>IF('Master Sheet'!C60="Area 6 (Anitha P)",'Master Sheet'!G60,"")</f>
        <v/>
      </c>
      <c r="H59" t="str">
        <f>IF('Master Sheet'!C60="Area 6 (Anitha P)",'Master Sheet'!H60,"")</f>
        <v/>
      </c>
      <c r="I59" t="str">
        <f>IF('Master Sheet'!C60="Area 6 (Anitha P)",'Master Sheet'!I60,"")</f>
        <v/>
      </c>
      <c r="J59" t="str">
        <f>IF('Master Sheet'!C60="Area 6 (Anitha P)",'Master Sheet'!J60,"")</f>
        <v/>
      </c>
      <c r="K59" t="str">
        <f>IF('Master Sheet'!C60="Area 6 (Anitha P)",'Master Sheet'!K60,"")</f>
        <v/>
      </c>
      <c r="L59" t="str">
        <f>IF('Master Sheet'!C60="Area 6 (Anitha P)",'Master Sheet'!L60,"")</f>
        <v/>
      </c>
      <c r="M59" t="str">
        <f>IF('Master Sheet'!C60="Area 6 (Anitha P)",'Master Sheet'!M60,"")</f>
        <v/>
      </c>
      <c r="N59" t="str">
        <f>IF('Master Sheet'!C60="Area 6 (Anitha P)",'Master Sheet'!N60,"")</f>
        <v/>
      </c>
      <c r="O59" t="str">
        <f>IF('Master Sheet'!C60="Area 6 (Anitha P)",'Master Sheet'!O60,"")</f>
        <v/>
      </c>
      <c r="P59" t="str">
        <f>IF('Master Sheet'!C60="Area 6 (Anitha P)",'Master Sheet'!P60,"")</f>
        <v/>
      </c>
    </row>
    <row r="60" spans="1:16" hidden="1" x14ac:dyDescent="0.25">
      <c r="A60" t="str">
        <f>IF('Master Sheet'!C61="Area 6 (Anitha P)",'Master Sheet'!A61,"")</f>
        <v/>
      </c>
      <c r="B60" t="str">
        <f>IF('Master Sheet'!C61="Area 6 (Anitha P)",'Master Sheet'!B61,"")</f>
        <v/>
      </c>
      <c r="C60" t="s">
        <v>9</v>
      </c>
      <c r="D60" t="str">
        <f>IF('Master Sheet'!C61="Area 6 (Anitha P)",'Master Sheet'!D61,"")</f>
        <v/>
      </c>
      <c r="E60" t="str">
        <f>IF('Master Sheet'!C61="Area 6 (Anitha P)",'Master Sheet'!E61,"")</f>
        <v/>
      </c>
      <c r="F60" t="str">
        <f>IF('Master Sheet'!C61="Area 6 (Anitha P)",'Master Sheet'!F61,"")</f>
        <v/>
      </c>
      <c r="G60" t="str">
        <f>IF('Master Sheet'!C61="Area 6 (Anitha P)",'Master Sheet'!G61,"")</f>
        <v/>
      </c>
      <c r="H60" t="str">
        <f>IF('Master Sheet'!C61="Area 6 (Anitha P)",'Master Sheet'!H61,"")</f>
        <v/>
      </c>
      <c r="I60" t="str">
        <f>IF('Master Sheet'!C61="Area 6 (Anitha P)",'Master Sheet'!I61,"")</f>
        <v/>
      </c>
      <c r="J60" t="str">
        <f>IF('Master Sheet'!C61="Area 6 (Anitha P)",'Master Sheet'!J61,"")</f>
        <v/>
      </c>
      <c r="K60" t="str">
        <f>IF('Master Sheet'!C61="Area 6 (Anitha P)",'Master Sheet'!K61,"")</f>
        <v/>
      </c>
      <c r="L60" t="str">
        <f>IF('Master Sheet'!C61="Area 6 (Anitha P)",'Master Sheet'!L61,"")</f>
        <v/>
      </c>
      <c r="M60" t="str">
        <f>IF('Master Sheet'!C61="Area 6 (Anitha P)",'Master Sheet'!M61,"")</f>
        <v/>
      </c>
      <c r="N60" t="str">
        <f>IF('Master Sheet'!C61="Area 6 (Anitha P)",'Master Sheet'!N61,"")</f>
        <v/>
      </c>
      <c r="O60" t="str">
        <f>IF('Master Sheet'!C61="Area 6 (Anitha P)",'Master Sheet'!O61,"")</f>
        <v/>
      </c>
      <c r="P60" t="str">
        <f>IF('Master Sheet'!C61="Area 6 (Anitha P)",'Master Sheet'!P61,"")</f>
        <v/>
      </c>
    </row>
    <row r="61" spans="1:16" hidden="1" x14ac:dyDescent="0.25">
      <c r="A61" t="str">
        <f>IF('Master Sheet'!C62="Area 6 (Anitha P)",'Master Sheet'!A62,"")</f>
        <v/>
      </c>
      <c r="B61" t="str">
        <f>IF('Master Sheet'!C62="Area 6 (Anitha P)",'Master Sheet'!B62,"")</f>
        <v/>
      </c>
      <c r="C61" t="s">
        <v>9</v>
      </c>
      <c r="D61" t="str">
        <f>IF('Master Sheet'!C62="Area 6 (Anitha P)",'Master Sheet'!D62,"")</f>
        <v/>
      </c>
      <c r="E61" t="str">
        <f>IF('Master Sheet'!C62="Area 6 (Anitha P)",'Master Sheet'!E62,"")</f>
        <v/>
      </c>
      <c r="F61" t="str">
        <f>IF('Master Sheet'!C62="Area 6 (Anitha P)",'Master Sheet'!F62,"")</f>
        <v/>
      </c>
      <c r="G61" t="str">
        <f>IF('Master Sheet'!C62="Area 6 (Anitha P)",'Master Sheet'!G62,"")</f>
        <v/>
      </c>
      <c r="H61" t="str">
        <f>IF('Master Sheet'!C62="Area 6 (Anitha P)",'Master Sheet'!H62,"")</f>
        <v/>
      </c>
      <c r="I61" t="str">
        <f>IF('Master Sheet'!C62="Area 6 (Anitha P)",'Master Sheet'!I62,"")</f>
        <v/>
      </c>
      <c r="J61" t="str">
        <f>IF('Master Sheet'!C62="Area 6 (Anitha P)",'Master Sheet'!J62,"")</f>
        <v/>
      </c>
      <c r="K61" t="str">
        <f>IF('Master Sheet'!C62="Area 6 (Anitha P)",'Master Sheet'!K62,"")</f>
        <v/>
      </c>
      <c r="L61" t="str">
        <f>IF('Master Sheet'!C62="Area 6 (Anitha P)",'Master Sheet'!L62,"")</f>
        <v/>
      </c>
      <c r="M61" t="str">
        <f>IF('Master Sheet'!C62="Area 6 (Anitha P)",'Master Sheet'!M62,"")</f>
        <v/>
      </c>
      <c r="N61" t="str">
        <f>IF('Master Sheet'!C62="Area 6 (Anitha P)",'Master Sheet'!N62,"")</f>
        <v/>
      </c>
      <c r="O61" t="str">
        <f>IF('Master Sheet'!C62="Area 6 (Anitha P)",'Master Sheet'!O62,"")</f>
        <v/>
      </c>
      <c r="P61" t="str">
        <f>IF('Master Sheet'!C62="Area 6 (Anitha P)",'Master Sheet'!P62,"")</f>
        <v/>
      </c>
    </row>
    <row r="62" spans="1:16" hidden="1" x14ac:dyDescent="0.25">
      <c r="A62" t="str">
        <f>IF('Master Sheet'!C63="Area 6 (Anitha P)",'Master Sheet'!A63,"")</f>
        <v/>
      </c>
      <c r="B62" t="str">
        <f>IF('Master Sheet'!C63="Area 6 (Anitha P)",'Master Sheet'!B63,"")</f>
        <v/>
      </c>
      <c r="C62" t="s">
        <v>9</v>
      </c>
      <c r="D62" t="str">
        <f>IF('Master Sheet'!C63="Area 6 (Anitha P)",'Master Sheet'!D63,"")</f>
        <v/>
      </c>
      <c r="E62" t="str">
        <f>IF('Master Sheet'!C63="Area 6 (Anitha P)",'Master Sheet'!E63,"")</f>
        <v/>
      </c>
      <c r="F62" t="str">
        <f>IF('Master Sheet'!C63="Area 6 (Anitha P)",'Master Sheet'!F63,"")</f>
        <v/>
      </c>
      <c r="G62" t="str">
        <f>IF('Master Sheet'!C63="Area 6 (Anitha P)",'Master Sheet'!G63,"")</f>
        <v/>
      </c>
      <c r="H62" t="str">
        <f>IF('Master Sheet'!C63="Area 6 (Anitha P)",'Master Sheet'!H63,"")</f>
        <v/>
      </c>
      <c r="I62" t="str">
        <f>IF('Master Sheet'!C63="Area 6 (Anitha P)",'Master Sheet'!I63,"")</f>
        <v/>
      </c>
      <c r="J62" t="str">
        <f>IF('Master Sheet'!C63="Area 6 (Anitha P)",'Master Sheet'!J63,"")</f>
        <v/>
      </c>
      <c r="K62" t="str">
        <f>IF('Master Sheet'!C63="Area 6 (Anitha P)",'Master Sheet'!K63,"")</f>
        <v/>
      </c>
      <c r="L62" t="str">
        <f>IF('Master Sheet'!C63="Area 6 (Anitha P)",'Master Sheet'!L63,"")</f>
        <v/>
      </c>
      <c r="M62" t="str">
        <f>IF('Master Sheet'!C63="Area 6 (Anitha P)",'Master Sheet'!M63,"")</f>
        <v/>
      </c>
      <c r="N62" t="str">
        <f>IF('Master Sheet'!C63="Area 6 (Anitha P)",'Master Sheet'!N63,"")</f>
        <v/>
      </c>
      <c r="O62" t="str">
        <f>IF('Master Sheet'!C63="Area 6 (Anitha P)",'Master Sheet'!O63,"")</f>
        <v/>
      </c>
      <c r="P62" t="str">
        <f>IF('Master Sheet'!C63="Area 6 (Anitha P)",'Master Sheet'!P63,"")</f>
        <v/>
      </c>
    </row>
    <row r="63" spans="1:16" hidden="1" x14ac:dyDescent="0.25">
      <c r="A63" t="str">
        <f>IF('Master Sheet'!C64="Area 6 (Anitha P)",'Master Sheet'!A64,"")</f>
        <v/>
      </c>
      <c r="B63" t="str">
        <f>IF('Master Sheet'!C64="Area 6 (Anitha P)",'Master Sheet'!B64,"")</f>
        <v/>
      </c>
      <c r="C63" t="s">
        <v>9</v>
      </c>
      <c r="D63" t="str">
        <f>IF('Master Sheet'!C64="Area 6 (Anitha P)",'Master Sheet'!D64,"")</f>
        <v/>
      </c>
      <c r="E63" t="str">
        <f>IF('Master Sheet'!C64="Area 6 (Anitha P)",'Master Sheet'!E64,"")</f>
        <v/>
      </c>
      <c r="F63" t="str">
        <f>IF('Master Sheet'!C64="Area 6 (Anitha P)",'Master Sheet'!F64,"")</f>
        <v/>
      </c>
      <c r="G63" t="str">
        <f>IF('Master Sheet'!C64="Area 6 (Anitha P)",'Master Sheet'!G64,"")</f>
        <v/>
      </c>
      <c r="H63" t="str">
        <f>IF('Master Sheet'!C64="Area 6 (Anitha P)",'Master Sheet'!H64,"")</f>
        <v/>
      </c>
      <c r="I63" t="str">
        <f>IF('Master Sheet'!C64="Area 6 (Anitha P)",'Master Sheet'!I64,"")</f>
        <v/>
      </c>
      <c r="J63" t="str">
        <f>IF('Master Sheet'!C64="Area 6 (Anitha P)",'Master Sheet'!J64,"")</f>
        <v/>
      </c>
      <c r="K63" t="str">
        <f>IF('Master Sheet'!C64="Area 6 (Anitha P)",'Master Sheet'!K64,"")</f>
        <v/>
      </c>
      <c r="L63" t="str">
        <f>IF('Master Sheet'!C64="Area 6 (Anitha P)",'Master Sheet'!L64,"")</f>
        <v/>
      </c>
      <c r="M63" t="str">
        <f>IF('Master Sheet'!C64="Area 6 (Anitha P)",'Master Sheet'!M64,"")</f>
        <v/>
      </c>
      <c r="N63" t="str">
        <f>IF('Master Sheet'!C64="Area 6 (Anitha P)",'Master Sheet'!N64,"")</f>
        <v/>
      </c>
      <c r="O63" t="str">
        <f>IF('Master Sheet'!C64="Area 6 (Anitha P)",'Master Sheet'!O64,"")</f>
        <v/>
      </c>
      <c r="P63" t="str">
        <f>IF('Master Sheet'!C64="Area 6 (Anitha P)",'Master Sheet'!P64,"")</f>
        <v/>
      </c>
    </row>
    <row r="64" spans="1:16" hidden="1" x14ac:dyDescent="0.25">
      <c r="A64" t="str">
        <f>IF('Master Sheet'!C65="Area 6 (Anitha P)",'Master Sheet'!A65,"")</f>
        <v/>
      </c>
      <c r="B64" t="str">
        <f>IF('Master Sheet'!C65="Area 6 (Anitha P)",'Master Sheet'!B65,"")</f>
        <v/>
      </c>
      <c r="C64" t="s">
        <v>9</v>
      </c>
      <c r="D64" t="str">
        <f>IF('Master Sheet'!C65="Area 6 (Anitha P)",'Master Sheet'!D65,"")</f>
        <v/>
      </c>
      <c r="E64" t="str">
        <f>IF('Master Sheet'!C65="Area 6 (Anitha P)",'Master Sheet'!E65,"")</f>
        <v/>
      </c>
      <c r="F64" t="str">
        <f>IF('Master Sheet'!C65="Area 6 (Anitha P)",'Master Sheet'!F65,"")</f>
        <v/>
      </c>
      <c r="G64" t="str">
        <f>IF('Master Sheet'!C65="Area 6 (Anitha P)",'Master Sheet'!G65,"")</f>
        <v/>
      </c>
      <c r="H64" t="str">
        <f>IF('Master Sheet'!C65="Area 6 (Anitha P)",'Master Sheet'!H65,"")</f>
        <v/>
      </c>
      <c r="I64" t="str">
        <f>IF('Master Sheet'!C65="Area 6 (Anitha P)",'Master Sheet'!I65,"")</f>
        <v/>
      </c>
      <c r="J64" t="str">
        <f>IF('Master Sheet'!C65="Area 6 (Anitha P)",'Master Sheet'!J65,"")</f>
        <v/>
      </c>
      <c r="K64" t="str">
        <f>IF('Master Sheet'!C65="Area 6 (Anitha P)",'Master Sheet'!K65,"")</f>
        <v/>
      </c>
      <c r="L64" t="str">
        <f>IF('Master Sheet'!C65="Area 6 (Anitha P)",'Master Sheet'!L65,"")</f>
        <v/>
      </c>
      <c r="M64" t="str">
        <f>IF('Master Sheet'!C65="Area 6 (Anitha P)",'Master Sheet'!M65,"")</f>
        <v/>
      </c>
      <c r="N64" t="str">
        <f>IF('Master Sheet'!C65="Area 6 (Anitha P)",'Master Sheet'!N65,"")</f>
        <v/>
      </c>
      <c r="O64" t="str">
        <f>IF('Master Sheet'!C65="Area 6 (Anitha P)",'Master Sheet'!O65,"")</f>
        <v/>
      </c>
      <c r="P64" t="str">
        <f>IF('Master Sheet'!C65="Area 6 (Anitha P)",'Master Sheet'!P65,"")</f>
        <v/>
      </c>
    </row>
    <row r="65" spans="1:16" hidden="1" x14ac:dyDescent="0.25">
      <c r="A65" t="str">
        <f>IF('Master Sheet'!C66="Area 6 (Anitha P)",'Master Sheet'!A66,"")</f>
        <v/>
      </c>
      <c r="B65" t="str">
        <f>IF('Master Sheet'!C66="Area 6 (Anitha P)",'Master Sheet'!B66,"")</f>
        <v/>
      </c>
      <c r="C65" t="s">
        <v>9</v>
      </c>
      <c r="D65" t="str">
        <f>IF('Master Sheet'!C66="Area 6 (Anitha P)",'Master Sheet'!D66,"")</f>
        <v/>
      </c>
      <c r="E65" t="str">
        <f>IF('Master Sheet'!C66="Area 6 (Anitha P)",'Master Sheet'!E66,"")</f>
        <v/>
      </c>
      <c r="F65" t="str">
        <f>IF('Master Sheet'!C66="Area 6 (Anitha P)",'Master Sheet'!F66,"")</f>
        <v/>
      </c>
      <c r="G65" t="str">
        <f>IF('Master Sheet'!C66="Area 6 (Anitha P)",'Master Sheet'!G66,"")</f>
        <v/>
      </c>
      <c r="H65" t="str">
        <f>IF('Master Sheet'!C66="Area 6 (Anitha P)",'Master Sheet'!H66,"")</f>
        <v/>
      </c>
      <c r="I65" t="str">
        <f>IF('Master Sheet'!C66="Area 6 (Anitha P)",'Master Sheet'!I66,"")</f>
        <v/>
      </c>
      <c r="J65" t="str">
        <f>IF('Master Sheet'!C66="Area 6 (Anitha P)",'Master Sheet'!J66,"")</f>
        <v/>
      </c>
      <c r="K65" t="str">
        <f>IF('Master Sheet'!C66="Area 6 (Anitha P)",'Master Sheet'!K66,"")</f>
        <v/>
      </c>
      <c r="L65" t="str">
        <f>IF('Master Sheet'!C66="Area 6 (Anitha P)",'Master Sheet'!L66,"")</f>
        <v/>
      </c>
      <c r="M65" t="str">
        <f>IF('Master Sheet'!C66="Area 6 (Anitha P)",'Master Sheet'!M66,"")</f>
        <v/>
      </c>
      <c r="N65" t="str">
        <f>IF('Master Sheet'!C66="Area 6 (Anitha P)",'Master Sheet'!N66,"")</f>
        <v/>
      </c>
      <c r="O65" t="str">
        <f>IF('Master Sheet'!C66="Area 6 (Anitha P)",'Master Sheet'!O66,"")</f>
        <v/>
      </c>
      <c r="P65" t="str">
        <f>IF('Master Sheet'!C66="Area 6 (Anitha P)",'Master Sheet'!P66,"")</f>
        <v/>
      </c>
    </row>
    <row r="66" spans="1:16" hidden="1" x14ac:dyDescent="0.25">
      <c r="A66" t="str">
        <f>IF('Master Sheet'!C67="Area 6 (Anitha P)",'Master Sheet'!A67,"")</f>
        <v/>
      </c>
      <c r="B66" t="str">
        <f>IF('Master Sheet'!C67="Area 6 (Anitha P)",'Master Sheet'!B67,"")</f>
        <v/>
      </c>
      <c r="C66" t="s">
        <v>9</v>
      </c>
      <c r="D66" t="str">
        <f>IF('Master Sheet'!C67="Area 6 (Anitha P)",'Master Sheet'!D67,"")</f>
        <v/>
      </c>
      <c r="E66" t="str">
        <f>IF('Master Sheet'!C67="Area 6 (Anitha P)",'Master Sheet'!E67,"")</f>
        <v/>
      </c>
      <c r="F66" t="str">
        <f>IF('Master Sheet'!C67="Area 6 (Anitha P)",'Master Sheet'!F67,"")</f>
        <v/>
      </c>
      <c r="G66" t="str">
        <f>IF('Master Sheet'!C67="Area 6 (Anitha P)",'Master Sheet'!G67,"")</f>
        <v/>
      </c>
      <c r="H66" t="str">
        <f>IF('Master Sheet'!C67="Area 6 (Anitha P)",'Master Sheet'!H67,"")</f>
        <v/>
      </c>
      <c r="I66" t="str">
        <f>IF('Master Sheet'!C67="Area 6 (Anitha P)",'Master Sheet'!I67,"")</f>
        <v/>
      </c>
      <c r="J66" t="str">
        <f>IF('Master Sheet'!C67="Area 6 (Anitha P)",'Master Sheet'!J67,"")</f>
        <v/>
      </c>
      <c r="K66" t="str">
        <f>IF('Master Sheet'!C67="Area 6 (Anitha P)",'Master Sheet'!K67,"")</f>
        <v/>
      </c>
      <c r="L66" t="str">
        <f>IF('Master Sheet'!C67="Area 6 (Anitha P)",'Master Sheet'!L67,"")</f>
        <v/>
      </c>
      <c r="M66" t="str">
        <f>IF('Master Sheet'!C67="Area 6 (Anitha P)",'Master Sheet'!M67,"")</f>
        <v/>
      </c>
      <c r="N66" t="str">
        <f>IF('Master Sheet'!C67="Area 6 (Anitha P)",'Master Sheet'!N67,"")</f>
        <v/>
      </c>
      <c r="O66" t="str">
        <f>IF('Master Sheet'!C67="Area 6 (Anitha P)",'Master Sheet'!O67,"")</f>
        <v/>
      </c>
      <c r="P66" t="str">
        <f>IF('Master Sheet'!C67="Area 6 (Anitha P)",'Master Sheet'!P67,"")</f>
        <v/>
      </c>
    </row>
    <row r="67" spans="1:16" hidden="1" x14ac:dyDescent="0.25">
      <c r="A67" t="str">
        <f>IF('Master Sheet'!C68="Area 6 (Anitha P)",'Master Sheet'!A68,"")</f>
        <v/>
      </c>
      <c r="B67" t="str">
        <f>IF('Master Sheet'!C68="Area 6 (Anitha P)",'Master Sheet'!B68,"")</f>
        <v/>
      </c>
      <c r="C67" t="s">
        <v>9</v>
      </c>
      <c r="D67" t="str">
        <f>IF('Master Sheet'!C68="Area 6 (Anitha P)",'Master Sheet'!D68,"")</f>
        <v/>
      </c>
      <c r="E67" t="str">
        <f>IF('Master Sheet'!C68="Area 6 (Anitha P)",'Master Sheet'!E68,"")</f>
        <v/>
      </c>
      <c r="F67" t="str">
        <f>IF('Master Sheet'!C68="Area 6 (Anitha P)",'Master Sheet'!F68,"")</f>
        <v/>
      </c>
      <c r="G67" t="str">
        <f>IF('Master Sheet'!C68="Area 6 (Anitha P)",'Master Sheet'!G68,"")</f>
        <v/>
      </c>
      <c r="H67" t="str">
        <f>IF('Master Sheet'!C68="Area 6 (Anitha P)",'Master Sheet'!H68,"")</f>
        <v/>
      </c>
      <c r="I67" t="str">
        <f>IF('Master Sheet'!C68="Area 6 (Anitha P)",'Master Sheet'!I68,"")</f>
        <v/>
      </c>
      <c r="J67" t="str">
        <f>IF('Master Sheet'!C68="Area 6 (Anitha P)",'Master Sheet'!J68,"")</f>
        <v/>
      </c>
      <c r="K67" t="str">
        <f>IF('Master Sheet'!C68="Area 6 (Anitha P)",'Master Sheet'!K68,"")</f>
        <v/>
      </c>
      <c r="L67" t="str">
        <f>IF('Master Sheet'!C68="Area 6 (Anitha P)",'Master Sheet'!L68,"")</f>
        <v/>
      </c>
      <c r="M67" t="str">
        <f>IF('Master Sheet'!C68="Area 6 (Anitha P)",'Master Sheet'!M68,"")</f>
        <v/>
      </c>
      <c r="N67" t="str">
        <f>IF('Master Sheet'!C68="Area 6 (Anitha P)",'Master Sheet'!N68,"")</f>
        <v/>
      </c>
      <c r="O67" t="str">
        <f>IF('Master Sheet'!C68="Area 6 (Anitha P)",'Master Sheet'!O68,"")</f>
        <v/>
      </c>
      <c r="P67" t="str">
        <f>IF('Master Sheet'!C68="Area 6 (Anitha P)",'Master Sheet'!P68,"")</f>
        <v/>
      </c>
    </row>
    <row r="68" spans="1:16" hidden="1" x14ac:dyDescent="0.25">
      <c r="A68" t="str">
        <f>IF('Master Sheet'!C69="Area 6 (Anitha P)",'Master Sheet'!A69,"")</f>
        <v/>
      </c>
      <c r="B68" t="str">
        <f>IF('Master Sheet'!C69="Area 6 (Anitha P)",'Master Sheet'!B69,"")</f>
        <v/>
      </c>
      <c r="C68" t="s">
        <v>9</v>
      </c>
      <c r="D68" t="str">
        <f>IF('Master Sheet'!C69="Area 6 (Anitha P)",'Master Sheet'!D69,"")</f>
        <v/>
      </c>
      <c r="E68" t="str">
        <f>IF('Master Sheet'!C69="Area 6 (Anitha P)",'Master Sheet'!E69,"")</f>
        <v/>
      </c>
      <c r="F68" t="str">
        <f>IF('Master Sheet'!C69="Area 6 (Anitha P)",'Master Sheet'!F69,"")</f>
        <v/>
      </c>
      <c r="G68" t="str">
        <f>IF('Master Sheet'!C69="Area 6 (Anitha P)",'Master Sheet'!G69,"")</f>
        <v/>
      </c>
      <c r="H68" t="str">
        <f>IF('Master Sheet'!C69="Area 6 (Anitha P)",'Master Sheet'!H69,"")</f>
        <v/>
      </c>
      <c r="I68" t="str">
        <f>IF('Master Sheet'!C69="Area 6 (Anitha P)",'Master Sheet'!I69,"")</f>
        <v/>
      </c>
      <c r="J68" t="str">
        <f>IF('Master Sheet'!C69="Area 6 (Anitha P)",'Master Sheet'!J69,"")</f>
        <v/>
      </c>
      <c r="K68" t="str">
        <f>IF('Master Sheet'!C69="Area 6 (Anitha P)",'Master Sheet'!K69,"")</f>
        <v/>
      </c>
      <c r="L68" t="str">
        <f>IF('Master Sheet'!C69="Area 6 (Anitha P)",'Master Sheet'!L69,"")</f>
        <v/>
      </c>
      <c r="M68" t="str">
        <f>IF('Master Sheet'!C69="Area 6 (Anitha P)",'Master Sheet'!M69,"")</f>
        <v/>
      </c>
      <c r="N68" t="str">
        <f>IF('Master Sheet'!C69="Area 6 (Anitha P)",'Master Sheet'!N69,"")</f>
        <v/>
      </c>
      <c r="O68" t="str">
        <f>IF('Master Sheet'!C69="Area 6 (Anitha P)",'Master Sheet'!O69,"")</f>
        <v/>
      </c>
      <c r="P68" t="str">
        <f>IF('Master Sheet'!C69="Area 6 (Anitha P)",'Master Sheet'!P69,"")</f>
        <v/>
      </c>
    </row>
    <row r="69" spans="1:16" hidden="1" x14ac:dyDescent="0.25">
      <c r="A69" t="str">
        <f>IF('Master Sheet'!C70="Area 6 (Anitha P)",'Master Sheet'!A70,"")</f>
        <v/>
      </c>
      <c r="B69" t="str">
        <f>IF('Master Sheet'!C70="Area 6 (Anitha P)",'Master Sheet'!B70,"")</f>
        <v/>
      </c>
      <c r="C69" t="s">
        <v>9</v>
      </c>
      <c r="D69" t="str">
        <f>IF('Master Sheet'!C70="Area 6 (Anitha P)",'Master Sheet'!D70,"")</f>
        <v/>
      </c>
      <c r="E69" t="str">
        <f>IF('Master Sheet'!C70="Area 6 (Anitha P)",'Master Sheet'!E70,"")</f>
        <v/>
      </c>
      <c r="F69" t="str">
        <f>IF('Master Sheet'!C70="Area 6 (Anitha P)",'Master Sheet'!F70,"")</f>
        <v/>
      </c>
      <c r="G69" t="str">
        <f>IF('Master Sheet'!C70="Area 6 (Anitha P)",'Master Sheet'!G70,"")</f>
        <v/>
      </c>
      <c r="H69" t="str">
        <f>IF('Master Sheet'!C70="Area 6 (Anitha P)",'Master Sheet'!H70,"")</f>
        <v/>
      </c>
      <c r="I69" t="str">
        <f>IF('Master Sheet'!C70="Area 6 (Anitha P)",'Master Sheet'!I70,"")</f>
        <v/>
      </c>
      <c r="J69" t="str">
        <f>IF('Master Sheet'!C70="Area 6 (Anitha P)",'Master Sheet'!J70,"")</f>
        <v/>
      </c>
      <c r="K69" t="str">
        <f>IF('Master Sheet'!C70="Area 6 (Anitha P)",'Master Sheet'!K70,"")</f>
        <v/>
      </c>
      <c r="L69" t="str">
        <f>IF('Master Sheet'!C70="Area 6 (Anitha P)",'Master Sheet'!L70,"")</f>
        <v/>
      </c>
      <c r="M69" t="str">
        <f>IF('Master Sheet'!C70="Area 6 (Anitha P)",'Master Sheet'!M70,"")</f>
        <v/>
      </c>
      <c r="N69" t="str">
        <f>IF('Master Sheet'!C70="Area 6 (Anitha P)",'Master Sheet'!N70,"")</f>
        <v/>
      </c>
      <c r="O69" t="str">
        <f>IF('Master Sheet'!C70="Area 6 (Anitha P)",'Master Sheet'!O70,"")</f>
        <v/>
      </c>
      <c r="P69" t="str">
        <f>IF('Master Sheet'!C70="Area 6 (Anitha P)",'Master Sheet'!P70,"")</f>
        <v/>
      </c>
    </row>
    <row r="70" spans="1:16" hidden="1" x14ac:dyDescent="0.25">
      <c r="A70" t="str">
        <f>IF('Master Sheet'!C71="Area 6 (Anitha P)",'Master Sheet'!A71,"")</f>
        <v/>
      </c>
      <c r="B70" t="str">
        <f>IF('Master Sheet'!C71="Area 6 (Anitha P)",'Master Sheet'!B71,"")</f>
        <v/>
      </c>
      <c r="C70" t="s">
        <v>9</v>
      </c>
      <c r="D70" t="str">
        <f>IF('Master Sheet'!C71="Area 6 (Anitha P)",'Master Sheet'!D71,"")</f>
        <v/>
      </c>
      <c r="E70" t="str">
        <f>IF('Master Sheet'!C71="Area 6 (Anitha P)",'Master Sheet'!E71,"")</f>
        <v/>
      </c>
      <c r="F70" t="str">
        <f>IF('Master Sheet'!C71="Area 6 (Anitha P)",'Master Sheet'!F71,"")</f>
        <v/>
      </c>
      <c r="G70" t="str">
        <f>IF('Master Sheet'!C71="Area 6 (Anitha P)",'Master Sheet'!G71,"")</f>
        <v/>
      </c>
      <c r="H70" t="str">
        <f>IF('Master Sheet'!C71="Area 6 (Anitha P)",'Master Sheet'!H71,"")</f>
        <v/>
      </c>
      <c r="I70" t="str">
        <f>IF('Master Sheet'!C71="Area 6 (Anitha P)",'Master Sheet'!I71,"")</f>
        <v/>
      </c>
      <c r="J70" t="str">
        <f>IF('Master Sheet'!C71="Area 6 (Anitha P)",'Master Sheet'!J71,"")</f>
        <v/>
      </c>
      <c r="K70" t="str">
        <f>IF('Master Sheet'!C71="Area 6 (Anitha P)",'Master Sheet'!K71,"")</f>
        <v/>
      </c>
      <c r="L70" t="str">
        <f>IF('Master Sheet'!C71="Area 6 (Anitha P)",'Master Sheet'!L71,"")</f>
        <v/>
      </c>
      <c r="M70" t="str">
        <f>IF('Master Sheet'!C71="Area 6 (Anitha P)",'Master Sheet'!M71,"")</f>
        <v/>
      </c>
      <c r="N70" t="str">
        <f>IF('Master Sheet'!C71="Area 6 (Anitha P)",'Master Sheet'!N71,"")</f>
        <v/>
      </c>
      <c r="O70" t="str">
        <f>IF('Master Sheet'!C71="Area 6 (Anitha P)",'Master Sheet'!O71,"")</f>
        <v/>
      </c>
      <c r="P70" t="str">
        <f>IF('Master Sheet'!C71="Area 6 (Anitha P)",'Master Sheet'!P71,"")</f>
        <v/>
      </c>
    </row>
    <row r="71" spans="1:16" hidden="1" x14ac:dyDescent="0.25">
      <c r="A71" t="str">
        <f>IF('Master Sheet'!C72="Area 6 (Anitha P)",'Master Sheet'!A72,"")</f>
        <v/>
      </c>
      <c r="B71" t="str">
        <f>IF('Master Sheet'!C72="Area 6 (Anitha P)",'Master Sheet'!B72,"")</f>
        <v/>
      </c>
      <c r="C71" t="s">
        <v>9</v>
      </c>
      <c r="D71" t="str">
        <f>IF('Master Sheet'!C72="Area 6 (Anitha P)",'Master Sheet'!D72,"")</f>
        <v/>
      </c>
      <c r="E71" t="str">
        <f>IF('Master Sheet'!C72="Area 6 (Anitha P)",'Master Sheet'!E72,"")</f>
        <v/>
      </c>
      <c r="F71" t="str">
        <f>IF('Master Sheet'!C72="Area 6 (Anitha P)",'Master Sheet'!F72,"")</f>
        <v/>
      </c>
      <c r="G71" t="str">
        <f>IF('Master Sheet'!C72="Area 6 (Anitha P)",'Master Sheet'!G72,"")</f>
        <v/>
      </c>
      <c r="H71" t="str">
        <f>IF('Master Sheet'!C72="Area 6 (Anitha P)",'Master Sheet'!H72,"")</f>
        <v/>
      </c>
      <c r="I71" t="str">
        <f>IF('Master Sheet'!C72="Area 6 (Anitha P)",'Master Sheet'!I72,"")</f>
        <v/>
      </c>
      <c r="J71" t="str">
        <f>IF('Master Sheet'!C72="Area 6 (Anitha P)",'Master Sheet'!J72,"")</f>
        <v/>
      </c>
      <c r="K71" t="str">
        <f>IF('Master Sheet'!C72="Area 6 (Anitha P)",'Master Sheet'!K72,"")</f>
        <v/>
      </c>
      <c r="L71" t="str">
        <f>IF('Master Sheet'!C72="Area 6 (Anitha P)",'Master Sheet'!L72,"")</f>
        <v/>
      </c>
      <c r="M71" t="str">
        <f>IF('Master Sheet'!C72="Area 6 (Anitha P)",'Master Sheet'!M72,"")</f>
        <v/>
      </c>
      <c r="N71" t="str">
        <f>IF('Master Sheet'!C72="Area 6 (Anitha P)",'Master Sheet'!N72,"")</f>
        <v/>
      </c>
      <c r="O71" t="str">
        <f>IF('Master Sheet'!C72="Area 6 (Anitha P)",'Master Sheet'!O72,"")</f>
        <v/>
      </c>
      <c r="P71" t="str">
        <f>IF('Master Sheet'!C72="Area 6 (Anitha P)",'Master Sheet'!P72,"")</f>
        <v/>
      </c>
    </row>
    <row r="72" spans="1:16" hidden="1" x14ac:dyDescent="0.25">
      <c r="A72" t="str">
        <f>IF('Master Sheet'!C73="Area 6 (Anitha P)",'Master Sheet'!A73,"")</f>
        <v/>
      </c>
      <c r="B72" t="str">
        <f>IF('Master Sheet'!C73="Area 6 (Anitha P)",'Master Sheet'!B73,"")</f>
        <v/>
      </c>
      <c r="C72" t="s">
        <v>9</v>
      </c>
      <c r="D72" t="str">
        <f>IF('Master Sheet'!C73="Area 6 (Anitha P)",'Master Sheet'!D73,"")</f>
        <v/>
      </c>
      <c r="E72" t="str">
        <f>IF('Master Sheet'!C73="Area 6 (Anitha P)",'Master Sheet'!E73,"")</f>
        <v/>
      </c>
      <c r="F72" t="str">
        <f>IF('Master Sheet'!C73="Area 6 (Anitha P)",'Master Sheet'!F73,"")</f>
        <v/>
      </c>
      <c r="G72" t="str">
        <f>IF('Master Sheet'!C73="Area 6 (Anitha P)",'Master Sheet'!G73,"")</f>
        <v/>
      </c>
      <c r="H72" t="str">
        <f>IF('Master Sheet'!C73="Area 6 (Anitha P)",'Master Sheet'!H73,"")</f>
        <v/>
      </c>
      <c r="I72" t="str">
        <f>IF('Master Sheet'!C73="Area 6 (Anitha P)",'Master Sheet'!I73,"")</f>
        <v/>
      </c>
      <c r="J72" t="str">
        <f>IF('Master Sheet'!C73="Area 6 (Anitha P)",'Master Sheet'!J73,"")</f>
        <v/>
      </c>
      <c r="K72" t="str">
        <f>IF('Master Sheet'!C73="Area 6 (Anitha P)",'Master Sheet'!K73,"")</f>
        <v/>
      </c>
      <c r="L72" t="str">
        <f>IF('Master Sheet'!C73="Area 6 (Anitha P)",'Master Sheet'!L73,"")</f>
        <v/>
      </c>
      <c r="M72" t="str">
        <f>IF('Master Sheet'!C73="Area 6 (Anitha P)",'Master Sheet'!M73,"")</f>
        <v/>
      </c>
      <c r="N72" t="str">
        <f>IF('Master Sheet'!C73="Area 6 (Anitha P)",'Master Sheet'!N73,"")</f>
        <v/>
      </c>
      <c r="O72" t="str">
        <f>IF('Master Sheet'!C73="Area 6 (Anitha P)",'Master Sheet'!O73,"")</f>
        <v/>
      </c>
      <c r="P72" t="str">
        <f>IF('Master Sheet'!C73="Area 6 (Anitha P)",'Master Sheet'!P73,"")</f>
        <v/>
      </c>
    </row>
    <row r="73" spans="1:16" hidden="1" x14ac:dyDescent="0.25">
      <c r="A73" t="str">
        <f>IF('Master Sheet'!C74="Area 6 (Anitha P)",'Master Sheet'!A74,"")</f>
        <v/>
      </c>
      <c r="B73" t="str">
        <f>IF('Master Sheet'!C74="Area 6 (Anitha P)",'Master Sheet'!B74,"")</f>
        <v/>
      </c>
      <c r="C73" t="s">
        <v>9</v>
      </c>
      <c r="D73" t="str">
        <f>IF('Master Sheet'!C74="Area 6 (Anitha P)",'Master Sheet'!D74,"")</f>
        <v/>
      </c>
      <c r="E73" t="str">
        <f>IF('Master Sheet'!C74="Area 6 (Anitha P)",'Master Sheet'!E74,"")</f>
        <v/>
      </c>
      <c r="F73" t="str">
        <f>IF('Master Sheet'!C74="Area 6 (Anitha P)",'Master Sheet'!F74,"")</f>
        <v/>
      </c>
      <c r="G73" t="str">
        <f>IF('Master Sheet'!C74="Area 6 (Anitha P)",'Master Sheet'!G74,"")</f>
        <v/>
      </c>
      <c r="H73" t="str">
        <f>IF('Master Sheet'!C74="Area 6 (Anitha P)",'Master Sheet'!H74,"")</f>
        <v/>
      </c>
      <c r="I73" t="str">
        <f>IF('Master Sheet'!C74="Area 6 (Anitha P)",'Master Sheet'!I74,"")</f>
        <v/>
      </c>
      <c r="J73" t="str">
        <f>IF('Master Sheet'!C74="Area 6 (Anitha P)",'Master Sheet'!J74,"")</f>
        <v/>
      </c>
      <c r="K73" t="str">
        <f>IF('Master Sheet'!C74="Area 6 (Anitha P)",'Master Sheet'!K74,"")</f>
        <v/>
      </c>
      <c r="L73" t="str">
        <f>IF('Master Sheet'!C74="Area 6 (Anitha P)",'Master Sheet'!L74,"")</f>
        <v/>
      </c>
      <c r="M73" t="str">
        <f>IF('Master Sheet'!C74="Area 6 (Anitha P)",'Master Sheet'!M74,"")</f>
        <v/>
      </c>
      <c r="N73" t="str">
        <f>IF('Master Sheet'!C74="Area 6 (Anitha P)",'Master Sheet'!N74,"")</f>
        <v/>
      </c>
      <c r="O73" t="str">
        <f>IF('Master Sheet'!C74="Area 6 (Anitha P)",'Master Sheet'!O74,"")</f>
        <v/>
      </c>
      <c r="P73" t="str">
        <f>IF('Master Sheet'!C74="Area 6 (Anitha P)",'Master Sheet'!P74,"")</f>
        <v/>
      </c>
    </row>
    <row r="74" spans="1:16" hidden="1" x14ac:dyDescent="0.25">
      <c r="A74" t="str">
        <f>IF('Master Sheet'!C75="Area 6 (Anitha P)",'Master Sheet'!A75,"")</f>
        <v/>
      </c>
      <c r="B74" t="str">
        <f>IF('Master Sheet'!C75="Area 6 (Anitha P)",'Master Sheet'!B75,"")</f>
        <v/>
      </c>
      <c r="C74" t="s">
        <v>9</v>
      </c>
      <c r="D74" t="str">
        <f>IF('Master Sheet'!C75="Area 6 (Anitha P)",'Master Sheet'!D75,"")</f>
        <v/>
      </c>
      <c r="E74" t="str">
        <f>IF('Master Sheet'!C75="Area 6 (Anitha P)",'Master Sheet'!E75,"")</f>
        <v/>
      </c>
      <c r="F74" t="str">
        <f>IF('Master Sheet'!C75="Area 6 (Anitha P)",'Master Sheet'!F75,"")</f>
        <v/>
      </c>
      <c r="G74" t="str">
        <f>IF('Master Sheet'!C75="Area 6 (Anitha P)",'Master Sheet'!G75,"")</f>
        <v/>
      </c>
      <c r="H74" t="str">
        <f>IF('Master Sheet'!C75="Area 6 (Anitha P)",'Master Sheet'!H75,"")</f>
        <v/>
      </c>
      <c r="I74" t="str">
        <f>IF('Master Sheet'!C75="Area 6 (Anitha P)",'Master Sheet'!I75,"")</f>
        <v/>
      </c>
      <c r="J74" t="str">
        <f>IF('Master Sheet'!C75="Area 6 (Anitha P)",'Master Sheet'!J75,"")</f>
        <v/>
      </c>
      <c r="K74" t="str">
        <f>IF('Master Sheet'!C75="Area 6 (Anitha P)",'Master Sheet'!K75,"")</f>
        <v/>
      </c>
      <c r="L74" t="str">
        <f>IF('Master Sheet'!C75="Area 6 (Anitha P)",'Master Sheet'!L75,"")</f>
        <v/>
      </c>
      <c r="M74" t="str">
        <f>IF('Master Sheet'!C75="Area 6 (Anitha P)",'Master Sheet'!M75,"")</f>
        <v/>
      </c>
      <c r="N74" t="str">
        <f>IF('Master Sheet'!C75="Area 6 (Anitha P)",'Master Sheet'!N75,"")</f>
        <v/>
      </c>
      <c r="O74" t="str">
        <f>IF('Master Sheet'!C75="Area 6 (Anitha P)",'Master Sheet'!O75,"")</f>
        <v/>
      </c>
      <c r="P74" t="str">
        <f>IF('Master Sheet'!C75="Area 6 (Anitha P)",'Master Sheet'!P75,"")</f>
        <v/>
      </c>
    </row>
    <row r="75" spans="1:16" hidden="1" x14ac:dyDescent="0.25">
      <c r="A75" t="str">
        <f>IF('Master Sheet'!C76="Area 6 (Anitha P)",'Master Sheet'!A76,"")</f>
        <v/>
      </c>
      <c r="B75" t="str">
        <f>IF('Master Sheet'!C76="Area 6 (Anitha P)",'Master Sheet'!B76,"")</f>
        <v/>
      </c>
      <c r="C75" t="s">
        <v>9</v>
      </c>
      <c r="D75" t="str">
        <f>IF('Master Sheet'!C76="Area 6 (Anitha P)",'Master Sheet'!D76,"")</f>
        <v/>
      </c>
      <c r="E75" t="str">
        <f>IF('Master Sheet'!C76="Area 6 (Anitha P)",'Master Sheet'!E76,"")</f>
        <v/>
      </c>
      <c r="F75" t="str">
        <f>IF('Master Sheet'!C76="Area 6 (Anitha P)",'Master Sheet'!F76,"")</f>
        <v/>
      </c>
      <c r="G75" t="str">
        <f>IF('Master Sheet'!C76="Area 6 (Anitha P)",'Master Sheet'!G76,"")</f>
        <v/>
      </c>
      <c r="H75" t="str">
        <f>IF('Master Sheet'!C76="Area 6 (Anitha P)",'Master Sheet'!H76,"")</f>
        <v/>
      </c>
      <c r="I75" t="str">
        <f>IF('Master Sheet'!C76="Area 6 (Anitha P)",'Master Sheet'!I76,"")</f>
        <v/>
      </c>
      <c r="J75" t="str">
        <f>IF('Master Sheet'!C76="Area 6 (Anitha P)",'Master Sheet'!J76,"")</f>
        <v/>
      </c>
      <c r="K75" t="str">
        <f>IF('Master Sheet'!C76="Area 6 (Anitha P)",'Master Sheet'!K76,"")</f>
        <v/>
      </c>
      <c r="L75" t="str">
        <f>IF('Master Sheet'!C76="Area 6 (Anitha P)",'Master Sheet'!L76,"")</f>
        <v/>
      </c>
      <c r="M75" t="str">
        <f>IF('Master Sheet'!C76="Area 6 (Anitha P)",'Master Sheet'!M76,"")</f>
        <v/>
      </c>
      <c r="N75" t="str">
        <f>IF('Master Sheet'!C76="Area 6 (Anitha P)",'Master Sheet'!N76,"")</f>
        <v/>
      </c>
      <c r="O75" t="str">
        <f>IF('Master Sheet'!C76="Area 6 (Anitha P)",'Master Sheet'!O76,"")</f>
        <v/>
      </c>
      <c r="P75" t="str">
        <f>IF('Master Sheet'!C76="Area 6 (Anitha P)",'Master Sheet'!P76,"")</f>
        <v/>
      </c>
    </row>
    <row r="76" spans="1:16" hidden="1" x14ac:dyDescent="0.25">
      <c r="A76" t="str">
        <f>IF('Master Sheet'!C77="Area 6 (Anitha P)",'Master Sheet'!A77,"")</f>
        <v/>
      </c>
      <c r="B76" t="str">
        <f>IF('Master Sheet'!C77="Area 6 (Anitha P)",'Master Sheet'!B77,"")</f>
        <v/>
      </c>
      <c r="C76" t="s">
        <v>9</v>
      </c>
      <c r="D76" t="str">
        <f>IF('Master Sheet'!C77="Area 6 (Anitha P)",'Master Sheet'!D77,"")</f>
        <v/>
      </c>
      <c r="E76" t="str">
        <f>IF('Master Sheet'!C77="Area 6 (Anitha P)",'Master Sheet'!E77,"")</f>
        <v/>
      </c>
      <c r="F76" t="str">
        <f>IF('Master Sheet'!C77="Area 6 (Anitha P)",'Master Sheet'!F77,"")</f>
        <v/>
      </c>
      <c r="G76" t="str">
        <f>IF('Master Sheet'!C77="Area 6 (Anitha P)",'Master Sheet'!G77,"")</f>
        <v/>
      </c>
      <c r="H76" t="str">
        <f>IF('Master Sheet'!C77="Area 6 (Anitha P)",'Master Sheet'!H77,"")</f>
        <v/>
      </c>
      <c r="I76" t="str">
        <f>IF('Master Sheet'!C77="Area 6 (Anitha P)",'Master Sheet'!I77,"")</f>
        <v/>
      </c>
      <c r="J76" t="str">
        <f>IF('Master Sheet'!C77="Area 6 (Anitha P)",'Master Sheet'!J77,"")</f>
        <v/>
      </c>
      <c r="K76" t="str">
        <f>IF('Master Sheet'!C77="Area 6 (Anitha P)",'Master Sheet'!K77,"")</f>
        <v/>
      </c>
      <c r="L76" t="str">
        <f>IF('Master Sheet'!C77="Area 6 (Anitha P)",'Master Sheet'!L77,"")</f>
        <v/>
      </c>
      <c r="M76" t="str">
        <f>IF('Master Sheet'!C77="Area 6 (Anitha P)",'Master Sheet'!M77,"")</f>
        <v/>
      </c>
      <c r="N76" t="str">
        <f>IF('Master Sheet'!C77="Area 6 (Anitha P)",'Master Sheet'!N77,"")</f>
        <v/>
      </c>
      <c r="O76" t="str">
        <f>IF('Master Sheet'!C77="Area 6 (Anitha P)",'Master Sheet'!O77,"")</f>
        <v/>
      </c>
      <c r="P76" t="str">
        <f>IF('Master Sheet'!C77="Area 6 (Anitha P)",'Master Sheet'!P77,"")</f>
        <v/>
      </c>
    </row>
    <row r="77" spans="1:16" hidden="1" x14ac:dyDescent="0.25">
      <c r="A77" t="str">
        <f>IF('Master Sheet'!C78="Area 6 (Anitha P)",'Master Sheet'!A78,"")</f>
        <v/>
      </c>
      <c r="B77" t="str">
        <f>IF('Master Sheet'!C78="Area 6 (Anitha P)",'Master Sheet'!B78,"")</f>
        <v/>
      </c>
      <c r="C77" t="s">
        <v>9</v>
      </c>
      <c r="D77" t="str">
        <f>IF('Master Sheet'!C78="Area 6 (Anitha P)",'Master Sheet'!D78,"")</f>
        <v/>
      </c>
      <c r="E77" t="str">
        <f>IF('Master Sheet'!C78="Area 6 (Anitha P)",'Master Sheet'!E78,"")</f>
        <v/>
      </c>
      <c r="F77" t="str">
        <f>IF('Master Sheet'!C78="Area 6 (Anitha P)",'Master Sheet'!F78,"")</f>
        <v/>
      </c>
      <c r="G77" t="str">
        <f>IF('Master Sheet'!C78="Area 6 (Anitha P)",'Master Sheet'!G78,"")</f>
        <v/>
      </c>
      <c r="H77" t="str">
        <f>IF('Master Sheet'!C78="Area 6 (Anitha P)",'Master Sheet'!H78,"")</f>
        <v/>
      </c>
      <c r="I77" t="str">
        <f>IF('Master Sheet'!C78="Area 6 (Anitha P)",'Master Sheet'!I78,"")</f>
        <v/>
      </c>
      <c r="J77" t="str">
        <f>IF('Master Sheet'!C78="Area 6 (Anitha P)",'Master Sheet'!J78,"")</f>
        <v/>
      </c>
      <c r="K77" t="str">
        <f>IF('Master Sheet'!C78="Area 6 (Anitha P)",'Master Sheet'!K78,"")</f>
        <v/>
      </c>
      <c r="L77" t="str">
        <f>IF('Master Sheet'!C78="Area 6 (Anitha P)",'Master Sheet'!L78,"")</f>
        <v/>
      </c>
      <c r="M77" t="str">
        <f>IF('Master Sheet'!C78="Area 6 (Anitha P)",'Master Sheet'!M78,"")</f>
        <v/>
      </c>
      <c r="N77" t="str">
        <f>IF('Master Sheet'!C78="Area 6 (Anitha P)",'Master Sheet'!N78,"")</f>
        <v/>
      </c>
      <c r="O77" t="str">
        <f>IF('Master Sheet'!C78="Area 6 (Anitha P)",'Master Sheet'!O78,"")</f>
        <v/>
      </c>
      <c r="P77" t="str">
        <f>IF('Master Sheet'!C78="Area 6 (Anitha P)",'Master Sheet'!P78,"")</f>
        <v/>
      </c>
    </row>
    <row r="78" spans="1:16" hidden="1" x14ac:dyDescent="0.25">
      <c r="A78" t="str">
        <f>IF('Master Sheet'!C79="Area 6 (Anitha P)",'Master Sheet'!A79,"")</f>
        <v/>
      </c>
      <c r="B78" t="str">
        <f>IF('Master Sheet'!C79="Area 6 (Anitha P)",'Master Sheet'!B79,"")</f>
        <v/>
      </c>
      <c r="C78" t="s">
        <v>9</v>
      </c>
      <c r="D78" t="str">
        <f>IF('Master Sheet'!C79="Area 6 (Anitha P)",'Master Sheet'!D79,"")</f>
        <v/>
      </c>
      <c r="E78" t="str">
        <f>IF('Master Sheet'!C79="Area 6 (Anitha P)",'Master Sheet'!E79,"")</f>
        <v/>
      </c>
      <c r="F78" t="str">
        <f>IF('Master Sheet'!C79="Area 6 (Anitha P)",'Master Sheet'!F79,"")</f>
        <v/>
      </c>
      <c r="G78" t="str">
        <f>IF('Master Sheet'!C79="Area 6 (Anitha P)",'Master Sheet'!G79,"")</f>
        <v/>
      </c>
      <c r="H78" t="str">
        <f>IF('Master Sheet'!C79="Area 6 (Anitha P)",'Master Sheet'!H79,"")</f>
        <v/>
      </c>
      <c r="I78" t="str">
        <f>IF('Master Sheet'!C79="Area 6 (Anitha P)",'Master Sheet'!I79,"")</f>
        <v/>
      </c>
      <c r="J78" t="str">
        <f>IF('Master Sheet'!C79="Area 6 (Anitha P)",'Master Sheet'!J79,"")</f>
        <v/>
      </c>
      <c r="K78" t="str">
        <f>IF('Master Sheet'!C79="Area 6 (Anitha P)",'Master Sheet'!K79,"")</f>
        <v/>
      </c>
      <c r="L78" t="str">
        <f>IF('Master Sheet'!C79="Area 6 (Anitha P)",'Master Sheet'!L79,"")</f>
        <v/>
      </c>
      <c r="M78" t="str">
        <f>IF('Master Sheet'!C79="Area 6 (Anitha P)",'Master Sheet'!M79,"")</f>
        <v/>
      </c>
      <c r="N78" t="str">
        <f>IF('Master Sheet'!C79="Area 6 (Anitha P)",'Master Sheet'!N79,"")</f>
        <v/>
      </c>
      <c r="O78" t="str">
        <f>IF('Master Sheet'!C79="Area 6 (Anitha P)",'Master Sheet'!O79,"")</f>
        <v/>
      </c>
      <c r="P78" t="str">
        <f>IF('Master Sheet'!C79="Area 6 (Anitha P)",'Master Sheet'!P79,"")</f>
        <v/>
      </c>
    </row>
    <row r="79" spans="1:16" hidden="1" x14ac:dyDescent="0.25">
      <c r="A79" t="str">
        <f>IF('Master Sheet'!C80="Area 6 (Anitha P)",'Master Sheet'!A80,"")</f>
        <v/>
      </c>
      <c r="B79" t="str">
        <f>IF('Master Sheet'!C80="Area 6 (Anitha P)",'Master Sheet'!B80,"")</f>
        <v/>
      </c>
      <c r="C79" t="s">
        <v>9</v>
      </c>
      <c r="D79" t="str">
        <f>IF('Master Sheet'!C80="Area 6 (Anitha P)",'Master Sheet'!D80,"")</f>
        <v/>
      </c>
      <c r="E79" t="str">
        <f>IF('Master Sheet'!C80="Area 6 (Anitha P)",'Master Sheet'!E80,"")</f>
        <v/>
      </c>
      <c r="F79" t="str">
        <f>IF('Master Sheet'!C80="Area 6 (Anitha P)",'Master Sheet'!F80,"")</f>
        <v/>
      </c>
      <c r="G79" t="str">
        <f>IF('Master Sheet'!C80="Area 6 (Anitha P)",'Master Sheet'!G80,"")</f>
        <v/>
      </c>
      <c r="H79" t="str">
        <f>IF('Master Sheet'!C80="Area 6 (Anitha P)",'Master Sheet'!H80,"")</f>
        <v/>
      </c>
      <c r="I79" t="str">
        <f>IF('Master Sheet'!C80="Area 6 (Anitha P)",'Master Sheet'!I80,"")</f>
        <v/>
      </c>
      <c r="J79" t="str">
        <f>IF('Master Sheet'!C80="Area 6 (Anitha P)",'Master Sheet'!J80,"")</f>
        <v/>
      </c>
      <c r="K79" t="str">
        <f>IF('Master Sheet'!C80="Area 6 (Anitha P)",'Master Sheet'!K80,"")</f>
        <v/>
      </c>
      <c r="L79" t="str">
        <f>IF('Master Sheet'!C80="Area 6 (Anitha P)",'Master Sheet'!L80,"")</f>
        <v/>
      </c>
      <c r="M79" t="str">
        <f>IF('Master Sheet'!C80="Area 6 (Anitha P)",'Master Sheet'!M80,"")</f>
        <v/>
      </c>
      <c r="N79" t="str">
        <f>IF('Master Sheet'!C80="Area 6 (Anitha P)",'Master Sheet'!N80,"")</f>
        <v/>
      </c>
      <c r="O79" t="str">
        <f>IF('Master Sheet'!C80="Area 6 (Anitha P)",'Master Sheet'!O80,"")</f>
        <v/>
      </c>
      <c r="P79" t="str">
        <f>IF('Master Sheet'!C80="Area 6 (Anitha P)",'Master Sheet'!P80,"")</f>
        <v/>
      </c>
    </row>
    <row r="80" spans="1:16" hidden="1" x14ac:dyDescent="0.25">
      <c r="A80" t="str">
        <f>IF('Master Sheet'!C81="Area 6 (Anitha P)",'Master Sheet'!A81,"")</f>
        <v/>
      </c>
      <c r="B80" t="str">
        <f>IF('Master Sheet'!C81="Area 6 (Anitha P)",'Master Sheet'!B81,"")</f>
        <v/>
      </c>
      <c r="C80" t="s">
        <v>9</v>
      </c>
      <c r="D80" t="str">
        <f>IF('Master Sheet'!C81="Area 6 (Anitha P)",'Master Sheet'!D81,"")</f>
        <v/>
      </c>
      <c r="E80" t="str">
        <f>IF('Master Sheet'!C81="Area 6 (Anitha P)",'Master Sheet'!E81,"")</f>
        <v/>
      </c>
      <c r="F80" t="str">
        <f>IF('Master Sheet'!C81="Area 6 (Anitha P)",'Master Sheet'!F81,"")</f>
        <v/>
      </c>
      <c r="G80" t="str">
        <f>IF('Master Sheet'!C81="Area 6 (Anitha P)",'Master Sheet'!G81,"")</f>
        <v/>
      </c>
      <c r="H80" t="str">
        <f>IF('Master Sheet'!C81="Area 6 (Anitha P)",'Master Sheet'!H81,"")</f>
        <v/>
      </c>
      <c r="I80" t="str">
        <f>IF('Master Sheet'!C81="Area 6 (Anitha P)",'Master Sheet'!I81,"")</f>
        <v/>
      </c>
      <c r="J80" t="str">
        <f>IF('Master Sheet'!C81="Area 6 (Anitha P)",'Master Sheet'!J81,"")</f>
        <v/>
      </c>
      <c r="K80" t="str">
        <f>IF('Master Sheet'!C81="Area 6 (Anitha P)",'Master Sheet'!K81,"")</f>
        <v/>
      </c>
      <c r="L80" t="str">
        <f>IF('Master Sheet'!C81="Area 6 (Anitha P)",'Master Sheet'!L81,"")</f>
        <v/>
      </c>
      <c r="M80" t="str">
        <f>IF('Master Sheet'!C81="Area 6 (Anitha P)",'Master Sheet'!M81,"")</f>
        <v/>
      </c>
      <c r="N80" t="str">
        <f>IF('Master Sheet'!C81="Area 6 (Anitha P)",'Master Sheet'!N81,"")</f>
        <v/>
      </c>
      <c r="O80" t="str">
        <f>IF('Master Sheet'!C81="Area 6 (Anitha P)",'Master Sheet'!O81,"")</f>
        <v/>
      </c>
      <c r="P80" t="str">
        <f>IF('Master Sheet'!C81="Area 6 (Anitha P)",'Master Sheet'!P81,"")</f>
        <v/>
      </c>
    </row>
    <row r="81" spans="1:16" hidden="1" x14ac:dyDescent="0.25">
      <c r="A81" t="str">
        <f>IF('Master Sheet'!C82="Area 6 (Anitha P)",'Master Sheet'!A82,"")</f>
        <v/>
      </c>
      <c r="B81" t="str">
        <f>IF('Master Sheet'!C82="Area 6 (Anitha P)",'Master Sheet'!B82,"")</f>
        <v/>
      </c>
      <c r="C81" t="s">
        <v>9</v>
      </c>
      <c r="D81" t="str">
        <f>IF('Master Sheet'!C82="Area 6 (Anitha P)",'Master Sheet'!D82,"")</f>
        <v/>
      </c>
      <c r="E81" t="str">
        <f>IF('Master Sheet'!C82="Area 6 (Anitha P)",'Master Sheet'!E82,"")</f>
        <v/>
      </c>
      <c r="F81" t="str">
        <f>IF('Master Sheet'!C82="Area 6 (Anitha P)",'Master Sheet'!F82,"")</f>
        <v/>
      </c>
      <c r="G81" t="str">
        <f>IF('Master Sheet'!C82="Area 6 (Anitha P)",'Master Sheet'!G82,"")</f>
        <v/>
      </c>
      <c r="H81" t="str">
        <f>IF('Master Sheet'!C82="Area 6 (Anitha P)",'Master Sheet'!H82,"")</f>
        <v/>
      </c>
      <c r="I81" t="str">
        <f>IF('Master Sheet'!C82="Area 6 (Anitha P)",'Master Sheet'!I82,"")</f>
        <v/>
      </c>
      <c r="J81" t="str">
        <f>IF('Master Sheet'!C82="Area 6 (Anitha P)",'Master Sheet'!J82,"")</f>
        <v/>
      </c>
      <c r="K81" t="str">
        <f>IF('Master Sheet'!C82="Area 6 (Anitha P)",'Master Sheet'!K82,"")</f>
        <v/>
      </c>
      <c r="L81" t="str">
        <f>IF('Master Sheet'!C82="Area 6 (Anitha P)",'Master Sheet'!L82,"")</f>
        <v/>
      </c>
      <c r="M81" t="str">
        <f>IF('Master Sheet'!C82="Area 6 (Anitha P)",'Master Sheet'!M82,"")</f>
        <v/>
      </c>
      <c r="N81" t="str">
        <f>IF('Master Sheet'!C82="Area 6 (Anitha P)",'Master Sheet'!N82,"")</f>
        <v/>
      </c>
      <c r="O81" t="str">
        <f>IF('Master Sheet'!C82="Area 6 (Anitha P)",'Master Sheet'!O82,"")</f>
        <v/>
      </c>
      <c r="P81" t="str">
        <f>IF('Master Sheet'!C82="Area 6 (Anitha P)",'Master Sheet'!P82,"")</f>
        <v/>
      </c>
    </row>
    <row r="82" spans="1:16" hidden="1" x14ac:dyDescent="0.25">
      <c r="A82" t="str">
        <f>IF('Master Sheet'!C83="Area 6 (Anitha P)",'Master Sheet'!A83,"")</f>
        <v/>
      </c>
      <c r="B82" t="str">
        <f>IF('Master Sheet'!C83="Area 6 (Anitha P)",'Master Sheet'!B83,"")</f>
        <v/>
      </c>
      <c r="C82" t="s">
        <v>9</v>
      </c>
      <c r="D82" t="str">
        <f>IF('Master Sheet'!C83="Area 6 (Anitha P)",'Master Sheet'!D83,"")</f>
        <v/>
      </c>
      <c r="E82" t="str">
        <f>IF('Master Sheet'!C83="Area 6 (Anitha P)",'Master Sheet'!E83,"")</f>
        <v/>
      </c>
      <c r="F82" t="str">
        <f>IF('Master Sheet'!C83="Area 6 (Anitha P)",'Master Sheet'!F83,"")</f>
        <v/>
      </c>
      <c r="G82" t="str">
        <f>IF('Master Sheet'!C83="Area 6 (Anitha P)",'Master Sheet'!G83,"")</f>
        <v/>
      </c>
      <c r="H82" t="str">
        <f>IF('Master Sheet'!C83="Area 6 (Anitha P)",'Master Sheet'!H83,"")</f>
        <v/>
      </c>
      <c r="I82" t="str">
        <f>IF('Master Sheet'!C83="Area 6 (Anitha P)",'Master Sheet'!I83,"")</f>
        <v/>
      </c>
      <c r="J82" t="str">
        <f>IF('Master Sheet'!C83="Area 6 (Anitha P)",'Master Sheet'!J83,"")</f>
        <v/>
      </c>
      <c r="K82" t="str">
        <f>IF('Master Sheet'!C83="Area 6 (Anitha P)",'Master Sheet'!K83,"")</f>
        <v/>
      </c>
      <c r="L82" t="str">
        <f>IF('Master Sheet'!C83="Area 6 (Anitha P)",'Master Sheet'!L83,"")</f>
        <v/>
      </c>
      <c r="M82" t="str">
        <f>IF('Master Sheet'!C83="Area 6 (Anitha P)",'Master Sheet'!M83,"")</f>
        <v/>
      </c>
      <c r="N82" t="str">
        <f>IF('Master Sheet'!C83="Area 6 (Anitha P)",'Master Sheet'!N83,"")</f>
        <v/>
      </c>
      <c r="O82" t="str">
        <f>IF('Master Sheet'!C83="Area 6 (Anitha P)",'Master Sheet'!O83,"")</f>
        <v/>
      </c>
      <c r="P82" t="str">
        <f>IF('Master Sheet'!C83="Area 6 (Anitha P)",'Master Sheet'!P83,"")</f>
        <v/>
      </c>
    </row>
    <row r="83" spans="1:16" hidden="1" x14ac:dyDescent="0.25">
      <c r="A83" t="str">
        <f>IF('Master Sheet'!C84="Area 6 (Anitha P)",'Master Sheet'!A84,"")</f>
        <v/>
      </c>
      <c r="B83" t="str">
        <f>IF('Master Sheet'!C84="Area 6 (Anitha P)",'Master Sheet'!B84,"")</f>
        <v/>
      </c>
      <c r="C83" t="s">
        <v>9</v>
      </c>
      <c r="D83" t="str">
        <f>IF('Master Sheet'!C84="Area 6 (Anitha P)",'Master Sheet'!D84,"")</f>
        <v/>
      </c>
      <c r="E83" t="str">
        <f>IF('Master Sheet'!C84="Area 6 (Anitha P)",'Master Sheet'!E84,"")</f>
        <v/>
      </c>
      <c r="F83" t="str">
        <f>IF('Master Sheet'!C84="Area 6 (Anitha P)",'Master Sheet'!F84,"")</f>
        <v/>
      </c>
      <c r="G83" t="str">
        <f>IF('Master Sheet'!C84="Area 6 (Anitha P)",'Master Sheet'!G84,"")</f>
        <v/>
      </c>
      <c r="H83" t="str">
        <f>IF('Master Sheet'!C84="Area 6 (Anitha P)",'Master Sheet'!H84,"")</f>
        <v/>
      </c>
      <c r="I83" t="str">
        <f>IF('Master Sheet'!C84="Area 6 (Anitha P)",'Master Sheet'!I84,"")</f>
        <v/>
      </c>
      <c r="J83" t="str">
        <f>IF('Master Sheet'!C84="Area 6 (Anitha P)",'Master Sheet'!J84,"")</f>
        <v/>
      </c>
      <c r="K83" t="str">
        <f>IF('Master Sheet'!C84="Area 6 (Anitha P)",'Master Sheet'!K84,"")</f>
        <v/>
      </c>
      <c r="L83" t="str">
        <f>IF('Master Sheet'!C84="Area 6 (Anitha P)",'Master Sheet'!L84,"")</f>
        <v/>
      </c>
      <c r="M83" t="str">
        <f>IF('Master Sheet'!C84="Area 6 (Anitha P)",'Master Sheet'!M84,"")</f>
        <v/>
      </c>
      <c r="N83" t="str">
        <f>IF('Master Sheet'!C84="Area 6 (Anitha P)",'Master Sheet'!N84,"")</f>
        <v/>
      </c>
      <c r="O83" t="str">
        <f>IF('Master Sheet'!C84="Area 6 (Anitha P)",'Master Sheet'!O84,"")</f>
        <v/>
      </c>
      <c r="P83" t="str">
        <f>IF('Master Sheet'!C84="Area 6 (Anitha P)",'Master Sheet'!P84,"")</f>
        <v/>
      </c>
    </row>
    <row r="84" spans="1:16" hidden="1" x14ac:dyDescent="0.25">
      <c r="A84" t="str">
        <f>IF('Master Sheet'!C85="Area 6 (Anitha P)",'Master Sheet'!A85,"")</f>
        <v/>
      </c>
      <c r="B84" t="str">
        <f>IF('Master Sheet'!C85="Area 6 (Anitha P)",'Master Sheet'!B85,"")</f>
        <v/>
      </c>
      <c r="C84" t="s">
        <v>9</v>
      </c>
      <c r="D84" t="str">
        <f>IF('Master Sheet'!C85="Area 6 (Anitha P)",'Master Sheet'!D85,"")</f>
        <v/>
      </c>
      <c r="E84" t="str">
        <f>IF('Master Sheet'!C85="Area 6 (Anitha P)",'Master Sheet'!E85,"")</f>
        <v/>
      </c>
      <c r="F84" t="str">
        <f>IF('Master Sheet'!C85="Area 6 (Anitha P)",'Master Sheet'!F85,"")</f>
        <v/>
      </c>
      <c r="G84" t="str">
        <f>IF('Master Sheet'!C85="Area 6 (Anitha P)",'Master Sheet'!G85,"")</f>
        <v/>
      </c>
      <c r="H84" t="str">
        <f>IF('Master Sheet'!C85="Area 6 (Anitha P)",'Master Sheet'!H85,"")</f>
        <v/>
      </c>
      <c r="I84" t="str">
        <f>IF('Master Sheet'!C85="Area 6 (Anitha P)",'Master Sheet'!I85,"")</f>
        <v/>
      </c>
      <c r="J84" t="str">
        <f>IF('Master Sheet'!C85="Area 6 (Anitha P)",'Master Sheet'!J85,"")</f>
        <v/>
      </c>
      <c r="K84" t="str">
        <f>IF('Master Sheet'!C85="Area 6 (Anitha P)",'Master Sheet'!K85,"")</f>
        <v/>
      </c>
      <c r="L84" t="str">
        <f>IF('Master Sheet'!C85="Area 6 (Anitha P)",'Master Sheet'!L85,"")</f>
        <v/>
      </c>
      <c r="M84" t="str">
        <f>IF('Master Sheet'!C85="Area 6 (Anitha P)",'Master Sheet'!M85,"")</f>
        <v/>
      </c>
      <c r="N84" t="str">
        <f>IF('Master Sheet'!C85="Area 6 (Anitha P)",'Master Sheet'!N85,"")</f>
        <v/>
      </c>
      <c r="O84" t="str">
        <f>IF('Master Sheet'!C85="Area 6 (Anitha P)",'Master Sheet'!O85,"")</f>
        <v/>
      </c>
      <c r="P84" t="str">
        <f>IF('Master Sheet'!C85="Area 6 (Anitha P)",'Master Sheet'!P85,"")</f>
        <v/>
      </c>
    </row>
    <row r="85" spans="1:16" hidden="1" x14ac:dyDescent="0.25">
      <c r="A85" t="str">
        <f>IF('Master Sheet'!C86="Area 6 (Anitha P)",'Master Sheet'!A86,"")</f>
        <v/>
      </c>
      <c r="B85" t="str">
        <f>IF('Master Sheet'!C86="Area 6 (Anitha P)",'Master Sheet'!B86,"")</f>
        <v/>
      </c>
      <c r="C85" t="s">
        <v>9</v>
      </c>
      <c r="D85" t="str">
        <f>IF('Master Sheet'!C86="Area 6 (Anitha P)",'Master Sheet'!D86,"")</f>
        <v/>
      </c>
      <c r="E85" t="str">
        <f>IF('Master Sheet'!C86="Area 6 (Anitha P)",'Master Sheet'!E86,"")</f>
        <v/>
      </c>
      <c r="F85" t="str">
        <f>IF('Master Sheet'!C86="Area 6 (Anitha P)",'Master Sheet'!F86,"")</f>
        <v/>
      </c>
      <c r="G85" t="str">
        <f>IF('Master Sheet'!C86="Area 6 (Anitha P)",'Master Sheet'!G86,"")</f>
        <v/>
      </c>
      <c r="H85" t="str">
        <f>IF('Master Sheet'!C86="Area 6 (Anitha P)",'Master Sheet'!H86,"")</f>
        <v/>
      </c>
      <c r="I85" t="str">
        <f>IF('Master Sheet'!C86="Area 6 (Anitha P)",'Master Sheet'!I86,"")</f>
        <v/>
      </c>
      <c r="J85" t="str">
        <f>IF('Master Sheet'!C86="Area 6 (Anitha P)",'Master Sheet'!J86,"")</f>
        <v/>
      </c>
      <c r="K85" t="str">
        <f>IF('Master Sheet'!C86="Area 6 (Anitha P)",'Master Sheet'!K86,"")</f>
        <v/>
      </c>
      <c r="L85" t="str">
        <f>IF('Master Sheet'!C86="Area 6 (Anitha P)",'Master Sheet'!L86,"")</f>
        <v/>
      </c>
      <c r="M85" t="str">
        <f>IF('Master Sheet'!C86="Area 6 (Anitha P)",'Master Sheet'!M86,"")</f>
        <v/>
      </c>
      <c r="N85" t="str">
        <f>IF('Master Sheet'!C86="Area 6 (Anitha P)",'Master Sheet'!N86,"")</f>
        <v/>
      </c>
      <c r="O85" t="str">
        <f>IF('Master Sheet'!C86="Area 6 (Anitha P)",'Master Sheet'!O86,"")</f>
        <v/>
      </c>
      <c r="P85" t="str">
        <f>IF('Master Sheet'!C86="Area 6 (Anitha P)",'Master Sheet'!P86,"")</f>
        <v/>
      </c>
    </row>
    <row r="86" spans="1:16" hidden="1" x14ac:dyDescent="0.25">
      <c r="A86" t="str">
        <f>IF('Master Sheet'!C87="Area 6 (Anitha P)",'Master Sheet'!A87,"")</f>
        <v/>
      </c>
      <c r="B86" t="str">
        <f>IF('Master Sheet'!C87="Area 6 (Anitha P)",'Master Sheet'!B87,"")</f>
        <v/>
      </c>
      <c r="C86" t="s">
        <v>9</v>
      </c>
      <c r="D86" t="str">
        <f>IF('Master Sheet'!C87="Area 6 (Anitha P)",'Master Sheet'!D87,"")</f>
        <v/>
      </c>
      <c r="E86" t="str">
        <f>IF('Master Sheet'!C87="Area 6 (Anitha P)",'Master Sheet'!E87,"")</f>
        <v/>
      </c>
      <c r="F86" t="str">
        <f>IF('Master Sheet'!C87="Area 6 (Anitha P)",'Master Sheet'!F87,"")</f>
        <v/>
      </c>
      <c r="G86" t="str">
        <f>IF('Master Sheet'!C87="Area 6 (Anitha P)",'Master Sheet'!G87,"")</f>
        <v/>
      </c>
      <c r="H86" t="str">
        <f>IF('Master Sheet'!C87="Area 6 (Anitha P)",'Master Sheet'!H87,"")</f>
        <v/>
      </c>
      <c r="I86" t="str">
        <f>IF('Master Sheet'!C87="Area 6 (Anitha P)",'Master Sheet'!I87,"")</f>
        <v/>
      </c>
      <c r="J86" t="str">
        <f>IF('Master Sheet'!C87="Area 6 (Anitha P)",'Master Sheet'!J87,"")</f>
        <v/>
      </c>
      <c r="K86" t="str">
        <f>IF('Master Sheet'!C87="Area 6 (Anitha P)",'Master Sheet'!K87,"")</f>
        <v/>
      </c>
      <c r="L86" t="str">
        <f>IF('Master Sheet'!C87="Area 6 (Anitha P)",'Master Sheet'!L87,"")</f>
        <v/>
      </c>
      <c r="M86" t="str">
        <f>IF('Master Sheet'!C87="Area 6 (Anitha P)",'Master Sheet'!M87,"")</f>
        <v/>
      </c>
      <c r="N86" t="str">
        <f>IF('Master Sheet'!C87="Area 6 (Anitha P)",'Master Sheet'!N87,"")</f>
        <v/>
      </c>
      <c r="O86" t="str">
        <f>IF('Master Sheet'!C87="Area 6 (Anitha P)",'Master Sheet'!O87,"")</f>
        <v/>
      </c>
      <c r="P86" t="str">
        <f>IF('Master Sheet'!C87="Area 6 (Anitha P)",'Master Sheet'!P87,"")</f>
        <v/>
      </c>
    </row>
    <row r="87" spans="1:16" hidden="1" x14ac:dyDescent="0.25">
      <c r="A87" t="str">
        <f>IF('Master Sheet'!C88="Area 6 (Anitha P)",'Master Sheet'!A88,"")</f>
        <v/>
      </c>
      <c r="B87" t="str">
        <f>IF('Master Sheet'!C88="Area 6 (Anitha P)",'Master Sheet'!B88,"")</f>
        <v/>
      </c>
      <c r="C87" t="s">
        <v>9</v>
      </c>
      <c r="D87" t="str">
        <f>IF('Master Sheet'!C88="Area 6 (Anitha P)",'Master Sheet'!D88,"")</f>
        <v/>
      </c>
      <c r="E87" t="str">
        <f>IF('Master Sheet'!C88="Area 6 (Anitha P)",'Master Sheet'!E88,"")</f>
        <v/>
      </c>
      <c r="F87" t="str">
        <f>IF('Master Sheet'!C88="Area 6 (Anitha P)",'Master Sheet'!F88,"")</f>
        <v/>
      </c>
      <c r="G87" t="str">
        <f>IF('Master Sheet'!C88="Area 6 (Anitha P)",'Master Sheet'!G88,"")</f>
        <v/>
      </c>
      <c r="H87" t="str">
        <f>IF('Master Sheet'!C88="Area 6 (Anitha P)",'Master Sheet'!H88,"")</f>
        <v/>
      </c>
      <c r="I87" t="str">
        <f>IF('Master Sheet'!C88="Area 6 (Anitha P)",'Master Sheet'!I88,"")</f>
        <v/>
      </c>
      <c r="J87" t="str">
        <f>IF('Master Sheet'!C88="Area 6 (Anitha P)",'Master Sheet'!J88,"")</f>
        <v/>
      </c>
      <c r="K87" t="str">
        <f>IF('Master Sheet'!C88="Area 6 (Anitha P)",'Master Sheet'!K88,"")</f>
        <v/>
      </c>
      <c r="L87" t="str">
        <f>IF('Master Sheet'!C88="Area 6 (Anitha P)",'Master Sheet'!L88,"")</f>
        <v/>
      </c>
      <c r="M87" t="str">
        <f>IF('Master Sheet'!C88="Area 6 (Anitha P)",'Master Sheet'!M88,"")</f>
        <v/>
      </c>
      <c r="N87" t="str">
        <f>IF('Master Sheet'!C88="Area 6 (Anitha P)",'Master Sheet'!N88,"")</f>
        <v/>
      </c>
      <c r="O87" t="str">
        <f>IF('Master Sheet'!C88="Area 6 (Anitha P)",'Master Sheet'!O88,"")</f>
        <v/>
      </c>
      <c r="P87" t="str">
        <f>IF('Master Sheet'!C88="Area 6 (Anitha P)",'Master Sheet'!P88,"")</f>
        <v/>
      </c>
    </row>
    <row r="88" spans="1:16" hidden="1" x14ac:dyDescent="0.25">
      <c r="A88" t="str">
        <f>IF('Master Sheet'!C89="Area 6 (Anitha P)",'Master Sheet'!A89,"")</f>
        <v/>
      </c>
      <c r="B88" t="str">
        <f>IF('Master Sheet'!C89="Area 6 (Anitha P)",'Master Sheet'!B89,"")</f>
        <v/>
      </c>
      <c r="C88" t="s">
        <v>9</v>
      </c>
      <c r="D88" t="str">
        <f>IF('Master Sheet'!C89="Area 6 (Anitha P)",'Master Sheet'!D89,"")</f>
        <v/>
      </c>
      <c r="E88" t="str">
        <f>IF('Master Sheet'!C89="Area 6 (Anitha P)",'Master Sheet'!E89,"")</f>
        <v/>
      </c>
      <c r="F88" t="str">
        <f>IF('Master Sheet'!C89="Area 6 (Anitha P)",'Master Sheet'!F89,"")</f>
        <v/>
      </c>
      <c r="G88" t="str">
        <f>IF('Master Sheet'!C89="Area 6 (Anitha P)",'Master Sheet'!G89,"")</f>
        <v/>
      </c>
      <c r="H88" t="str">
        <f>IF('Master Sheet'!C89="Area 6 (Anitha P)",'Master Sheet'!H89,"")</f>
        <v/>
      </c>
      <c r="I88" t="str">
        <f>IF('Master Sheet'!C89="Area 6 (Anitha P)",'Master Sheet'!I89,"")</f>
        <v/>
      </c>
      <c r="J88" t="str">
        <f>IF('Master Sheet'!C89="Area 6 (Anitha P)",'Master Sheet'!J89,"")</f>
        <v/>
      </c>
      <c r="K88" t="str">
        <f>IF('Master Sheet'!C89="Area 6 (Anitha P)",'Master Sheet'!K89,"")</f>
        <v/>
      </c>
      <c r="L88" t="str">
        <f>IF('Master Sheet'!C89="Area 6 (Anitha P)",'Master Sheet'!L89,"")</f>
        <v/>
      </c>
      <c r="M88" t="str">
        <f>IF('Master Sheet'!C89="Area 6 (Anitha P)",'Master Sheet'!M89,"")</f>
        <v/>
      </c>
      <c r="N88" t="str">
        <f>IF('Master Sheet'!C89="Area 6 (Anitha P)",'Master Sheet'!N89,"")</f>
        <v/>
      </c>
      <c r="O88" t="str">
        <f>IF('Master Sheet'!C89="Area 6 (Anitha P)",'Master Sheet'!O89,"")</f>
        <v/>
      </c>
      <c r="P88" t="str">
        <f>IF('Master Sheet'!C89="Area 6 (Anitha P)",'Master Sheet'!P89,"")</f>
        <v/>
      </c>
    </row>
    <row r="89" spans="1:16" hidden="1" x14ac:dyDescent="0.25">
      <c r="A89" t="str">
        <f>IF('Master Sheet'!C90="Area 6 (Anitha P)",'Master Sheet'!A90,"")</f>
        <v/>
      </c>
      <c r="B89" t="str">
        <f>IF('Master Sheet'!C90="Area 6 (Anitha P)",'Master Sheet'!B90,"")</f>
        <v/>
      </c>
      <c r="C89" t="s">
        <v>9</v>
      </c>
      <c r="D89" t="str">
        <f>IF('Master Sheet'!C90="Area 6 (Anitha P)",'Master Sheet'!D90,"")</f>
        <v/>
      </c>
      <c r="E89" t="str">
        <f>IF('Master Sheet'!C90="Area 6 (Anitha P)",'Master Sheet'!E90,"")</f>
        <v/>
      </c>
      <c r="F89" t="str">
        <f>IF('Master Sheet'!C90="Area 6 (Anitha P)",'Master Sheet'!F90,"")</f>
        <v/>
      </c>
      <c r="G89" t="str">
        <f>IF('Master Sheet'!C90="Area 6 (Anitha P)",'Master Sheet'!G90,"")</f>
        <v/>
      </c>
      <c r="H89" t="str">
        <f>IF('Master Sheet'!C90="Area 6 (Anitha P)",'Master Sheet'!H90,"")</f>
        <v/>
      </c>
      <c r="I89" t="str">
        <f>IF('Master Sheet'!C90="Area 6 (Anitha P)",'Master Sheet'!I90,"")</f>
        <v/>
      </c>
      <c r="J89" t="str">
        <f>IF('Master Sheet'!C90="Area 6 (Anitha P)",'Master Sheet'!J90,"")</f>
        <v/>
      </c>
      <c r="K89" t="str">
        <f>IF('Master Sheet'!C90="Area 6 (Anitha P)",'Master Sheet'!K90,"")</f>
        <v/>
      </c>
      <c r="L89" t="str">
        <f>IF('Master Sheet'!C90="Area 6 (Anitha P)",'Master Sheet'!L90,"")</f>
        <v/>
      </c>
      <c r="M89" t="str">
        <f>IF('Master Sheet'!C90="Area 6 (Anitha P)",'Master Sheet'!M90,"")</f>
        <v/>
      </c>
      <c r="N89" t="str">
        <f>IF('Master Sheet'!C90="Area 6 (Anitha P)",'Master Sheet'!N90,"")</f>
        <v/>
      </c>
      <c r="O89" t="str">
        <f>IF('Master Sheet'!C90="Area 6 (Anitha P)",'Master Sheet'!O90,"")</f>
        <v/>
      </c>
      <c r="P89" t="str">
        <f>IF('Master Sheet'!C90="Area 6 (Anitha P)",'Master Sheet'!P90,"")</f>
        <v/>
      </c>
    </row>
    <row r="90" spans="1:16" s="14" customFormat="1" ht="19.899999999999999" customHeight="1" x14ac:dyDescent="0.25">
      <c r="A90" s="7" t="str">
        <f>IF('Master Sheet'!C91="Area 6 (Anitha P)",'Master Sheet'!A91,"")</f>
        <v>P089</v>
      </c>
      <c r="B90" s="10" t="str">
        <f>IF('Master Sheet'!C91="Area 6 (Anitha P)",'Master Sheet'!B91,"")</f>
        <v>Latha Suresh</v>
      </c>
      <c r="C90" t="s">
        <v>9</v>
      </c>
      <c r="D90" s="7">
        <f>IF('Master Sheet'!C91="Area 6 (Anitha P)",'Master Sheet'!D91,"")</f>
        <v>350</v>
      </c>
      <c r="E90" s="7">
        <f>IF('Master Sheet'!C91="Area 6 (Anitha P)",'Master Sheet'!E91,"")</f>
        <v>350</v>
      </c>
      <c r="F90" s="7">
        <f>IF('Master Sheet'!C91="Area 6 (Anitha P)",'Master Sheet'!F91,"")</f>
        <v>350</v>
      </c>
      <c r="G90" s="7">
        <f>IF('Master Sheet'!C91="Area 6 (Anitha P)",'Master Sheet'!G91,"")</f>
        <v>350</v>
      </c>
      <c r="H90" s="7">
        <f>IF('Master Sheet'!C91="Area 6 (Anitha P)",'Master Sheet'!H91,"")</f>
        <v>0</v>
      </c>
      <c r="I90" s="7">
        <f>IF('Master Sheet'!C91="Area 6 (Anitha P)",'Master Sheet'!I91,"")</f>
        <v>0</v>
      </c>
      <c r="J90" s="7">
        <f>IF('Master Sheet'!C91="Area 6 (Anitha P)",'Master Sheet'!J91,"")</f>
        <v>0</v>
      </c>
      <c r="K90" s="7">
        <f>IF('Master Sheet'!C91="Area 6 (Anitha P)",'Master Sheet'!K91,"")</f>
        <v>0</v>
      </c>
      <c r="L90" s="7">
        <f>IF('Master Sheet'!C91="Area 6 (Anitha P)",'Master Sheet'!L91,"")</f>
        <v>0</v>
      </c>
      <c r="M90" s="7">
        <f>IF('Master Sheet'!C91="Area 6 (Anitha P)",'Master Sheet'!M91,"")</f>
        <v>0</v>
      </c>
      <c r="N90" s="7">
        <f>IF('Master Sheet'!C91="Area 6 (Anitha P)",'Master Sheet'!N91,"")</f>
        <v>1400</v>
      </c>
      <c r="O90" s="24">
        <f>IF('Master Sheet'!C91="Area 6 (Anitha P)",'Master Sheet'!O91,"")</f>
        <v>2100</v>
      </c>
      <c r="P90" s="7" t="str">
        <f>IF('Master Sheet'!C91="Area 6 (Anitha P)",'Master Sheet'!P91,"")</f>
        <v>Pending</v>
      </c>
    </row>
    <row r="91" spans="1:16" s="14" customFormat="1" ht="19.899999999999999" customHeight="1" x14ac:dyDescent="0.25">
      <c r="A91" s="7" t="str">
        <f>IF('Master Sheet'!C92="Area 6 (Anitha P)",'Master Sheet'!A92,"")</f>
        <v>P090</v>
      </c>
      <c r="B91" s="10" t="str">
        <f>IF('Master Sheet'!C92="Area 6 (Anitha P)",'Master Sheet'!B92,"")</f>
        <v>Anitha Prasanth</v>
      </c>
      <c r="C91" t="s">
        <v>9</v>
      </c>
      <c r="D91" s="7">
        <f>IF('Master Sheet'!C92="Area 6 (Anitha P)",'Master Sheet'!D92,"")</f>
        <v>350</v>
      </c>
      <c r="E91" s="7">
        <f>IF('Master Sheet'!C92="Area 6 (Anitha P)",'Master Sheet'!E92,"")</f>
        <v>350</v>
      </c>
      <c r="F91" s="7">
        <f>IF('Master Sheet'!C92="Area 6 (Anitha P)",'Master Sheet'!F92,"")</f>
        <v>350</v>
      </c>
      <c r="G91" s="7">
        <f>IF('Master Sheet'!C92="Area 6 (Anitha P)",'Master Sheet'!G92,"")</f>
        <v>350</v>
      </c>
      <c r="H91" s="7">
        <f>IF('Master Sheet'!C92="Area 6 (Anitha P)",'Master Sheet'!H92,"")</f>
        <v>0</v>
      </c>
      <c r="I91" s="7">
        <f>IF('Master Sheet'!C92="Area 6 (Anitha P)",'Master Sheet'!I92,"")</f>
        <v>0</v>
      </c>
      <c r="J91" s="7">
        <f>IF('Master Sheet'!C92="Area 6 (Anitha P)",'Master Sheet'!J92,"")</f>
        <v>0</v>
      </c>
      <c r="K91" s="7">
        <f>IF('Master Sheet'!C92="Area 6 (Anitha P)",'Master Sheet'!K92,"")</f>
        <v>0</v>
      </c>
      <c r="L91" s="7">
        <f>IF('Master Sheet'!C92="Area 6 (Anitha P)",'Master Sheet'!L92,"")</f>
        <v>0</v>
      </c>
      <c r="M91" s="7">
        <f>IF('Master Sheet'!C92="Area 6 (Anitha P)",'Master Sheet'!M92,"")</f>
        <v>0</v>
      </c>
      <c r="N91" s="7">
        <f>IF('Master Sheet'!C92="Area 6 (Anitha P)",'Master Sheet'!N92,"")</f>
        <v>1400</v>
      </c>
      <c r="O91" s="24">
        <f>IF('Master Sheet'!C92="Area 6 (Anitha P)",'Master Sheet'!O92,"")</f>
        <v>2100</v>
      </c>
      <c r="P91" s="7" t="str">
        <f>IF('Master Sheet'!C92="Area 6 (Anitha P)",'Master Sheet'!P92,"")</f>
        <v>Pending</v>
      </c>
    </row>
    <row r="92" spans="1:16" s="14" customFormat="1" ht="19.899999999999999" customHeight="1" x14ac:dyDescent="0.25">
      <c r="A92" s="7" t="str">
        <f>IF('Master Sheet'!C93="Area 6 (Anitha P)",'Master Sheet'!A93,"")</f>
        <v>P091</v>
      </c>
      <c r="B92" s="10" t="str">
        <f>IF('Master Sheet'!C93="Area 6 (Anitha P)",'Master Sheet'!B93,"")</f>
        <v>Vijila Vineeth</v>
      </c>
      <c r="C92" t="s">
        <v>9</v>
      </c>
      <c r="D92" s="7">
        <f>IF('Master Sheet'!C93="Area 6 (Anitha P)",'Master Sheet'!D93,"")</f>
        <v>350</v>
      </c>
      <c r="E92" s="7">
        <f>IF('Master Sheet'!C93="Area 6 (Anitha P)",'Master Sheet'!E93,"")</f>
        <v>350</v>
      </c>
      <c r="F92" s="7">
        <f>IF('Master Sheet'!C93="Area 6 (Anitha P)",'Master Sheet'!F93,"")</f>
        <v>0</v>
      </c>
      <c r="G92" s="7">
        <f>IF('Master Sheet'!C93="Area 6 (Anitha P)",'Master Sheet'!G93,"")</f>
        <v>350</v>
      </c>
      <c r="H92" s="7">
        <f>IF('Master Sheet'!C93="Area 6 (Anitha P)",'Master Sheet'!H93,"")</f>
        <v>0</v>
      </c>
      <c r="I92" s="7">
        <f>IF('Master Sheet'!C93="Area 6 (Anitha P)",'Master Sheet'!I93,"")</f>
        <v>0</v>
      </c>
      <c r="J92" s="7">
        <f>IF('Master Sheet'!C93="Area 6 (Anitha P)",'Master Sheet'!J93,"")</f>
        <v>0</v>
      </c>
      <c r="K92" s="7">
        <f>IF('Master Sheet'!C93="Area 6 (Anitha P)",'Master Sheet'!K93,"")</f>
        <v>0</v>
      </c>
      <c r="L92" s="7">
        <f>IF('Master Sheet'!C93="Area 6 (Anitha P)",'Master Sheet'!L93,"")</f>
        <v>0</v>
      </c>
      <c r="M92" s="7">
        <f>IF('Master Sheet'!C93="Area 6 (Anitha P)",'Master Sheet'!M93,"")</f>
        <v>0</v>
      </c>
      <c r="N92" s="7">
        <f>IF('Master Sheet'!C93="Area 6 (Anitha P)",'Master Sheet'!N93,"")</f>
        <v>1050</v>
      </c>
      <c r="O92" s="24">
        <f>IF('Master Sheet'!C93="Area 6 (Anitha P)",'Master Sheet'!O93,"")</f>
        <v>2450</v>
      </c>
      <c r="P92" s="7" t="str">
        <f>IF('Master Sheet'!C93="Area 6 (Anitha P)",'Master Sheet'!P93,"")</f>
        <v>Pending</v>
      </c>
    </row>
    <row r="93" spans="1:16" s="14" customFormat="1" ht="19.899999999999999" customHeight="1" x14ac:dyDescent="0.25">
      <c r="A93" s="7" t="str">
        <f>IF('Master Sheet'!C94="Area 6 (Anitha P)",'Master Sheet'!A94,"")</f>
        <v>P092</v>
      </c>
      <c r="B93" s="10" t="str">
        <f>IF('Master Sheet'!C94="Area 6 (Anitha P)",'Master Sheet'!B94,"")</f>
        <v>Anju Anoj</v>
      </c>
      <c r="C93" t="s">
        <v>9</v>
      </c>
      <c r="D93" s="7">
        <f>IF('Master Sheet'!C94="Area 6 (Anitha P)",'Master Sheet'!D94,"")</f>
        <v>350</v>
      </c>
      <c r="E93" s="7">
        <f>IF('Master Sheet'!C94="Area 6 (Anitha P)",'Master Sheet'!E94,"")</f>
        <v>350</v>
      </c>
      <c r="F93" s="7">
        <f>IF('Master Sheet'!C94="Area 6 (Anitha P)",'Master Sheet'!F94,"")</f>
        <v>0</v>
      </c>
      <c r="G93" s="7">
        <f>IF('Master Sheet'!C94="Area 6 (Anitha P)",'Master Sheet'!G94,"")</f>
        <v>350</v>
      </c>
      <c r="H93" s="7">
        <f>IF('Master Sheet'!C94="Area 6 (Anitha P)",'Master Sheet'!H94,"")</f>
        <v>0</v>
      </c>
      <c r="I93" s="7">
        <f>IF('Master Sheet'!C94="Area 6 (Anitha P)",'Master Sheet'!I94,"")</f>
        <v>0</v>
      </c>
      <c r="J93" s="7">
        <f>IF('Master Sheet'!C94="Area 6 (Anitha P)",'Master Sheet'!J94,"")</f>
        <v>0</v>
      </c>
      <c r="K93" s="7">
        <f>IF('Master Sheet'!C94="Area 6 (Anitha P)",'Master Sheet'!K94,"")</f>
        <v>0</v>
      </c>
      <c r="L93" s="7">
        <f>IF('Master Sheet'!C94="Area 6 (Anitha P)",'Master Sheet'!L94,"")</f>
        <v>0</v>
      </c>
      <c r="M93" s="7">
        <f>IF('Master Sheet'!C94="Area 6 (Anitha P)",'Master Sheet'!M94,"")</f>
        <v>0</v>
      </c>
      <c r="N93" s="7">
        <f>IF('Master Sheet'!C94="Area 6 (Anitha P)",'Master Sheet'!N94,"")</f>
        <v>1050</v>
      </c>
      <c r="O93" s="24">
        <f>IF('Master Sheet'!C94="Area 6 (Anitha P)",'Master Sheet'!O94,"")</f>
        <v>2450</v>
      </c>
      <c r="P93" s="7" t="str">
        <f>IF('Master Sheet'!C94="Area 6 (Anitha P)",'Master Sheet'!P94,"")</f>
        <v>Pending</v>
      </c>
    </row>
    <row r="94" spans="1:16" s="14" customFormat="1" ht="19.899999999999999" customHeight="1" x14ac:dyDescent="0.25">
      <c r="A94" s="7" t="str">
        <f>IF('Master Sheet'!C95="Area 6 (Anitha P)",'Master Sheet'!A95,"")</f>
        <v>P093</v>
      </c>
      <c r="B94" s="10" t="str">
        <f>IF('Master Sheet'!C95="Area 6 (Anitha P)",'Master Sheet'!B95,"")</f>
        <v>Suma Rajesh</v>
      </c>
      <c r="C94" t="s">
        <v>9</v>
      </c>
      <c r="D94" s="7">
        <f>IF('Master Sheet'!C95="Area 6 (Anitha P)",'Master Sheet'!D95,"")</f>
        <v>350</v>
      </c>
      <c r="E94" s="7">
        <f>IF('Master Sheet'!C95="Area 6 (Anitha P)",'Master Sheet'!E95,"")</f>
        <v>350</v>
      </c>
      <c r="F94" s="7">
        <f>IF('Master Sheet'!C95="Area 6 (Anitha P)",'Master Sheet'!F95,"")</f>
        <v>350</v>
      </c>
      <c r="G94" s="7">
        <f>IF('Master Sheet'!C95="Area 6 (Anitha P)",'Master Sheet'!G95,"")</f>
        <v>350</v>
      </c>
      <c r="H94" s="7">
        <f>IF('Master Sheet'!C95="Area 6 (Anitha P)",'Master Sheet'!H95,"")</f>
        <v>0</v>
      </c>
      <c r="I94" s="7">
        <f>IF('Master Sheet'!C95="Area 6 (Anitha P)",'Master Sheet'!I95,"")</f>
        <v>0</v>
      </c>
      <c r="J94" s="7">
        <f>IF('Master Sheet'!C95="Area 6 (Anitha P)",'Master Sheet'!J95,"")</f>
        <v>0</v>
      </c>
      <c r="K94" s="7">
        <f>IF('Master Sheet'!C95="Area 6 (Anitha P)",'Master Sheet'!K95,"")</f>
        <v>0</v>
      </c>
      <c r="L94" s="7">
        <f>IF('Master Sheet'!C95="Area 6 (Anitha P)",'Master Sheet'!L95,"")</f>
        <v>0</v>
      </c>
      <c r="M94" s="7">
        <f>IF('Master Sheet'!C95="Area 6 (Anitha P)",'Master Sheet'!M95,"")</f>
        <v>0</v>
      </c>
      <c r="N94" s="7">
        <f>IF('Master Sheet'!C95="Area 6 (Anitha P)",'Master Sheet'!N95,"")</f>
        <v>1400</v>
      </c>
      <c r="O94" s="24">
        <f>IF('Master Sheet'!C95="Area 6 (Anitha P)",'Master Sheet'!O95,"")</f>
        <v>2100</v>
      </c>
      <c r="P94" s="7" t="str">
        <f>IF('Master Sheet'!C95="Area 6 (Anitha P)",'Master Sheet'!P95,"")</f>
        <v>Pending</v>
      </c>
    </row>
    <row r="95" spans="1:16" s="14" customFormat="1" ht="19.899999999999999" customHeight="1" x14ac:dyDescent="0.25">
      <c r="A95" s="7" t="str">
        <f>IF('Master Sheet'!C96="Area 6 (Anitha P)",'Master Sheet'!A96,"")</f>
        <v>P094</v>
      </c>
      <c r="B95" s="10" t="str">
        <f>IF('Master Sheet'!C96="Area 6 (Anitha P)",'Master Sheet'!B96,"")</f>
        <v>Savithri Madhu</v>
      </c>
      <c r="C95" t="s">
        <v>9</v>
      </c>
      <c r="D95" s="7">
        <f>IF('Master Sheet'!C96="Area 6 (Anitha P)",'Master Sheet'!D96,"")</f>
        <v>350</v>
      </c>
      <c r="E95" s="7">
        <f>IF('Master Sheet'!C96="Area 6 (Anitha P)",'Master Sheet'!E96,"")</f>
        <v>350</v>
      </c>
      <c r="F95" s="7">
        <f>IF('Master Sheet'!C96="Area 6 (Anitha P)",'Master Sheet'!F96,"")</f>
        <v>350</v>
      </c>
      <c r="G95" s="7">
        <f>IF('Master Sheet'!C96="Area 6 (Anitha P)",'Master Sheet'!G96,"")</f>
        <v>350</v>
      </c>
      <c r="H95" s="7">
        <f>IF('Master Sheet'!C96="Area 6 (Anitha P)",'Master Sheet'!H96,"")</f>
        <v>0</v>
      </c>
      <c r="I95" s="7">
        <f>IF('Master Sheet'!C96="Area 6 (Anitha P)",'Master Sheet'!I96,"")</f>
        <v>0</v>
      </c>
      <c r="J95" s="7">
        <f>IF('Master Sheet'!C96="Area 6 (Anitha P)",'Master Sheet'!J96,"")</f>
        <v>0</v>
      </c>
      <c r="K95" s="7">
        <f>IF('Master Sheet'!C96="Area 6 (Anitha P)",'Master Sheet'!K96,"")</f>
        <v>0</v>
      </c>
      <c r="L95" s="7">
        <f>IF('Master Sheet'!C96="Area 6 (Anitha P)",'Master Sheet'!L96,"")</f>
        <v>0</v>
      </c>
      <c r="M95" s="7">
        <f>IF('Master Sheet'!C96="Area 6 (Anitha P)",'Master Sheet'!M96,"")</f>
        <v>0</v>
      </c>
      <c r="N95" s="7">
        <f>IF('Master Sheet'!C96="Area 6 (Anitha P)",'Master Sheet'!N96,"")</f>
        <v>1400</v>
      </c>
      <c r="O95" s="24">
        <f>IF('Master Sheet'!C96="Area 6 (Anitha P)",'Master Sheet'!O96,"")</f>
        <v>2100</v>
      </c>
      <c r="P95" s="7" t="str">
        <f>IF('Master Sheet'!C96="Area 6 (Anitha P)",'Master Sheet'!P96,"")</f>
        <v>Pending</v>
      </c>
    </row>
    <row r="96" spans="1:16" s="14" customFormat="1" ht="19.899999999999999" customHeight="1" x14ac:dyDescent="0.25">
      <c r="A96" s="7" t="str">
        <f>IF('Master Sheet'!C97="Area 6 (Anitha P)",'Master Sheet'!A97,"")</f>
        <v>P095</v>
      </c>
      <c r="B96" s="10" t="str">
        <f>IF('Master Sheet'!C97="Area 6 (Anitha P)",'Master Sheet'!B97,"")</f>
        <v>Suma Prasad</v>
      </c>
      <c r="C96" t="s">
        <v>9</v>
      </c>
      <c r="D96" s="7">
        <f>IF('Master Sheet'!C97="Area 6 (Anitha P)",'Master Sheet'!D97,"")</f>
        <v>200</v>
      </c>
      <c r="E96" s="7">
        <f>IF('Master Sheet'!C97="Area 6 (Anitha P)",'Master Sheet'!E97,"")</f>
        <v>500</v>
      </c>
      <c r="F96" s="7">
        <f>IF('Master Sheet'!C97="Area 6 (Anitha P)",'Master Sheet'!F97,"")</f>
        <v>250</v>
      </c>
      <c r="G96" s="7">
        <f>IF('Master Sheet'!C97="Area 6 (Anitha P)",'Master Sheet'!G97,"")</f>
        <v>250</v>
      </c>
      <c r="H96" s="7">
        <f>IF('Master Sheet'!C97="Area 6 (Anitha P)",'Master Sheet'!H97,"")</f>
        <v>0</v>
      </c>
      <c r="I96" s="7">
        <f>IF('Master Sheet'!C97="Area 6 (Anitha P)",'Master Sheet'!I97,"")</f>
        <v>0</v>
      </c>
      <c r="J96" s="7">
        <f>IF('Master Sheet'!C97="Area 6 (Anitha P)",'Master Sheet'!J97,"")</f>
        <v>0</v>
      </c>
      <c r="K96" s="7">
        <f>IF('Master Sheet'!C97="Area 6 (Anitha P)",'Master Sheet'!K97,"")</f>
        <v>0</v>
      </c>
      <c r="L96" s="7">
        <f>IF('Master Sheet'!C97="Area 6 (Anitha P)",'Master Sheet'!L97,"")</f>
        <v>0</v>
      </c>
      <c r="M96" s="7">
        <f>IF('Master Sheet'!C97="Area 6 (Anitha P)",'Master Sheet'!M97,"")</f>
        <v>0</v>
      </c>
      <c r="N96" s="7">
        <f>IF('Master Sheet'!C97="Area 6 (Anitha P)",'Master Sheet'!N97,"")</f>
        <v>1200</v>
      </c>
      <c r="O96" s="24">
        <f>IF('Master Sheet'!C97="Area 6 (Anitha P)",'Master Sheet'!O97,"")</f>
        <v>2300</v>
      </c>
      <c r="P96" s="7" t="str">
        <f>IF('Master Sheet'!C97="Area 6 (Anitha P)",'Master Sheet'!P97,"")</f>
        <v>Pending</v>
      </c>
    </row>
    <row r="97" spans="1:16" s="14" customFormat="1" ht="19.899999999999999" customHeight="1" x14ac:dyDescent="0.25">
      <c r="A97" s="7" t="str">
        <f>IF('Master Sheet'!C98="Area 6 (Anitha P)",'Master Sheet'!A98,"")</f>
        <v>P096</v>
      </c>
      <c r="B97" s="10" t="str">
        <f>IF('Master Sheet'!C98="Area 6 (Anitha P)",'Master Sheet'!B98,"")</f>
        <v>Sruthi Rajesh</v>
      </c>
      <c r="C97" t="s">
        <v>9</v>
      </c>
      <c r="D97" s="7">
        <f>IF('Master Sheet'!C98="Area 6 (Anitha P)",'Master Sheet'!D98,"")</f>
        <v>0</v>
      </c>
      <c r="E97" s="7">
        <f>IF('Master Sheet'!C98="Area 6 (Anitha P)",'Master Sheet'!E98,"")</f>
        <v>500</v>
      </c>
      <c r="F97" s="7">
        <f>IF('Master Sheet'!C98="Area 6 (Anitha P)",'Master Sheet'!F98,"")</f>
        <v>0</v>
      </c>
      <c r="G97" s="7">
        <f>IF('Master Sheet'!C98="Area 6 (Anitha P)",'Master Sheet'!G98,"")</f>
        <v>0</v>
      </c>
      <c r="H97" s="7">
        <f>IF('Master Sheet'!C98="Area 6 (Anitha P)",'Master Sheet'!H98,"")</f>
        <v>0</v>
      </c>
      <c r="I97" s="7">
        <f>IF('Master Sheet'!C98="Area 6 (Anitha P)",'Master Sheet'!I98,"")</f>
        <v>0</v>
      </c>
      <c r="J97" s="7">
        <f>IF('Master Sheet'!C98="Area 6 (Anitha P)",'Master Sheet'!J98,"")</f>
        <v>0</v>
      </c>
      <c r="K97" s="7">
        <f>IF('Master Sheet'!C98="Area 6 (Anitha P)",'Master Sheet'!K98,"")</f>
        <v>0</v>
      </c>
      <c r="L97" s="7">
        <f>IF('Master Sheet'!C98="Area 6 (Anitha P)",'Master Sheet'!L98,"")</f>
        <v>0</v>
      </c>
      <c r="M97" s="7">
        <f>IF('Master Sheet'!C98="Area 6 (Anitha P)",'Master Sheet'!M98,"")</f>
        <v>0</v>
      </c>
      <c r="N97" s="7">
        <f>IF('Master Sheet'!C98="Area 6 (Anitha P)",'Master Sheet'!N98,"")</f>
        <v>500</v>
      </c>
      <c r="O97" s="24">
        <f>IF('Master Sheet'!C98="Area 6 (Anitha P)",'Master Sheet'!O98,"")</f>
        <v>3000</v>
      </c>
      <c r="P97" s="7" t="str">
        <f>IF('Master Sheet'!C98="Area 6 (Anitha P)",'Master Sheet'!P98,"")</f>
        <v>Pending</v>
      </c>
    </row>
    <row r="98" spans="1:16" s="14" customFormat="1" ht="19.899999999999999" customHeight="1" x14ac:dyDescent="0.25">
      <c r="A98" s="7" t="str">
        <f>IF('Master Sheet'!C99="Area 6 (Anitha P)",'Master Sheet'!A99,"")</f>
        <v>P097</v>
      </c>
      <c r="B98" s="10" t="str">
        <f>IF('Master Sheet'!C99="Area 6 (Anitha P)",'Master Sheet'!B99,"")</f>
        <v>Suraj</v>
      </c>
      <c r="C98" t="s">
        <v>9</v>
      </c>
      <c r="D98" s="7">
        <f>IF('Master Sheet'!C99="Area 6 (Anitha P)",'Master Sheet'!D99,"")</f>
        <v>0</v>
      </c>
      <c r="E98" s="7">
        <f>IF('Master Sheet'!C99="Area 6 (Anitha P)",'Master Sheet'!E99,"")</f>
        <v>0</v>
      </c>
      <c r="F98" s="7">
        <f>IF('Master Sheet'!C99="Area 6 (Anitha P)",'Master Sheet'!F99,"")</f>
        <v>0</v>
      </c>
      <c r="G98" s="7">
        <f>IF('Master Sheet'!C99="Area 6 (Anitha P)",'Master Sheet'!G99,"")</f>
        <v>0</v>
      </c>
      <c r="H98" s="7">
        <f>IF('Master Sheet'!C99="Area 6 (Anitha P)",'Master Sheet'!H99,"")</f>
        <v>0</v>
      </c>
      <c r="I98" s="7">
        <f>IF('Master Sheet'!C99="Area 6 (Anitha P)",'Master Sheet'!I99,"")</f>
        <v>0</v>
      </c>
      <c r="J98" s="7">
        <f>IF('Master Sheet'!C99="Area 6 (Anitha P)",'Master Sheet'!J99,"")</f>
        <v>0</v>
      </c>
      <c r="K98" s="7">
        <f>IF('Master Sheet'!C99="Area 6 (Anitha P)",'Master Sheet'!K99,"")</f>
        <v>0</v>
      </c>
      <c r="L98" s="7">
        <f>IF('Master Sheet'!C99="Area 6 (Anitha P)",'Master Sheet'!L99,"")</f>
        <v>0</v>
      </c>
      <c r="M98" s="7">
        <f>IF('Master Sheet'!C99="Area 6 (Anitha P)",'Master Sheet'!M99,"")</f>
        <v>0</v>
      </c>
      <c r="N98" s="7">
        <f>IF('Master Sheet'!C99="Area 6 (Anitha P)",'Master Sheet'!N99,"")</f>
        <v>0</v>
      </c>
      <c r="O98" s="24">
        <f>IF('Master Sheet'!C99="Area 6 (Anitha P)",'Master Sheet'!O99,"")</f>
        <v>3500</v>
      </c>
      <c r="P98" s="7" t="str">
        <f>IF('Master Sheet'!C99="Area 6 (Anitha P)",'Master Sheet'!P99,"")</f>
        <v>Pending</v>
      </c>
    </row>
    <row r="99" spans="1:16" s="14" customFormat="1" ht="19.899999999999999" customHeight="1" x14ac:dyDescent="0.25">
      <c r="A99" s="7" t="str">
        <f>IF('Master Sheet'!C100="Area 6 (Anitha P)",'Master Sheet'!A100,"")</f>
        <v>P098</v>
      </c>
      <c r="B99" s="10" t="str">
        <f>IF('Master Sheet'!C100="Area 6 (Anitha P)",'Master Sheet'!B100,"")</f>
        <v>Aji Pattakala</v>
      </c>
      <c r="C99" t="s">
        <v>9</v>
      </c>
      <c r="D99" s="7">
        <f>IF('Master Sheet'!C100="Area 6 (Anitha P)",'Master Sheet'!D100,"")</f>
        <v>100</v>
      </c>
      <c r="E99" s="7">
        <f>IF('Master Sheet'!C100="Area 6 (Anitha P)",'Master Sheet'!E100,"")</f>
        <v>0</v>
      </c>
      <c r="F99" s="7">
        <f>IF('Master Sheet'!C100="Area 6 (Anitha P)",'Master Sheet'!F100,"")</f>
        <v>500</v>
      </c>
      <c r="G99" s="7">
        <f>IF('Master Sheet'!C100="Area 6 (Anitha P)",'Master Sheet'!G100,"")</f>
        <v>0</v>
      </c>
      <c r="H99" s="7">
        <f>IF('Master Sheet'!C100="Area 6 (Anitha P)",'Master Sheet'!H100,"")</f>
        <v>0</v>
      </c>
      <c r="I99" s="7">
        <f>IF('Master Sheet'!C100="Area 6 (Anitha P)",'Master Sheet'!I100,"")</f>
        <v>0</v>
      </c>
      <c r="J99" s="7">
        <f>IF('Master Sheet'!C100="Area 6 (Anitha P)",'Master Sheet'!J100,"")</f>
        <v>0</v>
      </c>
      <c r="K99" s="7">
        <f>IF('Master Sheet'!C100="Area 6 (Anitha P)",'Master Sheet'!K100,"")</f>
        <v>0</v>
      </c>
      <c r="L99" s="7">
        <f>IF('Master Sheet'!C100="Area 6 (Anitha P)",'Master Sheet'!L100,"")</f>
        <v>0</v>
      </c>
      <c r="M99" s="7">
        <f>IF('Master Sheet'!C100="Area 6 (Anitha P)",'Master Sheet'!M100,"")</f>
        <v>0</v>
      </c>
      <c r="N99" s="7">
        <f>IF('Master Sheet'!C100="Area 6 (Anitha P)",'Master Sheet'!N100,"")</f>
        <v>600</v>
      </c>
      <c r="O99" s="24">
        <f>IF('Master Sheet'!C100="Area 6 (Anitha P)",'Master Sheet'!O100,"")</f>
        <v>2900</v>
      </c>
      <c r="P99" s="7" t="str">
        <f>IF('Master Sheet'!C100="Area 6 (Anitha P)",'Master Sheet'!P100,"")</f>
        <v>Pending</v>
      </c>
    </row>
    <row r="100" spans="1:16" s="14" customFormat="1" ht="19.899999999999999" customHeight="1" x14ac:dyDescent="0.25">
      <c r="A100" s="7" t="str">
        <f>IF('Master Sheet'!C101="Area 6 (Anitha P)",'Master Sheet'!A101,"")</f>
        <v>P099</v>
      </c>
      <c r="B100" s="10" t="str">
        <f>IF('Master Sheet'!C101="Area 6 (Anitha P)",'Master Sheet'!B101,"")</f>
        <v>Sereelatha Manu</v>
      </c>
      <c r="C100" t="s">
        <v>9</v>
      </c>
      <c r="D100" s="7">
        <f>IF('Master Sheet'!C101="Area 6 (Anitha P)",'Master Sheet'!D101,"")</f>
        <v>350</v>
      </c>
      <c r="E100" s="7">
        <f>IF('Master Sheet'!C101="Area 6 (Anitha P)",'Master Sheet'!E101,"")</f>
        <v>700</v>
      </c>
      <c r="F100" s="7">
        <f>IF('Master Sheet'!C101="Area 6 (Anitha P)",'Master Sheet'!F101,"")</f>
        <v>0</v>
      </c>
      <c r="G100" s="7">
        <f>IF('Master Sheet'!C101="Area 6 (Anitha P)",'Master Sheet'!G101,"")</f>
        <v>0</v>
      </c>
      <c r="H100" s="7">
        <f>IF('Master Sheet'!C101="Area 6 (Anitha P)",'Master Sheet'!H101,"")</f>
        <v>0</v>
      </c>
      <c r="I100" s="7">
        <f>IF('Master Sheet'!C101="Area 6 (Anitha P)",'Master Sheet'!I101,"")</f>
        <v>0</v>
      </c>
      <c r="J100" s="7">
        <f>IF('Master Sheet'!C101="Area 6 (Anitha P)",'Master Sheet'!J101,"")</f>
        <v>0</v>
      </c>
      <c r="K100" s="7">
        <f>IF('Master Sheet'!C101="Area 6 (Anitha P)",'Master Sheet'!K101,"")</f>
        <v>0</v>
      </c>
      <c r="L100" s="7">
        <f>IF('Master Sheet'!C101="Area 6 (Anitha P)",'Master Sheet'!L101,"")</f>
        <v>0</v>
      </c>
      <c r="M100" s="7">
        <f>IF('Master Sheet'!C101="Area 6 (Anitha P)",'Master Sheet'!M101,"")</f>
        <v>0</v>
      </c>
      <c r="N100" s="7">
        <f>IF('Master Sheet'!C101="Area 6 (Anitha P)",'Master Sheet'!N101,"")</f>
        <v>1050</v>
      </c>
      <c r="O100" s="24">
        <f>IF('Master Sheet'!C101="Area 6 (Anitha P)",'Master Sheet'!O101,"")</f>
        <v>2450</v>
      </c>
      <c r="P100" s="7" t="str">
        <f>IF('Master Sheet'!C101="Area 6 (Anitha P)",'Master Sheet'!P101,"")</f>
        <v>Pending</v>
      </c>
    </row>
    <row r="101" spans="1:16" s="14" customFormat="1" ht="19.899999999999999" customHeight="1" x14ac:dyDescent="0.25">
      <c r="A101" s="7" t="str">
        <f>IF('Master Sheet'!C102="Area 6 (Anitha P)",'Master Sheet'!A102,"")</f>
        <v>P100</v>
      </c>
      <c r="B101" s="10" t="str">
        <f>IF('Master Sheet'!C102="Area 6 (Anitha P)",'Master Sheet'!B102,"")</f>
        <v>Athira Manoj</v>
      </c>
      <c r="C101" t="s">
        <v>9</v>
      </c>
      <c r="D101" s="7">
        <f>IF('Master Sheet'!C102="Area 6 (Anitha P)",'Master Sheet'!D102,"")</f>
        <v>0</v>
      </c>
      <c r="E101" s="7">
        <f>IF('Master Sheet'!C102="Area 6 (Anitha P)",'Master Sheet'!E102,"")</f>
        <v>0</v>
      </c>
      <c r="F101" s="7">
        <f>IF('Master Sheet'!C102="Area 6 (Anitha P)",'Master Sheet'!F102,"")</f>
        <v>1050</v>
      </c>
      <c r="G101" s="7">
        <f>IF('Master Sheet'!C102="Area 6 (Anitha P)",'Master Sheet'!G102,"")</f>
        <v>500</v>
      </c>
      <c r="H101" s="7">
        <f>IF('Master Sheet'!C102="Area 6 (Anitha P)",'Master Sheet'!H102,"")</f>
        <v>0</v>
      </c>
      <c r="I101" s="7">
        <f>IF('Master Sheet'!C102="Area 6 (Anitha P)",'Master Sheet'!I102,"")</f>
        <v>0</v>
      </c>
      <c r="J101" s="7">
        <f>IF('Master Sheet'!C102="Area 6 (Anitha P)",'Master Sheet'!J102,"")</f>
        <v>0</v>
      </c>
      <c r="K101" s="7">
        <f>IF('Master Sheet'!C102="Area 6 (Anitha P)",'Master Sheet'!K102,"")</f>
        <v>0</v>
      </c>
      <c r="L101" s="7">
        <f>IF('Master Sheet'!C102="Area 6 (Anitha P)",'Master Sheet'!L102,"")</f>
        <v>0</v>
      </c>
      <c r="M101" s="7">
        <f>IF('Master Sheet'!C102="Area 6 (Anitha P)",'Master Sheet'!M102,"")</f>
        <v>0</v>
      </c>
      <c r="N101" s="7">
        <f>IF('Master Sheet'!C102="Area 6 (Anitha P)",'Master Sheet'!N102,"")</f>
        <v>1550</v>
      </c>
      <c r="O101" s="24">
        <f>IF('Master Sheet'!C102="Area 6 (Anitha P)",'Master Sheet'!O102,"")</f>
        <v>1950</v>
      </c>
      <c r="P101" s="7" t="str">
        <f>IF('Master Sheet'!C102="Area 6 (Anitha P)",'Master Sheet'!P102,"")</f>
        <v>Pending</v>
      </c>
    </row>
    <row r="102" spans="1:16" hidden="1" x14ac:dyDescent="0.25">
      <c r="A102" t="str">
        <f>IF('Master Sheet'!C103="Area 6 (Anitha P)",'Master Sheet'!A103,"")</f>
        <v/>
      </c>
      <c r="B102" t="str">
        <f>IF('Master Sheet'!C103="Area 6 (Anitha P)",'Master Sheet'!B103,"")</f>
        <v/>
      </c>
      <c r="C102" t="s">
        <v>9</v>
      </c>
      <c r="D102" t="str">
        <f>IF('Master Sheet'!C103="Area 6 (Anitha P)",'Master Sheet'!D103,"")</f>
        <v/>
      </c>
      <c r="E102" t="str">
        <f>IF('Master Sheet'!C103="Area 6 (Anitha P)",'Master Sheet'!E103,"")</f>
        <v/>
      </c>
      <c r="F102" t="str">
        <f>IF('Master Sheet'!C103="Area 6 (Anitha P)",'Master Sheet'!F103,"")</f>
        <v/>
      </c>
      <c r="G102" t="str">
        <f>IF('Master Sheet'!C103="Area 6 (Anitha P)",'Master Sheet'!G103,"")</f>
        <v/>
      </c>
      <c r="H102" t="str">
        <f>IF('Master Sheet'!C103="Area 6 (Anitha P)",'Master Sheet'!H103,"")</f>
        <v/>
      </c>
      <c r="I102" t="str">
        <f>IF('Master Sheet'!C103="Area 6 (Anitha P)",'Master Sheet'!I103,"")</f>
        <v/>
      </c>
      <c r="J102" t="str">
        <f>IF('Master Sheet'!C103="Area 6 (Anitha P)",'Master Sheet'!J103,"")</f>
        <v/>
      </c>
      <c r="K102" t="str">
        <f>IF('Master Sheet'!C103="Area 6 (Anitha P)",'Master Sheet'!K103,"")</f>
        <v/>
      </c>
      <c r="L102" t="str">
        <f>IF('Master Sheet'!C103="Area 6 (Anitha P)",'Master Sheet'!L103,"")</f>
        <v/>
      </c>
      <c r="M102" t="str">
        <f>IF('Master Sheet'!C103="Area 6 (Anitha P)",'Master Sheet'!M103,"")</f>
        <v/>
      </c>
      <c r="N102" t="str">
        <f>IF('Master Sheet'!C103="Area 6 (Anitha P)",'Master Sheet'!N103,"")</f>
        <v/>
      </c>
      <c r="O102" t="str">
        <f>IF('Master Sheet'!C103="Area 6 (Anitha P)",'Master Sheet'!O103,"")</f>
        <v/>
      </c>
      <c r="P102" t="str">
        <f>IF('Master Sheet'!C103="Area 6 (Anitha P)",'Master Sheet'!P103,"")</f>
        <v/>
      </c>
    </row>
    <row r="103" spans="1:16" hidden="1" x14ac:dyDescent="0.25">
      <c r="A103" t="str">
        <f>IF('Master Sheet'!C104="Area 6 (Anitha P)",'Master Sheet'!A104,"")</f>
        <v/>
      </c>
      <c r="B103" t="str">
        <f>IF('Master Sheet'!C104="Area 6 (Anitha P)",'Master Sheet'!B104,"")</f>
        <v/>
      </c>
      <c r="C103" t="s">
        <v>9</v>
      </c>
      <c r="D103" t="str">
        <f>IF('Master Sheet'!C104="Area 6 (Anitha P)",'Master Sheet'!D104,"")</f>
        <v/>
      </c>
      <c r="E103" t="str">
        <f>IF('Master Sheet'!C104="Area 6 (Anitha P)",'Master Sheet'!E104,"")</f>
        <v/>
      </c>
      <c r="F103" t="str">
        <f>IF('Master Sheet'!C104="Area 6 (Anitha P)",'Master Sheet'!F104,"")</f>
        <v/>
      </c>
      <c r="G103" t="str">
        <f>IF('Master Sheet'!C104="Area 6 (Anitha P)",'Master Sheet'!G104,"")</f>
        <v/>
      </c>
      <c r="H103" t="str">
        <f>IF('Master Sheet'!C104="Area 6 (Anitha P)",'Master Sheet'!H104,"")</f>
        <v/>
      </c>
      <c r="I103" t="str">
        <f>IF('Master Sheet'!C104="Area 6 (Anitha P)",'Master Sheet'!I104,"")</f>
        <v/>
      </c>
      <c r="J103" t="str">
        <f>IF('Master Sheet'!C104="Area 6 (Anitha P)",'Master Sheet'!J104,"")</f>
        <v/>
      </c>
      <c r="K103" t="str">
        <f>IF('Master Sheet'!C104="Area 6 (Anitha P)",'Master Sheet'!K104,"")</f>
        <v/>
      </c>
      <c r="L103" t="str">
        <f>IF('Master Sheet'!C104="Area 6 (Anitha P)",'Master Sheet'!L104,"")</f>
        <v/>
      </c>
      <c r="M103" t="str">
        <f>IF('Master Sheet'!C104="Area 6 (Anitha P)",'Master Sheet'!M104,"")</f>
        <v/>
      </c>
      <c r="N103" t="str">
        <f>IF('Master Sheet'!C104="Area 6 (Anitha P)",'Master Sheet'!N104,"")</f>
        <v/>
      </c>
      <c r="O103" t="str">
        <f>IF('Master Sheet'!C104="Area 6 (Anitha P)",'Master Sheet'!O104,"")</f>
        <v/>
      </c>
      <c r="P103" t="str">
        <f>IF('Master Sheet'!C104="Area 6 (Anitha P)",'Master Sheet'!P104,"")</f>
        <v/>
      </c>
    </row>
    <row r="104" spans="1:16" hidden="1" x14ac:dyDescent="0.25">
      <c r="A104" t="str">
        <f>IF('Master Sheet'!C105="Area 6 (Anitha P)",'Master Sheet'!A105,"")</f>
        <v/>
      </c>
      <c r="B104" t="str">
        <f>IF('Master Sheet'!C105="Area 6 (Anitha P)",'Master Sheet'!B105,"")</f>
        <v/>
      </c>
      <c r="C104" t="s">
        <v>9</v>
      </c>
      <c r="D104" t="str">
        <f>IF('Master Sheet'!C105="Area 6 (Anitha P)",'Master Sheet'!D105,"")</f>
        <v/>
      </c>
      <c r="E104" t="str">
        <f>IF('Master Sheet'!C105="Area 6 (Anitha P)",'Master Sheet'!E105,"")</f>
        <v/>
      </c>
      <c r="F104" t="str">
        <f>IF('Master Sheet'!C105="Area 6 (Anitha P)",'Master Sheet'!F105,"")</f>
        <v/>
      </c>
      <c r="G104" t="str">
        <f>IF('Master Sheet'!C105="Area 6 (Anitha P)",'Master Sheet'!G105,"")</f>
        <v/>
      </c>
      <c r="H104" t="str">
        <f>IF('Master Sheet'!C105="Area 6 (Anitha P)",'Master Sheet'!H105,"")</f>
        <v/>
      </c>
      <c r="I104" t="str">
        <f>IF('Master Sheet'!C105="Area 6 (Anitha P)",'Master Sheet'!I105,"")</f>
        <v/>
      </c>
      <c r="J104" t="str">
        <f>IF('Master Sheet'!C105="Area 6 (Anitha P)",'Master Sheet'!J105,"")</f>
        <v/>
      </c>
      <c r="K104" t="str">
        <f>IF('Master Sheet'!C105="Area 6 (Anitha P)",'Master Sheet'!K105,"")</f>
        <v/>
      </c>
      <c r="L104" t="str">
        <f>IF('Master Sheet'!C105="Area 6 (Anitha P)",'Master Sheet'!L105,"")</f>
        <v/>
      </c>
      <c r="M104" t="str">
        <f>IF('Master Sheet'!C105="Area 6 (Anitha P)",'Master Sheet'!M105,"")</f>
        <v/>
      </c>
      <c r="N104" t="str">
        <f>IF('Master Sheet'!C105="Area 6 (Anitha P)",'Master Sheet'!N105,"")</f>
        <v/>
      </c>
      <c r="O104" t="str">
        <f>IF('Master Sheet'!C105="Area 6 (Anitha P)",'Master Sheet'!O105,"")</f>
        <v/>
      </c>
      <c r="P104" t="str">
        <f>IF('Master Sheet'!C105="Area 6 (Anitha P)",'Master Sheet'!P105,"")</f>
        <v/>
      </c>
    </row>
    <row r="105" spans="1:16" hidden="1" x14ac:dyDescent="0.25">
      <c r="A105" t="str">
        <f>IF('Master Sheet'!C106="Area 6 (Anitha P)",'Master Sheet'!A106,"")</f>
        <v/>
      </c>
      <c r="B105" t="str">
        <f>IF('Master Sheet'!C106="Area 6 (Anitha P)",'Master Sheet'!B106,"")</f>
        <v/>
      </c>
      <c r="C105" t="s">
        <v>9</v>
      </c>
      <c r="D105" t="str">
        <f>IF('Master Sheet'!C106="Area 6 (Anitha P)",'Master Sheet'!D106,"")</f>
        <v/>
      </c>
      <c r="E105" t="str">
        <f>IF('Master Sheet'!C106="Area 6 (Anitha P)",'Master Sheet'!E106,"")</f>
        <v/>
      </c>
      <c r="F105" t="str">
        <f>IF('Master Sheet'!C106="Area 6 (Anitha P)",'Master Sheet'!F106,"")</f>
        <v/>
      </c>
      <c r="G105" t="str">
        <f>IF('Master Sheet'!C106="Area 6 (Anitha P)",'Master Sheet'!G106,"")</f>
        <v/>
      </c>
      <c r="H105" t="str">
        <f>IF('Master Sheet'!C106="Area 6 (Anitha P)",'Master Sheet'!H106,"")</f>
        <v/>
      </c>
      <c r="I105" t="str">
        <f>IF('Master Sheet'!C106="Area 6 (Anitha P)",'Master Sheet'!I106,"")</f>
        <v/>
      </c>
      <c r="J105" t="str">
        <f>IF('Master Sheet'!C106="Area 6 (Anitha P)",'Master Sheet'!J106,"")</f>
        <v/>
      </c>
      <c r="K105" t="str">
        <f>IF('Master Sheet'!C106="Area 6 (Anitha P)",'Master Sheet'!K106,"")</f>
        <v/>
      </c>
      <c r="L105" t="str">
        <f>IF('Master Sheet'!C106="Area 6 (Anitha P)",'Master Sheet'!L106,"")</f>
        <v/>
      </c>
      <c r="M105" t="str">
        <f>IF('Master Sheet'!C106="Area 6 (Anitha P)",'Master Sheet'!M106,"")</f>
        <v/>
      </c>
      <c r="N105" t="str">
        <f>IF('Master Sheet'!C106="Area 6 (Anitha P)",'Master Sheet'!N106,"")</f>
        <v/>
      </c>
      <c r="O105" t="str">
        <f>IF('Master Sheet'!C106="Area 6 (Anitha P)",'Master Sheet'!O106,"")</f>
        <v/>
      </c>
      <c r="P105" t="str">
        <f>IF('Master Sheet'!C106="Area 6 (Anitha P)",'Master Sheet'!P106,"")</f>
        <v/>
      </c>
    </row>
    <row r="106" spans="1:16" hidden="1" x14ac:dyDescent="0.25">
      <c r="A106" t="str">
        <f>IF('Master Sheet'!C107="Area 6 (Anitha P)",'Master Sheet'!A107,"")</f>
        <v/>
      </c>
      <c r="B106" t="str">
        <f>IF('Master Sheet'!C107="Area 6 (Anitha P)",'Master Sheet'!B107,"")</f>
        <v/>
      </c>
      <c r="C106" t="s">
        <v>9</v>
      </c>
      <c r="D106" t="str">
        <f>IF('Master Sheet'!C107="Area 6 (Anitha P)",'Master Sheet'!D107,"")</f>
        <v/>
      </c>
      <c r="E106" t="str">
        <f>IF('Master Sheet'!C107="Area 6 (Anitha P)",'Master Sheet'!E107,"")</f>
        <v/>
      </c>
      <c r="F106" t="str">
        <f>IF('Master Sheet'!C107="Area 6 (Anitha P)",'Master Sheet'!F107,"")</f>
        <v/>
      </c>
      <c r="G106" t="str">
        <f>IF('Master Sheet'!C107="Area 6 (Anitha P)",'Master Sheet'!G107,"")</f>
        <v/>
      </c>
      <c r="H106" t="str">
        <f>IF('Master Sheet'!C107="Area 6 (Anitha P)",'Master Sheet'!H107,"")</f>
        <v/>
      </c>
      <c r="I106" t="str">
        <f>IF('Master Sheet'!C107="Area 6 (Anitha P)",'Master Sheet'!I107,"")</f>
        <v/>
      </c>
      <c r="J106" t="str">
        <f>IF('Master Sheet'!C107="Area 6 (Anitha P)",'Master Sheet'!J107,"")</f>
        <v/>
      </c>
      <c r="K106" t="str">
        <f>IF('Master Sheet'!C107="Area 6 (Anitha P)",'Master Sheet'!K107,"")</f>
        <v/>
      </c>
      <c r="L106" t="str">
        <f>IF('Master Sheet'!C107="Area 6 (Anitha P)",'Master Sheet'!L107,"")</f>
        <v/>
      </c>
      <c r="M106" t="str">
        <f>IF('Master Sheet'!C107="Area 6 (Anitha P)",'Master Sheet'!M107,"")</f>
        <v/>
      </c>
      <c r="N106" t="str">
        <f>IF('Master Sheet'!C107="Area 6 (Anitha P)",'Master Sheet'!N107,"")</f>
        <v/>
      </c>
      <c r="O106" t="str">
        <f>IF('Master Sheet'!C107="Area 6 (Anitha P)",'Master Sheet'!O107,"")</f>
        <v/>
      </c>
      <c r="P106" t="str">
        <f>IF('Master Sheet'!C107="Area 6 (Anitha P)",'Master Sheet'!P107,"")</f>
        <v/>
      </c>
    </row>
    <row r="107" spans="1:16" hidden="1" x14ac:dyDescent="0.25">
      <c r="A107" t="str">
        <f>IF('Master Sheet'!C108="Area 6 (Anitha P)",'Master Sheet'!A108,"")</f>
        <v/>
      </c>
      <c r="B107" t="str">
        <f>IF('Master Sheet'!C108="Area 6 (Anitha P)",'Master Sheet'!B108,"")</f>
        <v/>
      </c>
      <c r="C107" t="s">
        <v>9</v>
      </c>
      <c r="D107" t="str">
        <f>IF('Master Sheet'!C108="Area 6 (Anitha P)",'Master Sheet'!D108,"")</f>
        <v/>
      </c>
      <c r="E107" t="str">
        <f>IF('Master Sheet'!C108="Area 6 (Anitha P)",'Master Sheet'!E108,"")</f>
        <v/>
      </c>
      <c r="F107" t="str">
        <f>IF('Master Sheet'!C108="Area 6 (Anitha P)",'Master Sheet'!F108,"")</f>
        <v/>
      </c>
      <c r="G107" t="str">
        <f>IF('Master Sheet'!C108="Area 6 (Anitha P)",'Master Sheet'!G108,"")</f>
        <v/>
      </c>
      <c r="H107" t="str">
        <f>IF('Master Sheet'!C108="Area 6 (Anitha P)",'Master Sheet'!H108,"")</f>
        <v/>
      </c>
      <c r="I107" t="str">
        <f>IF('Master Sheet'!C108="Area 6 (Anitha P)",'Master Sheet'!I108,"")</f>
        <v/>
      </c>
      <c r="J107" t="str">
        <f>IF('Master Sheet'!C108="Area 6 (Anitha P)",'Master Sheet'!J108,"")</f>
        <v/>
      </c>
      <c r="K107" t="str">
        <f>IF('Master Sheet'!C108="Area 6 (Anitha P)",'Master Sheet'!K108,"")</f>
        <v/>
      </c>
      <c r="L107" t="str">
        <f>IF('Master Sheet'!C108="Area 6 (Anitha P)",'Master Sheet'!L108,"")</f>
        <v/>
      </c>
      <c r="M107" t="str">
        <f>IF('Master Sheet'!C108="Area 6 (Anitha P)",'Master Sheet'!M108,"")</f>
        <v/>
      </c>
      <c r="N107" t="str">
        <f>IF('Master Sheet'!C108="Area 6 (Anitha P)",'Master Sheet'!N108,"")</f>
        <v/>
      </c>
      <c r="O107" t="str">
        <f>IF('Master Sheet'!C108="Area 6 (Anitha P)",'Master Sheet'!O108,"")</f>
        <v/>
      </c>
      <c r="P107" t="str">
        <f>IF('Master Sheet'!C108="Area 6 (Anitha P)",'Master Sheet'!P108,"")</f>
        <v/>
      </c>
    </row>
    <row r="108" spans="1:16" hidden="1" x14ac:dyDescent="0.25">
      <c r="A108" t="str">
        <f>IF('Master Sheet'!C109="Area 6 (Anitha P)",'Master Sheet'!A109,"")</f>
        <v/>
      </c>
      <c r="B108" t="str">
        <f>IF('Master Sheet'!C109="Area 6 (Anitha P)",'Master Sheet'!B109,"")</f>
        <v/>
      </c>
      <c r="C108" t="s">
        <v>9</v>
      </c>
      <c r="D108" t="str">
        <f>IF('Master Sheet'!C109="Area 6 (Anitha P)",'Master Sheet'!D109,"")</f>
        <v/>
      </c>
      <c r="E108" t="str">
        <f>IF('Master Sheet'!C109="Area 6 (Anitha P)",'Master Sheet'!E109,"")</f>
        <v/>
      </c>
      <c r="F108" t="str">
        <f>IF('Master Sheet'!C109="Area 6 (Anitha P)",'Master Sheet'!F109,"")</f>
        <v/>
      </c>
      <c r="G108" t="str">
        <f>IF('Master Sheet'!C109="Area 6 (Anitha P)",'Master Sheet'!G109,"")</f>
        <v/>
      </c>
      <c r="H108" t="str">
        <f>IF('Master Sheet'!C109="Area 6 (Anitha P)",'Master Sheet'!H109,"")</f>
        <v/>
      </c>
      <c r="I108" t="str">
        <f>IF('Master Sheet'!C109="Area 6 (Anitha P)",'Master Sheet'!I109,"")</f>
        <v/>
      </c>
      <c r="J108" t="str">
        <f>IF('Master Sheet'!C109="Area 6 (Anitha P)",'Master Sheet'!J109,"")</f>
        <v/>
      </c>
      <c r="K108" t="str">
        <f>IF('Master Sheet'!C109="Area 6 (Anitha P)",'Master Sheet'!K109,"")</f>
        <v/>
      </c>
      <c r="L108" t="str">
        <f>IF('Master Sheet'!C109="Area 6 (Anitha P)",'Master Sheet'!L109,"")</f>
        <v/>
      </c>
      <c r="M108" t="str">
        <f>IF('Master Sheet'!C109="Area 6 (Anitha P)",'Master Sheet'!M109,"")</f>
        <v/>
      </c>
      <c r="N108" t="str">
        <f>IF('Master Sheet'!C109="Area 6 (Anitha P)",'Master Sheet'!N109,"")</f>
        <v/>
      </c>
      <c r="O108" t="str">
        <f>IF('Master Sheet'!C109="Area 6 (Anitha P)",'Master Sheet'!O109,"")</f>
        <v/>
      </c>
      <c r="P108" t="str">
        <f>IF('Master Sheet'!C109="Area 6 (Anitha P)",'Master Sheet'!P109,"")</f>
        <v/>
      </c>
    </row>
    <row r="109" spans="1:16" hidden="1" x14ac:dyDescent="0.25">
      <c r="A109" t="str">
        <f>IF('Master Sheet'!C110="Area 6 (Anitha P)",'Master Sheet'!A110,"")</f>
        <v/>
      </c>
      <c r="B109" t="str">
        <f>IF('Master Sheet'!C110="Area 6 (Anitha P)",'Master Sheet'!B110,"")</f>
        <v/>
      </c>
      <c r="C109" t="s">
        <v>9</v>
      </c>
      <c r="D109" t="str">
        <f>IF('Master Sheet'!C110="Area 6 (Anitha P)",'Master Sheet'!D110,"")</f>
        <v/>
      </c>
      <c r="E109" t="str">
        <f>IF('Master Sheet'!C110="Area 6 (Anitha P)",'Master Sheet'!E110,"")</f>
        <v/>
      </c>
      <c r="F109" t="str">
        <f>IF('Master Sheet'!C110="Area 6 (Anitha P)",'Master Sheet'!F110,"")</f>
        <v/>
      </c>
      <c r="G109" t="str">
        <f>IF('Master Sheet'!C110="Area 6 (Anitha P)",'Master Sheet'!G110,"")</f>
        <v/>
      </c>
      <c r="H109" t="str">
        <f>IF('Master Sheet'!C110="Area 6 (Anitha P)",'Master Sheet'!H110,"")</f>
        <v/>
      </c>
      <c r="I109" t="str">
        <f>IF('Master Sheet'!C110="Area 6 (Anitha P)",'Master Sheet'!I110,"")</f>
        <v/>
      </c>
      <c r="J109" t="str">
        <f>IF('Master Sheet'!C110="Area 6 (Anitha P)",'Master Sheet'!J110,"")</f>
        <v/>
      </c>
      <c r="K109" t="str">
        <f>IF('Master Sheet'!C110="Area 6 (Anitha P)",'Master Sheet'!K110,"")</f>
        <v/>
      </c>
      <c r="L109" t="str">
        <f>IF('Master Sheet'!C110="Area 6 (Anitha P)",'Master Sheet'!L110,"")</f>
        <v/>
      </c>
      <c r="M109" t="str">
        <f>IF('Master Sheet'!C110="Area 6 (Anitha P)",'Master Sheet'!M110,"")</f>
        <v/>
      </c>
      <c r="N109" t="str">
        <f>IF('Master Sheet'!C110="Area 6 (Anitha P)",'Master Sheet'!N110,"")</f>
        <v/>
      </c>
      <c r="O109" t="str">
        <f>IF('Master Sheet'!C110="Area 6 (Anitha P)",'Master Sheet'!O110,"")</f>
        <v/>
      </c>
      <c r="P109" t="str">
        <f>IF('Master Sheet'!C110="Area 6 (Anitha P)",'Master Sheet'!P110,"")</f>
        <v/>
      </c>
    </row>
    <row r="110" spans="1:16" hidden="1" x14ac:dyDescent="0.25">
      <c r="A110" t="str">
        <f>IF('Master Sheet'!C111="Area 6 (Anitha P)",'Master Sheet'!A111,"")</f>
        <v/>
      </c>
      <c r="B110" t="str">
        <f>IF('Master Sheet'!C111="Area 6 (Anitha P)",'Master Sheet'!B111,"")</f>
        <v/>
      </c>
      <c r="C110" t="s">
        <v>9</v>
      </c>
      <c r="D110" t="str">
        <f>IF('Master Sheet'!C111="Area 6 (Anitha P)",'Master Sheet'!D111,"")</f>
        <v/>
      </c>
      <c r="E110" t="str">
        <f>IF('Master Sheet'!C111="Area 6 (Anitha P)",'Master Sheet'!E111,"")</f>
        <v/>
      </c>
      <c r="F110" t="str">
        <f>IF('Master Sheet'!C111="Area 6 (Anitha P)",'Master Sheet'!F111,"")</f>
        <v/>
      </c>
      <c r="G110" t="str">
        <f>IF('Master Sheet'!C111="Area 6 (Anitha P)",'Master Sheet'!G111,"")</f>
        <v/>
      </c>
      <c r="H110" t="str">
        <f>IF('Master Sheet'!C111="Area 6 (Anitha P)",'Master Sheet'!H111,"")</f>
        <v/>
      </c>
      <c r="I110" t="str">
        <f>IF('Master Sheet'!C111="Area 6 (Anitha P)",'Master Sheet'!I111,"")</f>
        <v/>
      </c>
      <c r="J110" t="str">
        <f>IF('Master Sheet'!C111="Area 6 (Anitha P)",'Master Sheet'!J111,"")</f>
        <v/>
      </c>
      <c r="K110" t="str">
        <f>IF('Master Sheet'!C111="Area 6 (Anitha P)",'Master Sheet'!K111,"")</f>
        <v/>
      </c>
      <c r="L110" t="str">
        <f>IF('Master Sheet'!C111="Area 6 (Anitha P)",'Master Sheet'!L111,"")</f>
        <v/>
      </c>
      <c r="M110" t="str">
        <f>IF('Master Sheet'!C111="Area 6 (Anitha P)",'Master Sheet'!M111,"")</f>
        <v/>
      </c>
      <c r="N110" t="str">
        <f>IF('Master Sheet'!C111="Area 6 (Anitha P)",'Master Sheet'!N111,"")</f>
        <v/>
      </c>
      <c r="O110" t="str">
        <f>IF('Master Sheet'!C111="Area 6 (Anitha P)",'Master Sheet'!O111,"")</f>
        <v/>
      </c>
      <c r="P110" t="str">
        <f>IF('Master Sheet'!C111="Area 6 (Anitha P)",'Master Sheet'!P111,"")</f>
        <v/>
      </c>
    </row>
    <row r="111" spans="1:16" hidden="1" x14ac:dyDescent="0.25">
      <c r="A111" t="str">
        <f>IF('Master Sheet'!C112="Area 6 (Anitha P)",'Master Sheet'!A112,"")</f>
        <v/>
      </c>
      <c r="B111" t="str">
        <f>IF('Master Sheet'!C112="Area 6 (Anitha P)",'Master Sheet'!B112,"")</f>
        <v/>
      </c>
      <c r="C111" t="s">
        <v>9</v>
      </c>
      <c r="D111" t="str">
        <f>IF('Master Sheet'!C112="Area 6 (Anitha P)",'Master Sheet'!D112,"")</f>
        <v/>
      </c>
      <c r="E111" t="str">
        <f>IF('Master Sheet'!C112="Area 6 (Anitha P)",'Master Sheet'!E112,"")</f>
        <v/>
      </c>
      <c r="F111" t="str">
        <f>IF('Master Sheet'!C112="Area 6 (Anitha P)",'Master Sheet'!F112,"")</f>
        <v/>
      </c>
      <c r="G111" t="str">
        <f>IF('Master Sheet'!C112="Area 6 (Anitha P)",'Master Sheet'!G112,"")</f>
        <v/>
      </c>
      <c r="H111" t="str">
        <f>IF('Master Sheet'!C112="Area 6 (Anitha P)",'Master Sheet'!H112,"")</f>
        <v/>
      </c>
      <c r="I111" t="str">
        <f>IF('Master Sheet'!C112="Area 6 (Anitha P)",'Master Sheet'!I112,"")</f>
        <v/>
      </c>
      <c r="J111" t="str">
        <f>IF('Master Sheet'!C112="Area 6 (Anitha P)",'Master Sheet'!J112,"")</f>
        <v/>
      </c>
      <c r="K111" t="str">
        <f>IF('Master Sheet'!C112="Area 6 (Anitha P)",'Master Sheet'!K112,"")</f>
        <v/>
      </c>
      <c r="L111" t="str">
        <f>IF('Master Sheet'!C112="Area 6 (Anitha P)",'Master Sheet'!L112,"")</f>
        <v/>
      </c>
      <c r="M111" t="str">
        <f>IF('Master Sheet'!C112="Area 6 (Anitha P)",'Master Sheet'!M112,"")</f>
        <v/>
      </c>
      <c r="N111" t="str">
        <f>IF('Master Sheet'!C112="Area 6 (Anitha P)",'Master Sheet'!N112,"")</f>
        <v/>
      </c>
      <c r="O111" t="str">
        <f>IF('Master Sheet'!C112="Area 6 (Anitha P)",'Master Sheet'!O112,"")</f>
        <v/>
      </c>
      <c r="P111" t="str">
        <f>IF('Master Sheet'!C112="Area 6 (Anitha P)",'Master Sheet'!P112,"")</f>
        <v/>
      </c>
    </row>
    <row r="112" spans="1:16" hidden="1" x14ac:dyDescent="0.25">
      <c r="A112" t="str">
        <f>IF('Master Sheet'!C113="Area 6 (Anitha P)",'Master Sheet'!A113,"")</f>
        <v/>
      </c>
      <c r="B112" t="str">
        <f>IF('Master Sheet'!C113="Area 6 (Anitha P)",'Master Sheet'!B113,"")</f>
        <v/>
      </c>
      <c r="C112" t="s">
        <v>9</v>
      </c>
      <c r="D112" t="str">
        <f>IF('Master Sheet'!C113="Area 6 (Anitha P)",'Master Sheet'!D113,"")</f>
        <v/>
      </c>
      <c r="E112" t="str">
        <f>IF('Master Sheet'!C113="Area 6 (Anitha P)",'Master Sheet'!E113,"")</f>
        <v/>
      </c>
      <c r="F112" t="str">
        <f>IF('Master Sheet'!C113="Area 6 (Anitha P)",'Master Sheet'!F113,"")</f>
        <v/>
      </c>
      <c r="G112" t="str">
        <f>IF('Master Sheet'!C113="Area 6 (Anitha P)",'Master Sheet'!G113,"")</f>
        <v/>
      </c>
      <c r="H112" t="str">
        <f>IF('Master Sheet'!C113="Area 6 (Anitha P)",'Master Sheet'!H113,"")</f>
        <v/>
      </c>
      <c r="I112" t="str">
        <f>IF('Master Sheet'!C113="Area 6 (Anitha P)",'Master Sheet'!I113,"")</f>
        <v/>
      </c>
      <c r="J112" t="str">
        <f>IF('Master Sheet'!C113="Area 6 (Anitha P)",'Master Sheet'!J113,"")</f>
        <v/>
      </c>
      <c r="K112" t="str">
        <f>IF('Master Sheet'!C113="Area 6 (Anitha P)",'Master Sheet'!K113,"")</f>
        <v/>
      </c>
      <c r="L112" t="str">
        <f>IF('Master Sheet'!C113="Area 6 (Anitha P)",'Master Sheet'!L113,"")</f>
        <v/>
      </c>
      <c r="M112" t="str">
        <f>IF('Master Sheet'!C113="Area 6 (Anitha P)",'Master Sheet'!M113,"")</f>
        <v/>
      </c>
      <c r="N112" t="str">
        <f>IF('Master Sheet'!C113="Area 6 (Anitha P)",'Master Sheet'!N113,"")</f>
        <v/>
      </c>
      <c r="O112" t="str">
        <f>IF('Master Sheet'!C113="Area 6 (Anitha P)",'Master Sheet'!O113,"")</f>
        <v/>
      </c>
      <c r="P112" t="str">
        <f>IF('Master Sheet'!C113="Area 6 (Anitha P)",'Master Sheet'!P113,"")</f>
        <v/>
      </c>
    </row>
    <row r="113" spans="1:16" hidden="1" x14ac:dyDescent="0.25">
      <c r="A113" t="str">
        <f>IF('Master Sheet'!C114="Area 6 (Anitha P)",'Master Sheet'!A114,"")</f>
        <v/>
      </c>
      <c r="B113" t="str">
        <f>IF('Master Sheet'!C114="Area 6 (Anitha P)",'Master Sheet'!B114,"")</f>
        <v/>
      </c>
      <c r="C113" t="s">
        <v>9</v>
      </c>
      <c r="D113" t="str">
        <f>IF('Master Sheet'!C114="Area 6 (Anitha P)",'Master Sheet'!D114,"")</f>
        <v/>
      </c>
      <c r="E113" t="str">
        <f>IF('Master Sheet'!C114="Area 6 (Anitha P)",'Master Sheet'!E114,"")</f>
        <v/>
      </c>
      <c r="F113" t="str">
        <f>IF('Master Sheet'!C114="Area 6 (Anitha P)",'Master Sheet'!F114,"")</f>
        <v/>
      </c>
      <c r="G113" t="str">
        <f>IF('Master Sheet'!C114="Area 6 (Anitha P)",'Master Sheet'!G114,"")</f>
        <v/>
      </c>
      <c r="H113" t="str">
        <f>IF('Master Sheet'!C114="Area 6 (Anitha P)",'Master Sheet'!H114,"")</f>
        <v/>
      </c>
      <c r="I113" t="str">
        <f>IF('Master Sheet'!C114="Area 6 (Anitha P)",'Master Sheet'!I114,"")</f>
        <v/>
      </c>
      <c r="J113" t="str">
        <f>IF('Master Sheet'!C114="Area 6 (Anitha P)",'Master Sheet'!J114,"")</f>
        <v/>
      </c>
      <c r="K113" t="str">
        <f>IF('Master Sheet'!C114="Area 6 (Anitha P)",'Master Sheet'!K114,"")</f>
        <v/>
      </c>
      <c r="L113" t="str">
        <f>IF('Master Sheet'!C114="Area 6 (Anitha P)",'Master Sheet'!L114,"")</f>
        <v/>
      </c>
      <c r="M113" t="str">
        <f>IF('Master Sheet'!C114="Area 6 (Anitha P)",'Master Sheet'!M114,"")</f>
        <v/>
      </c>
      <c r="N113" t="str">
        <f>IF('Master Sheet'!C114="Area 6 (Anitha P)",'Master Sheet'!N114,"")</f>
        <v/>
      </c>
      <c r="O113" t="str">
        <f>IF('Master Sheet'!C114="Area 6 (Anitha P)",'Master Sheet'!O114,"")</f>
        <v/>
      </c>
      <c r="P113" t="str">
        <f>IF('Master Sheet'!C114="Area 6 (Anitha P)",'Master Sheet'!P114,"")</f>
        <v/>
      </c>
    </row>
    <row r="114" spans="1:16" hidden="1" x14ac:dyDescent="0.25">
      <c r="A114" t="str">
        <f>IF('Master Sheet'!C115="Area 6 (Anitha P)",'Master Sheet'!A115,"")</f>
        <v/>
      </c>
      <c r="B114" t="str">
        <f>IF('Master Sheet'!C115="Area 6 (Anitha P)",'Master Sheet'!B115,"")</f>
        <v/>
      </c>
      <c r="C114" t="s">
        <v>9</v>
      </c>
      <c r="D114" t="str">
        <f>IF('Master Sheet'!C115="Area 6 (Anitha P)",'Master Sheet'!D115,"")</f>
        <v/>
      </c>
      <c r="E114" t="str">
        <f>IF('Master Sheet'!C115="Area 6 (Anitha P)",'Master Sheet'!E115,"")</f>
        <v/>
      </c>
      <c r="F114" t="str">
        <f>IF('Master Sheet'!C115="Area 6 (Anitha P)",'Master Sheet'!F115,"")</f>
        <v/>
      </c>
      <c r="G114" t="str">
        <f>IF('Master Sheet'!C115="Area 6 (Anitha P)",'Master Sheet'!G115,"")</f>
        <v/>
      </c>
      <c r="H114" t="str">
        <f>IF('Master Sheet'!C115="Area 6 (Anitha P)",'Master Sheet'!H115,"")</f>
        <v/>
      </c>
      <c r="I114" t="str">
        <f>IF('Master Sheet'!C115="Area 6 (Anitha P)",'Master Sheet'!I115,"")</f>
        <v/>
      </c>
      <c r="J114" t="str">
        <f>IF('Master Sheet'!C115="Area 6 (Anitha P)",'Master Sheet'!J115,"")</f>
        <v/>
      </c>
      <c r="K114" t="str">
        <f>IF('Master Sheet'!C115="Area 6 (Anitha P)",'Master Sheet'!K115,"")</f>
        <v/>
      </c>
      <c r="L114" t="str">
        <f>IF('Master Sheet'!C115="Area 6 (Anitha P)",'Master Sheet'!L115,"")</f>
        <v/>
      </c>
      <c r="M114" t="str">
        <f>IF('Master Sheet'!C115="Area 6 (Anitha P)",'Master Sheet'!M115,"")</f>
        <v/>
      </c>
      <c r="N114" t="str">
        <f>IF('Master Sheet'!C115="Area 6 (Anitha P)",'Master Sheet'!N115,"")</f>
        <v/>
      </c>
      <c r="O114" t="str">
        <f>IF('Master Sheet'!C115="Area 6 (Anitha P)",'Master Sheet'!O115,"")</f>
        <v/>
      </c>
      <c r="P114" t="str">
        <f>IF('Master Sheet'!C115="Area 6 (Anitha P)",'Master Sheet'!P115,"")</f>
        <v/>
      </c>
    </row>
    <row r="115" spans="1:16" hidden="1" x14ac:dyDescent="0.25">
      <c r="A115" t="str">
        <f>IF('Master Sheet'!C116="Area 6 (Anitha P)",'Master Sheet'!A116,"")</f>
        <v/>
      </c>
      <c r="B115" t="str">
        <f>IF('Master Sheet'!C116="Area 6 (Anitha P)",'Master Sheet'!B116,"")</f>
        <v/>
      </c>
      <c r="C115" t="s">
        <v>9</v>
      </c>
      <c r="D115" t="str">
        <f>IF('Master Sheet'!C116="Area 6 (Anitha P)",'Master Sheet'!D116,"")</f>
        <v/>
      </c>
      <c r="E115" t="str">
        <f>IF('Master Sheet'!C116="Area 6 (Anitha P)",'Master Sheet'!E116,"")</f>
        <v/>
      </c>
      <c r="F115" t="str">
        <f>IF('Master Sheet'!C116="Area 6 (Anitha P)",'Master Sheet'!F116,"")</f>
        <v/>
      </c>
      <c r="G115" t="str">
        <f>IF('Master Sheet'!C116="Area 6 (Anitha P)",'Master Sheet'!G116,"")</f>
        <v/>
      </c>
      <c r="H115" t="str">
        <f>IF('Master Sheet'!C116="Area 6 (Anitha P)",'Master Sheet'!H116,"")</f>
        <v/>
      </c>
      <c r="I115" t="str">
        <f>IF('Master Sheet'!C116="Area 6 (Anitha P)",'Master Sheet'!I116,"")</f>
        <v/>
      </c>
      <c r="J115" t="str">
        <f>IF('Master Sheet'!C116="Area 6 (Anitha P)",'Master Sheet'!J116,"")</f>
        <v/>
      </c>
      <c r="K115" t="str">
        <f>IF('Master Sheet'!C116="Area 6 (Anitha P)",'Master Sheet'!K116,"")</f>
        <v/>
      </c>
      <c r="L115" t="str">
        <f>IF('Master Sheet'!C116="Area 6 (Anitha P)",'Master Sheet'!L116,"")</f>
        <v/>
      </c>
      <c r="M115" t="str">
        <f>IF('Master Sheet'!C116="Area 6 (Anitha P)",'Master Sheet'!M116,"")</f>
        <v/>
      </c>
      <c r="N115" t="str">
        <f>IF('Master Sheet'!C116="Area 6 (Anitha P)",'Master Sheet'!N116,"")</f>
        <v/>
      </c>
      <c r="O115" t="str">
        <f>IF('Master Sheet'!C116="Area 6 (Anitha P)",'Master Sheet'!O116,"")</f>
        <v/>
      </c>
      <c r="P115" t="str">
        <f>IF('Master Sheet'!C116="Area 6 (Anitha P)",'Master Sheet'!P116,"")</f>
        <v/>
      </c>
    </row>
    <row r="116" spans="1:16" hidden="1" x14ac:dyDescent="0.25">
      <c r="A116" t="str">
        <f>IF('Master Sheet'!C117="Area 6 (Anitha P)",'Master Sheet'!A117,"")</f>
        <v/>
      </c>
      <c r="B116" t="str">
        <f>IF('Master Sheet'!C117="Area 6 (Anitha P)",'Master Sheet'!B117,"")</f>
        <v/>
      </c>
      <c r="C116" t="s">
        <v>9</v>
      </c>
      <c r="D116" t="str">
        <f>IF('Master Sheet'!C117="Area 6 (Anitha P)",'Master Sheet'!D117,"")</f>
        <v/>
      </c>
      <c r="E116" t="str">
        <f>IF('Master Sheet'!C117="Area 6 (Anitha P)",'Master Sheet'!E117,"")</f>
        <v/>
      </c>
      <c r="F116" t="str">
        <f>IF('Master Sheet'!C117="Area 6 (Anitha P)",'Master Sheet'!F117,"")</f>
        <v/>
      </c>
      <c r="G116" t="str">
        <f>IF('Master Sheet'!C117="Area 6 (Anitha P)",'Master Sheet'!G117,"")</f>
        <v/>
      </c>
      <c r="H116" t="str">
        <f>IF('Master Sheet'!C117="Area 6 (Anitha P)",'Master Sheet'!H117,"")</f>
        <v/>
      </c>
      <c r="I116" t="str">
        <f>IF('Master Sheet'!C117="Area 6 (Anitha P)",'Master Sheet'!I117,"")</f>
        <v/>
      </c>
      <c r="J116" t="str">
        <f>IF('Master Sheet'!C117="Area 6 (Anitha P)",'Master Sheet'!J117,"")</f>
        <v/>
      </c>
      <c r="K116" t="str">
        <f>IF('Master Sheet'!C117="Area 6 (Anitha P)",'Master Sheet'!K117,"")</f>
        <v/>
      </c>
      <c r="L116" t="str">
        <f>IF('Master Sheet'!C117="Area 6 (Anitha P)",'Master Sheet'!L117,"")</f>
        <v/>
      </c>
      <c r="M116" t="str">
        <f>IF('Master Sheet'!C117="Area 6 (Anitha P)",'Master Sheet'!M117,"")</f>
        <v/>
      </c>
      <c r="N116" t="str">
        <f>IF('Master Sheet'!C117="Area 6 (Anitha P)",'Master Sheet'!N117,"")</f>
        <v/>
      </c>
      <c r="O116" t="str">
        <f>IF('Master Sheet'!C117="Area 6 (Anitha P)",'Master Sheet'!O117,"")</f>
        <v/>
      </c>
      <c r="P116" t="str">
        <f>IF('Master Sheet'!C117="Area 6 (Anitha P)",'Master Sheet'!P117,"")</f>
        <v/>
      </c>
    </row>
    <row r="117" spans="1:16" hidden="1" x14ac:dyDescent="0.25">
      <c r="A117" t="str">
        <f>IF('Master Sheet'!C118="Area 6 (Anitha P)",'Master Sheet'!A118,"")</f>
        <v/>
      </c>
      <c r="B117" t="str">
        <f>IF('Master Sheet'!C118="Area 6 (Anitha P)",'Master Sheet'!B118,"")</f>
        <v/>
      </c>
      <c r="C117" t="s">
        <v>9</v>
      </c>
      <c r="D117" t="str">
        <f>IF('Master Sheet'!C118="Area 6 (Anitha P)",'Master Sheet'!D118,"")</f>
        <v/>
      </c>
      <c r="E117" t="str">
        <f>IF('Master Sheet'!C118="Area 6 (Anitha P)",'Master Sheet'!E118,"")</f>
        <v/>
      </c>
      <c r="F117" t="str">
        <f>IF('Master Sheet'!C118="Area 6 (Anitha P)",'Master Sheet'!F118,"")</f>
        <v/>
      </c>
      <c r="G117" t="str">
        <f>IF('Master Sheet'!C118="Area 6 (Anitha P)",'Master Sheet'!G118,"")</f>
        <v/>
      </c>
      <c r="H117" t="str">
        <f>IF('Master Sheet'!C118="Area 6 (Anitha P)",'Master Sheet'!H118,"")</f>
        <v/>
      </c>
      <c r="I117" t="str">
        <f>IF('Master Sheet'!C118="Area 6 (Anitha P)",'Master Sheet'!I118,"")</f>
        <v/>
      </c>
      <c r="J117" t="str">
        <f>IF('Master Sheet'!C118="Area 6 (Anitha P)",'Master Sheet'!J118,"")</f>
        <v/>
      </c>
      <c r="K117" t="str">
        <f>IF('Master Sheet'!C118="Area 6 (Anitha P)",'Master Sheet'!K118,"")</f>
        <v/>
      </c>
      <c r="L117" t="str">
        <f>IF('Master Sheet'!C118="Area 6 (Anitha P)",'Master Sheet'!L118,"")</f>
        <v/>
      </c>
      <c r="M117" t="str">
        <f>IF('Master Sheet'!C118="Area 6 (Anitha P)",'Master Sheet'!M118,"")</f>
        <v/>
      </c>
      <c r="N117" t="str">
        <f>IF('Master Sheet'!C118="Area 6 (Anitha P)",'Master Sheet'!N118,"")</f>
        <v/>
      </c>
      <c r="O117" t="str">
        <f>IF('Master Sheet'!C118="Area 6 (Anitha P)",'Master Sheet'!O118,"")</f>
        <v/>
      </c>
      <c r="P117" t="str">
        <f>IF('Master Sheet'!C118="Area 6 (Anitha P)",'Master Sheet'!P118,"")</f>
        <v/>
      </c>
    </row>
    <row r="118" spans="1:16" hidden="1" x14ac:dyDescent="0.25">
      <c r="A118" t="str">
        <f>IF('Master Sheet'!C119="Area 6 (Anitha P)",'Master Sheet'!A119,"")</f>
        <v/>
      </c>
      <c r="B118" t="str">
        <f>IF('Master Sheet'!C119="Area 6 (Anitha P)",'Master Sheet'!B119,"")</f>
        <v/>
      </c>
      <c r="C118" t="s">
        <v>9</v>
      </c>
      <c r="D118" t="str">
        <f>IF('Master Sheet'!C119="Area 6 (Anitha P)",'Master Sheet'!D119,"")</f>
        <v/>
      </c>
      <c r="E118" t="str">
        <f>IF('Master Sheet'!C119="Area 6 (Anitha P)",'Master Sheet'!E119,"")</f>
        <v/>
      </c>
      <c r="F118" t="str">
        <f>IF('Master Sheet'!C119="Area 6 (Anitha P)",'Master Sheet'!F119,"")</f>
        <v/>
      </c>
      <c r="G118" t="str">
        <f>IF('Master Sheet'!C119="Area 6 (Anitha P)",'Master Sheet'!G119,"")</f>
        <v/>
      </c>
      <c r="H118" t="str">
        <f>IF('Master Sheet'!C119="Area 6 (Anitha P)",'Master Sheet'!H119,"")</f>
        <v/>
      </c>
      <c r="I118" t="str">
        <f>IF('Master Sheet'!C119="Area 6 (Anitha P)",'Master Sheet'!I119,"")</f>
        <v/>
      </c>
      <c r="J118" t="str">
        <f>IF('Master Sheet'!C119="Area 6 (Anitha P)",'Master Sheet'!J119,"")</f>
        <v/>
      </c>
      <c r="K118" t="str">
        <f>IF('Master Sheet'!C119="Area 6 (Anitha P)",'Master Sheet'!K119,"")</f>
        <v/>
      </c>
      <c r="L118" t="str">
        <f>IF('Master Sheet'!C119="Area 6 (Anitha P)",'Master Sheet'!L119,"")</f>
        <v/>
      </c>
      <c r="M118" t="str">
        <f>IF('Master Sheet'!C119="Area 6 (Anitha P)",'Master Sheet'!M119,"")</f>
        <v/>
      </c>
      <c r="N118" t="str">
        <f>IF('Master Sheet'!C119="Area 6 (Anitha P)",'Master Sheet'!N119,"")</f>
        <v/>
      </c>
      <c r="O118" t="str">
        <f>IF('Master Sheet'!C119="Area 6 (Anitha P)",'Master Sheet'!O119,"")</f>
        <v/>
      </c>
      <c r="P118" t="str">
        <f>IF('Master Sheet'!C119="Area 6 (Anitha P)",'Master Sheet'!P119,"")</f>
        <v/>
      </c>
    </row>
    <row r="119" spans="1:16" hidden="1" x14ac:dyDescent="0.25">
      <c r="A119" t="str">
        <f>IF('Master Sheet'!C120="Area 6 (Anitha P)",'Master Sheet'!A120,"")</f>
        <v/>
      </c>
      <c r="B119" t="str">
        <f>IF('Master Sheet'!C120="Area 6 (Anitha P)",'Master Sheet'!B120,"")</f>
        <v/>
      </c>
      <c r="C119" t="s">
        <v>9</v>
      </c>
      <c r="D119" t="str">
        <f>IF('Master Sheet'!C120="Area 6 (Anitha P)",'Master Sheet'!D120,"")</f>
        <v/>
      </c>
      <c r="E119" t="str">
        <f>IF('Master Sheet'!C120="Area 6 (Anitha P)",'Master Sheet'!E120,"")</f>
        <v/>
      </c>
      <c r="F119" t="str">
        <f>IF('Master Sheet'!C120="Area 6 (Anitha P)",'Master Sheet'!F120,"")</f>
        <v/>
      </c>
      <c r="G119" t="str">
        <f>IF('Master Sheet'!C120="Area 6 (Anitha P)",'Master Sheet'!G120,"")</f>
        <v/>
      </c>
      <c r="H119" t="str">
        <f>IF('Master Sheet'!C120="Area 6 (Anitha P)",'Master Sheet'!H120,"")</f>
        <v/>
      </c>
      <c r="I119" t="str">
        <f>IF('Master Sheet'!C120="Area 6 (Anitha P)",'Master Sheet'!I120,"")</f>
        <v/>
      </c>
      <c r="J119" t="str">
        <f>IF('Master Sheet'!C120="Area 6 (Anitha P)",'Master Sheet'!J120,"")</f>
        <v/>
      </c>
      <c r="K119" t="str">
        <f>IF('Master Sheet'!C120="Area 6 (Anitha P)",'Master Sheet'!K120,"")</f>
        <v/>
      </c>
      <c r="L119" t="str">
        <f>IF('Master Sheet'!C120="Area 6 (Anitha P)",'Master Sheet'!L120,"")</f>
        <v/>
      </c>
      <c r="M119" t="str">
        <f>IF('Master Sheet'!C120="Area 6 (Anitha P)",'Master Sheet'!M120,"")</f>
        <v/>
      </c>
      <c r="N119" t="str">
        <f>IF('Master Sheet'!C120="Area 6 (Anitha P)",'Master Sheet'!N120,"")</f>
        <v/>
      </c>
      <c r="O119" t="str">
        <f>IF('Master Sheet'!C120="Area 6 (Anitha P)",'Master Sheet'!O120,"")</f>
        <v/>
      </c>
      <c r="P119" t="str">
        <f>IF('Master Sheet'!C120="Area 6 (Anitha P)",'Master Sheet'!P120,"")</f>
        <v/>
      </c>
    </row>
    <row r="120" spans="1:16" hidden="1" x14ac:dyDescent="0.25">
      <c r="A120" t="str">
        <f>IF('Master Sheet'!C121="Area 6 (Anitha P)",'Master Sheet'!A121,"")</f>
        <v/>
      </c>
      <c r="B120" t="str">
        <f>IF('Master Sheet'!C121="Area 6 (Anitha P)",'Master Sheet'!B121,"")</f>
        <v/>
      </c>
      <c r="C120" t="s">
        <v>9</v>
      </c>
      <c r="D120" t="str">
        <f>IF('Master Sheet'!C121="Area 6 (Anitha P)",'Master Sheet'!D121,"")</f>
        <v/>
      </c>
      <c r="E120" t="str">
        <f>IF('Master Sheet'!C121="Area 6 (Anitha P)",'Master Sheet'!E121,"")</f>
        <v/>
      </c>
      <c r="F120" t="str">
        <f>IF('Master Sheet'!C121="Area 6 (Anitha P)",'Master Sheet'!F121,"")</f>
        <v/>
      </c>
      <c r="G120" t="str">
        <f>IF('Master Sheet'!C121="Area 6 (Anitha P)",'Master Sheet'!G121,"")</f>
        <v/>
      </c>
      <c r="H120" t="str">
        <f>IF('Master Sheet'!C121="Area 6 (Anitha P)",'Master Sheet'!H121,"")</f>
        <v/>
      </c>
      <c r="I120" t="str">
        <f>IF('Master Sheet'!C121="Area 6 (Anitha P)",'Master Sheet'!I121,"")</f>
        <v/>
      </c>
      <c r="J120" t="str">
        <f>IF('Master Sheet'!C121="Area 6 (Anitha P)",'Master Sheet'!J121,"")</f>
        <v/>
      </c>
      <c r="K120" t="str">
        <f>IF('Master Sheet'!C121="Area 6 (Anitha P)",'Master Sheet'!K121,"")</f>
        <v/>
      </c>
      <c r="L120" t="str">
        <f>IF('Master Sheet'!C121="Area 6 (Anitha P)",'Master Sheet'!L121,"")</f>
        <v/>
      </c>
      <c r="M120" t="str">
        <f>IF('Master Sheet'!C121="Area 6 (Anitha P)",'Master Sheet'!M121,"")</f>
        <v/>
      </c>
      <c r="N120" t="str">
        <f>IF('Master Sheet'!C121="Area 6 (Anitha P)",'Master Sheet'!N121,"")</f>
        <v/>
      </c>
      <c r="O120" t="str">
        <f>IF('Master Sheet'!C121="Area 6 (Anitha P)",'Master Sheet'!O121,"")</f>
        <v/>
      </c>
      <c r="P120" t="str">
        <f>IF('Master Sheet'!C121="Area 6 (Anitha P)",'Master Sheet'!P121,"")</f>
        <v/>
      </c>
    </row>
    <row r="121" spans="1:16" hidden="1" x14ac:dyDescent="0.25">
      <c r="A121" t="str">
        <f>IF('Master Sheet'!C122="Area 6 (Anitha P)",'Master Sheet'!A122,"")</f>
        <v/>
      </c>
      <c r="B121" t="str">
        <f>IF('Master Sheet'!C122="Area 6 (Anitha P)",'Master Sheet'!B122,"")</f>
        <v/>
      </c>
      <c r="C121" t="s">
        <v>9</v>
      </c>
      <c r="D121" t="str">
        <f>IF('Master Sheet'!C122="Area 6 (Anitha P)",'Master Sheet'!D122,"")</f>
        <v/>
      </c>
      <c r="E121" t="str">
        <f>IF('Master Sheet'!C122="Area 6 (Anitha P)",'Master Sheet'!E122,"")</f>
        <v/>
      </c>
      <c r="F121" t="str">
        <f>IF('Master Sheet'!C122="Area 6 (Anitha P)",'Master Sheet'!F122,"")</f>
        <v/>
      </c>
      <c r="G121" t="str">
        <f>IF('Master Sheet'!C122="Area 6 (Anitha P)",'Master Sheet'!G122,"")</f>
        <v/>
      </c>
      <c r="H121" t="str">
        <f>IF('Master Sheet'!C122="Area 6 (Anitha P)",'Master Sheet'!H122,"")</f>
        <v/>
      </c>
      <c r="I121" t="str">
        <f>IF('Master Sheet'!C122="Area 6 (Anitha P)",'Master Sheet'!I122,"")</f>
        <v/>
      </c>
      <c r="J121" t="str">
        <f>IF('Master Sheet'!C122="Area 6 (Anitha P)",'Master Sheet'!J122,"")</f>
        <v/>
      </c>
      <c r="K121" t="str">
        <f>IF('Master Sheet'!C122="Area 6 (Anitha P)",'Master Sheet'!K122,"")</f>
        <v/>
      </c>
      <c r="L121" t="str">
        <f>IF('Master Sheet'!C122="Area 6 (Anitha P)",'Master Sheet'!L122,"")</f>
        <v/>
      </c>
      <c r="M121" t="str">
        <f>IF('Master Sheet'!C122="Area 6 (Anitha P)",'Master Sheet'!M122,"")</f>
        <v/>
      </c>
      <c r="N121" t="str">
        <f>IF('Master Sheet'!C122="Area 6 (Anitha P)",'Master Sheet'!N122,"")</f>
        <v/>
      </c>
      <c r="O121" t="str">
        <f>IF('Master Sheet'!C122="Area 6 (Anitha P)",'Master Sheet'!O122,"")</f>
        <v/>
      </c>
      <c r="P121" t="str">
        <f>IF('Master Sheet'!C122="Area 6 (Anitha P)",'Master Sheet'!P122,"")</f>
        <v/>
      </c>
    </row>
    <row r="122" spans="1:16" hidden="1" x14ac:dyDescent="0.25">
      <c r="A122" t="str">
        <f>IF('Master Sheet'!C123="Area 6 (Anitha P)",'Master Sheet'!A123,"")</f>
        <v/>
      </c>
      <c r="B122" t="str">
        <f>IF('Master Sheet'!C123="Area 6 (Anitha P)",'Master Sheet'!B123,"")</f>
        <v/>
      </c>
      <c r="C122" t="s">
        <v>9</v>
      </c>
      <c r="D122" t="str">
        <f>IF('Master Sheet'!C123="Area 6 (Anitha P)",'Master Sheet'!D123,"")</f>
        <v/>
      </c>
      <c r="E122" t="str">
        <f>IF('Master Sheet'!C123="Area 6 (Anitha P)",'Master Sheet'!E123,"")</f>
        <v/>
      </c>
      <c r="F122" t="str">
        <f>IF('Master Sheet'!C123="Area 6 (Anitha P)",'Master Sheet'!F123,"")</f>
        <v/>
      </c>
      <c r="G122" t="str">
        <f>IF('Master Sheet'!C123="Area 6 (Anitha P)",'Master Sheet'!G123,"")</f>
        <v/>
      </c>
      <c r="H122" t="str">
        <f>IF('Master Sheet'!C123="Area 6 (Anitha P)",'Master Sheet'!H123,"")</f>
        <v/>
      </c>
      <c r="I122" t="str">
        <f>IF('Master Sheet'!C123="Area 6 (Anitha P)",'Master Sheet'!I123,"")</f>
        <v/>
      </c>
      <c r="J122" t="str">
        <f>IF('Master Sheet'!C123="Area 6 (Anitha P)",'Master Sheet'!J123,"")</f>
        <v/>
      </c>
      <c r="K122" t="str">
        <f>IF('Master Sheet'!C123="Area 6 (Anitha P)",'Master Sheet'!K123,"")</f>
        <v/>
      </c>
      <c r="L122" t="str">
        <f>IF('Master Sheet'!C123="Area 6 (Anitha P)",'Master Sheet'!L123,"")</f>
        <v/>
      </c>
      <c r="M122" t="str">
        <f>IF('Master Sheet'!C123="Area 6 (Anitha P)",'Master Sheet'!M123,"")</f>
        <v/>
      </c>
      <c r="N122" t="str">
        <f>IF('Master Sheet'!C123="Area 6 (Anitha P)",'Master Sheet'!N123,"")</f>
        <v/>
      </c>
      <c r="O122" t="str">
        <f>IF('Master Sheet'!C123="Area 6 (Anitha P)",'Master Sheet'!O123,"")</f>
        <v/>
      </c>
      <c r="P122" t="str">
        <f>IF('Master Sheet'!C123="Area 6 (Anitha P)",'Master Sheet'!P123,"")</f>
        <v/>
      </c>
    </row>
    <row r="123" spans="1:16" hidden="1" x14ac:dyDescent="0.25">
      <c r="A123" t="str">
        <f>IF('Master Sheet'!C124="Area 6 (Anitha P)",'Master Sheet'!A124,"")</f>
        <v/>
      </c>
      <c r="B123" t="str">
        <f>IF('Master Sheet'!C124="Area 6 (Anitha P)",'Master Sheet'!B124,"")</f>
        <v/>
      </c>
      <c r="C123" t="s">
        <v>9</v>
      </c>
      <c r="D123" t="str">
        <f>IF('Master Sheet'!C124="Area 6 (Anitha P)",'Master Sheet'!D124,"")</f>
        <v/>
      </c>
      <c r="E123" t="str">
        <f>IF('Master Sheet'!C124="Area 6 (Anitha P)",'Master Sheet'!E124,"")</f>
        <v/>
      </c>
      <c r="F123" t="str">
        <f>IF('Master Sheet'!C124="Area 6 (Anitha P)",'Master Sheet'!F124,"")</f>
        <v/>
      </c>
      <c r="G123" t="str">
        <f>IF('Master Sheet'!C124="Area 6 (Anitha P)",'Master Sheet'!G124,"")</f>
        <v/>
      </c>
      <c r="H123" t="str">
        <f>IF('Master Sheet'!C124="Area 6 (Anitha P)",'Master Sheet'!H124,"")</f>
        <v/>
      </c>
      <c r="I123" t="str">
        <f>IF('Master Sheet'!C124="Area 6 (Anitha P)",'Master Sheet'!I124,"")</f>
        <v/>
      </c>
      <c r="J123" t="str">
        <f>IF('Master Sheet'!C124="Area 6 (Anitha P)",'Master Sheet'!J124,"")</f>
        <v/>
      </c>
      <c r="K123" t="str">
        <f>IF('Master Sheet'!C124="Area 6 (Anitha P)",'Master Sheet'!K124,"")</f>
        <v/>
      </c>
      <c r="L123" t="str">
        <f>IF('Master Sheet'!C124="Area 6 (Anitha P)",'Master Sheet'!L124,"")</f>
        <v/>
      </c>
      <c r="M123" t="str">
        <f>IF('Master Sheet'!C124="Area 6 (Anitha P)",'Master Sheet'!M124,"")</f>
        <v/>
      </c>
      <c r="N123" t="str">
        <f>IF('Master Sheet'!C124="Area 6 (Anitha P)",'Master Sheet'!N124,"")</f>
        <v/>
      </c>
      <c r="O123" t="str">
        <f>IF('Master Sheet'!C124="Area 6 (Anitha P)",'Master Sheet'!O124,"")</f>
        <v/>
      </c>
      <c r="P123" t="str">
        <f>IF('Master Sheet'!C124="Area 6 (Anitha P)",'Master Sheet'!P124,"")</f>
        <v/>
      </c>
    </row>
    <row r="124" spans="1:16" hidden="1" x14ac:dyDescent="0.25">
      <c r="A124" t="str">
        <f>IF('Master Sheet'!C125="Area 6 (Anitha P)",'Master Sheet'!A125,"")</f>
        <v/>
      </c>
      <c r="B124" t="str">
        <f>IF('Master Sheet'!C125="Area 6 (Anitha P)",'Master Sheet'!B125,"")</f>
        <v/>
      </c>
      <c r="C124" t="s">
        <v>9</v>
      </c>
      <c r="D124" t="str">
        <f>IF('Master Sheet'!C125="Area 6 (Anitha P)",'Master Sheet'!D125,"")</f>
        <v/>
      </c>
      <c r="E124" t="str">
        <f>IF('Master Sheet'!C125="Area 6 (Anitha P)",'Master Sheet'!E125,"")</f>
        <v/>
      </c>
      <c r="F124" t="str">
        <f>IF('Master Sheet'!C125="Area 6 (Anitha P)",'Master Sheet'!F125,"")</f>
        <v/>
      </c>
      <c r="G124" t="str">
        <f>IF('Master Sheet'!C125="Area 6 (Anitha P)",'Master Sheet'!G125,"")</f>
        <v/>
      </c>
      <c r="H124" t="str">
        <f>IF('Master Sheet'!C125="Area 6 (Anitha P)",'Master Sheet'!H125,"")</f>
        <v/>
      </c>
      <c r="I124" t="str">
        <f>IF('Master Sheet'!C125="Area 6 (Anitha P)",'Master Sheet'!I125,"")</f>
        <v/>
      </c>
      <c r="J124" t="str">
        <f>IF('Master Sheet'!C125="Area 6 (Anitha P)",'Master Sheet'!J125,"")</f>
        <v/>
      </c>
      <c r="K124" t="str">
        <f>IF('Master Sheet'!C125="Area 6 (Anitha P)",'Master Sheet'!K125,"")</f>
        <v/>
      </c>
      <c r="L124" t="str">
        <f>IF('Master Sheet'!C125="Area 6 (Anitha P)",'Master Sheet'!L125,"")</f>
        <v/>
      </c>
      <c r="M124" t="str">
        <f>IF('Master Sheet'!C125="Area 6 (Anitha P)",'Master Sheet'!M125,"")</f>
        <v/>
      </c>
      <c r="N124" t="str">
        <f>IF('Master Sheet'!C125="Area 6 (Anitha P)",'Master Sheet'!N125,"")</f>
        <v/>
      </c>
      <c r="O124" t="str">
        <f>IF('Master Sheet'!C125="Area 6 (Anitha P)",'Master Sheet'!O125,"")</f>
        <v/>
      </c>
      <c r="P124" t="str">
        <f>IF('Master Sheet'!C125="Area 6 (Anitha P)",'Master Sheet'!P125,"")</f>
        <v/>
      </c>
    </row>
    <row r="125" spans="1:16" hidden="1" x14ac:dyDescent="0.25">
      <c r="A125" t="str">
        <f>IF('Master Sheet'!C126="Area 6 (Anitha P)",'Master Sheet'!A126,"")</f>
        <v/>
      </c>
      <c r="B125" t="str">
        <f>IF('Master Sheet'!C126="Area 6 (Anitha P)",'Master Sheet'!B126,"")</f>
        <v/>
      </c>
      <c r="C125" t="s">
        <v>9</v>
      </c>
      <c r="D125" t="str">
        <f>IF('Master Sheet'!C126="Area 6 (Anitha P)",'Master Sheet'!D126,"")</f>
        <v/>
      </c>
      <c r="E125" t="str">
        <f>IF('Master Sheet'!C126="Area 6 (Anitha P)",'Master Sheet'!E126,"")</f>
        <v/>
      </c>
      <c r="F125" t="str">
        <f>IF('Master Sheet'!C126="Area 6 (Anitha P)",'Master Sheet'!F126,"")</f>
        <v/>
      </c>
      <c r="G125" t="str">
        <f>IF('Master Sheet'!C126="Area 6 (Anitha P)",'Master Sheet'!G126,"")</f>
        <v/>
      </c>
      <c r="H125" t="str">
        <f>IF('Master Sheet'!C126="Area 6 (Anitha P)",'Master Sheet'!H126,"")</f>
        <v/>
      </c>
      <c r="I125" t="str">
        <f>IF('Master Sheet'!C126="Area 6 (Anitha P)",'Master Sheet'!I126,"")</f>
        <v/>
      </c>
      <c r="J125" t="str">
        <f>IF('Master Sheet'!C126="Area 6 (Anitha P)",'Master Sheet'!J126,"")</f>
        <v/>
      </c>
      <c r="K125" t="str">
        <f>IF('Master Sheet'!C126="Area 6 (Anitha P)",'Master Sheet'!K126,"")</f>
        <v/>
      </c>
      <c r="L125" t="str">
        <f>IF('Master Sheet'!C126="Area 6 (Anitha P)",'Master Sheet'!L126,"")</f>
        <v/>
      </c>
      <c r="M125" t="str">
        <f>IF('Master Sheet'!C126="Area 6 (Anitha P)",'Master Sheet'!M126,"")</f>
        <v/>
      </c>
      <c r="N125" t="str">
        <f>IF('Master Sheet'!C126="Area 6 (Anitha P)",'Master Sheet'!N126,"")</f>
        <v/>
      </c>
      <c r="O125" t="str">
        <f>IF('Master Sheet'!C126="Area 6 (Anitha P)",'Master Sheet'!O126,"")</f>
        <v/>
      </c>
      <c r="P125" t="str">
        <f>IF('Master Sheet'!C126="Area 6 (Anitha P)",'Master Sheet'!P126,"")</f>
        <v/>
      </c>
    </row>
    <row r="126" spans="1:16" hidden="1" x14ac:dyDescent="0.25">
      <c r="A126" t="str">
        <f>IF('Master Sheet'!C127="Area 6 (Anitha P)",'Master Sheet'!A127,"")</f>
        <v/>
      </c>
      <c r="B126" t="str">
        <f>IF('Master Sheet'!C127="Area 6 (Anitha P)",'Master Sheet'!B127,"")</f>
        <v/>
      </c>
      <c r="C126" t="s">
        <v>9</v>
      </c>
      <c r="D126" t="str">
        <f>IF('Master Sheet'!C127="Area 6 (Anitha P)",'Master Sheet'!D127,"")</f>
        <v/>
      </c>
      <c r="E126" t="str">
        <f>IF('Master Sheet'!C127="Area 6 (Anitha P)",'Master Sheet'!E127,"")</f>
        <v/>
      </c>
      <c r="F126" t="str">
        <f>IF('Master Sheet'!C127="Area 6 (Anitha P)",'Master Sheet'!F127,"")</f>
        <v/>
      </c>
      <c r="G126" t="str">
        <f>IF('Master Sheet'!C127="Area 6 (Anitha P)",'Master Sheet'!G127,"")</f>
        <v/>
      </c>
      <c r="H126" t="str">
        <f>IF('Master Sheet'!C127="Area 6 (Anitha P)",'Master Sheet'!H127,"")</f>
        <v/>
      </c>
      <c r="I126" t="str">
        <f>IF('Master Sheet'!C127="Area 6 (Anitha P)",'Master Sheet'!I127,"")</f>
        <v/>
      </c>
      <c r="J126" t="str">
        <f>IF('Master Sheet'!C127="Area 6 (Anitha P)",'Master Sheet'!J127,"")</f>
        <v/>
      </c>
      <c r="K126" t="str">
        <f>IF('Master Sheet'!C127="Area 6 (Anitha P)",'Master Sheet'!K127,"")</f>
        <v/>
      </c>
      <c r="L126" t="str">
        <f>IF('Master Sheet'!C127="Area 6 (Anitha P)",'Master Sheet'!L127,"")</f>
        <v/>
      </c>
      <c r="M126" t="str">
        <f>IF('Master Sheet'!C127="Area 6 (Anitha P)",'Master Sheet'!M127,"")</f>
        <v/>
      </c>
      <c r="N126" t="str">
        <f>IF('Master Sheet'!C127="Area 6 (Anitha P)",'Master Sheet'!N127,"")</f>
        <v/>
      </c>
      <c r="O126" t="str">
        <f>IF('Master Sheet'!C127="Area 6 (Anitha P)",'Master Sheet'!O127,"")</f>
        <v/>
      </c>
      <c r="P126" t="str">
        <f>IF('Master Sheet'!C127="Area 6 (Anitha P)",'Master Sheet'!P127,"")</f>
        <v/>
      </c>
    </row>
    <row r="127" spans="1:16" hidden="1" x14ac:dyDescent="0.25">
      <c r="A127" t="str">
        <f>IF('Master Sheet'!C128="Area 6 (Anitha P)",'Master Sheet'!A128,"")</f>
        <v/>
      </c>
      <c r="B127" t="str">
        <f>IF('Master Sheet'!C128="Area 6 (Anitha P)",'Master Sheet'!B128,"")</f>
        <v/>
      </c>
      <c r="C127" t="s">
        <v>9</v>
      </c>
      <c r="D127" t="str">
        <f>IF('Master Sheet'!C128="Area 6 (Anitha P)",'Master Sheet'!D128,"")</f>
        <v/>
      </c>
      <c r="E127" t="str">
        <f>IF('Master Sheet'!C128="Area 6 (Anitha P)",'Master Sheet'!E128,"")</f>
        <v/>
      </c>
      <c r="F127" t="str">
        <f>IF('Master Sheet'!C128="Area 6 (Anitha P)",'Master Sheet'!F128,"")</f>
        <v/>
      </c>
      <c r="G127" t="str">
        <f>IF('Master Sheet'!C128="Area 6 (Anitha P)",'Master Sheet'!G128,"")</f>
        <v/>
      </c>
      <c r="H127" t="str">
        <f>IF('Master Sheet'!C128="Area 6 (Anitha P)",'Master Sheet'!H128,"")</f>
        <v/>
      </c>
      <c r="I127" t="str">
        <f>IF('Master Sheet'!C128="Area 6 (Anitha P)",'Master Sheet'!I128,"")</f>
        <v/>
      </c>
      <c r="J127" t="str">
        <f>IF('Master Sheet'!C128="Area 6 (Anitha P)",'Master Sheet'!J128,"")</f>
        <v/>
      </c>
      <c r="K127" t="str">
        <f>IF('Master Sheet'!C128="Area 6 (Anitha P)",'Master Sheet'!K128,"")</f>
        <v/>
      </c>
      <c r="L127" t="str">
        <f>IF('Master Sheet'!C128="Area 6 (Anitha P)",'Master Sheet'!L128,"")</f>
        <v/>
      </c>
      <c r="M127" t="str">
        <f>IF('Master Sheet'!C128="Area 6 (Anitha P)",'Master Sheet'!M128,"")</f>
        <v/>
      </c>
      <c r="N127" t="str">
        <f>IF('Master Sheet'!C128="Area 6 (Anitha P)",'Master Sheet'!N128,"")</f>
        <v/>
      </c>
      <c r="O127" t="str">
        <f>IF('Master Sheet'!C128="Area 6 (Anitha P)",'Master Sheet'!O128,"")</f>
        <v/>
      </c>
      <c r="P127" t="str">
        <f>IF('Master Sheet'!C128="Area 6 (Anitha P)",'Master Sheet'!P128,"")</f>
        <v/>
      </c>
    </row>
    <row r="128" spans="1:16" hidden="1" x14ac:dyDescent="0.25">
      <c r="A128" t="str">
        <f>IF('Master Sheet'!C129="Area 6 (Anitha P)",'Master Sheet'!A129,"")</f>
        <v/>
      </c>
      <c r="B128" t="str">
        <f>IF('Master Sheet'!C129="Area 6 (Anitha P)",'Master Sheet'!B129,"")</f>
        <v/>
      </c>
      <c r="C128" t="s">
        <v>9</v>
      </c>
      <c r="D128" t="str">
        <f>IF('Master Sheet'!C129="Area 6 (Anitha P)",'Master Sheet'!D129,"")</f>
        <v/>
      </c>
      <c r="E128" t="str">
        <f>IF('Master Sheet'!C129="Area 6 (Anitha P)",'Master Sheet'!E129,"")</f>
        <v/>
      </c>
      <c r="F128" t="str">
        <f>IF('Master Sheet'!C129="Area 6 (Anitha P)",'Master Sheet'!F129,"")</f>
        <v/>
      </c>
      <c r="G128" t="str">
        <f>IF('Master Sheet'!C129="Area 6 (Anitha P)",'Master Sheet'!G129,"")</f>
        <v/>
      </c>
      <c r="H128" t="str">
        <f>IF('Master Sheet'!C129="Area 6 (Anitha P)",'Master Sheet'!H129,"")</f>
        <v/>
      </c>
      <c r="I128" t="str">
        <f>IF('Master Sheet'!C129="Area 6 (Anitha P)",'Master Sheet'!I129,"")</f>
        <v/>
      </c>
      <c r="J128" t="str">
        <f>IF('Master Sheet'!C129="Area 6 (Anitha P)",'Master Sheet'!J129,"")</f>
        <v/>
      </c>
      <c r="K128" t="str">
        <f>IF('Master Sheet'!C129="Area 6 (Anitha P)",'Master Sheet'!K129,"")</f>
        <v/>
      </c>
      <c r="L128" t="str">
        <f>IF('Master Sheet'!C129="Area 6 (Anitha P)",'Master Sheet'!L129,"")</f>
        <v/>
      </c>
      <c r="M128" t="str">
        <f>IF('Master Sheet'!C129="Area 6 (Anitha P)",'Master Sheet'!M129,"")</f>
        <v/>
      </c>
      <c r="N128" t="str">
        <f>IF('Master Sheet'!C129="Area 6 (Anitha P)",'Master Sheet'!N129,"")</f>
        <v/>
      </c>
      <c r="O128" t="str">
        <f>IF('Master Sheet'!C129="Area 6 (Anitha P)",'Master Sheet'!O129,"")</f>
        <v/>
      </c>
      <c r="P128" t="str">
        <f>IF('Master Sheet'!C129="Area 6 (Anitha P)",'Master Sheet'!P129,"")</f>
        <v/>
      </c>
    </row>
    <row r="129" spans="1:16" hidden="1" x14ac:dyDescent="0.25">
      <c r="A129" t="str">
        <f>IF('Master Sheet'!C130="Area 6 (Anitha P)",'Master Sheet'!A130,"")</f>
        <v/>
      </c>
      <c r="B129" t="str">
        <f>IF('Master Sheet'!C130="Area 6 (Anitha P)",'Master Sheet'!B130,"")</f>
        <v/>
      </c>
      <c r="C129" t="s">
        <v>9</v>
      </c>
      <c r="D129" t="str">
        <f>IF('Master Sheet'!C130="Area 6 (Anitha P)",'Master Sheet'!D130,"")</f>
        <v/>
      </c>
      <c r="E129" t="str">
        <f>IF('Master Sheet'!C130="Area 6 (Anitha P)",'Master Sheet'!E130,"")</f>
        <v/>
      </c>
      <c r="F129" t="str">
        <f>IF('Master Sheet'!C130="Area 6 (Anitha P)",'Master Sheet'!F130,"")</f>
        <v/>
      </c>
      <c r="G129" t="str">
        <f>IF('Master Sheet'!C130="Area 6 (Anitha P)",'Master Sheet'!G130,"")</f>
        <v/>
      </c>
      <c r="H129" t="str">
        <f>IF('Master Sheet'!C130="Area 6 (Anitha P)",'Master Sheet'!H130,"")</f>
        <v/>
      </c>
      <c r="I129" t="str">
        <f>IF('Master Sheet'!C130="Area 6 (Anitha P)",'Master Sheet'!I130,"")</f>
        <v/>
      </c>
      <c r="J129" t="str">
        <f>IF('Master Sheet'!C130="Area 6 (Anitha P)",'Master Sheet'!J130,"")</f>
        <v/>
      </c>
      <c r="K129" t="str">
        <f>IF('Master Sheet'!C130="Area 6 (Anitha P)",'Master Sheet'!K130,"")</f>
        <v/>
      </c>
      <c r="L129" t="str">
        <f>IF('Master Sheet'!C130="Area 6 (Anitha P)",'Master Sheet'!L130,"")</f>
        <v/>
      </c>
      <c r="M129" t="str">
        <f>IF('Master Sheet'!C130="Area 6 (Anitha P)",'Master Sheet'!M130,"")</f>
        <v/>
      </c>
      <c r="N129" t="str">
        <f>IF('Master Sheet'!C130="Area 6 (Anitha P)",'Master Sheet'!N130,"")</f>
        <v/>
      </c>
      <c r="O129" t="str">
        <f>IF('Master Sheet'!C130="Area 6 (Anitha P)",'Master Sheet'!O130,"")</f>
        <v/>
      </c>
      <c r="P129" t="str">
        <f>IF('Master Sheet'!C130="Area 6 (Anitha P)",'Master Sheet'!P130,"")</f>
        <v/>
      </c>
    </row>
    <row r="130" spans="1:16" hidden="1" x14ac:dyDescent="0.25">
      <c r="A130" t="str">
        <f>IF('Master Sheet'!C131="Area 6 (Anitha P)",'Master Sheet'!A131,"")</f>
        <v/>
      </c>
      <c r="B130" t="str">
        <f>IF('Master Sheet'!C131="Area 6 (Anitha P)",'Master Sheet'!B131,"")</f>
        <v/>
      </c>
      <c r="C130" t="s">
        <v>9</v>
      </c>
      <c r="D130" t="str">
        <f>IF('Master Sheet'!C131="Area 6 (Anitha P)",'Master Sheet'!D131,"")</f>
        <v/>
      </c>
      <c r="E130" t="str">
        <f>IF('Master Sheet'!C131="Area 6 (Anitha P)",'Master Sheet'!E131,"")</f>
        <v/>
      </c>
      <c r="F130" t="str">
        <f>IF('Master Sheet'!C131="Area 6 (Anitha P)",'Master Sheet'!F131,"")</f>
        <v/>
      </c>
      <c r="G130" t="str">
        <f>IF('Master Sheet'!C131="Area 6 (Anitha P)",'Master Sheet'!G131,"")</f>
        <v/>
      </c>
      <c r="H130" t="str">
        <f>IF('Master Sheet'!C131="Area 6 (Anitha P)",'Master Sheet'!H131,"")</f>
        <v/>
      </c>
      <c r="I130" t="str">
        <f>IF('Master Sheet'!C131="Area 6 (Anitha P)",'Master Sheet'!I131,"")</f>
        <v/>
      </c>
      <c r="J130" t="str">
        <f>IF('Master Sheet'!C131="Area 6 (Anitha P)",'Master Sheet'!J131,"")</f>
        <v/>
      </c>
      <c r="K130" t="str">
        <f>IF('Master Sheet'!C131="Area 6 (Anitha P)",'Master Sheet'!K131,"")</f>
        <v/>
      </c>
      <c r="L130" t="str">
        <f>IF('Master Sheet'!C131="Area 6 (Anitha P)",'Master Sheet'!L131,"")</f>
        <v/>
      </c>
      <c r="M130" t="str">
        <f>IF('Master Sheet'!C131="Area 6 (Anitha P)",'Master Sheet'!M131,"")</f>
        <v/>
      </c>
      <c r="N130" t="str">
        <f>IF('Master Sheet'!C131="Area 6 (Anitha P)",'Master Sheet'!N131,"")</f>
        <v/>
      </c>
      <c r="O130" t="str">
        <f>IF('Master Sheet'!C131="Area 6 (Anitha P)",'Master Sheet'!O131,"")</f>
        <v/>
      </c>
      <c r="P130" t="str">
        <f>IF('Master Sheet'!C131="Area 6 (Anitha P)",'Master Sheet'!P131,"")</f>
        <v/>
      </c>
    </row>
    <row r="131" spans="1:16" hidden="1" x14ac:dyDescent="0.25">
      <c r="A131" t="str">
        <f>IF('Master Sheet'!C132="Area 6 (Anitha P)",'Master Sheet'!A132,"")</f>
        <v/>
      </c>
      <c r="B131" t="str">
        <f>IF('Master Sheet'!C132="Area 6 (Anitha P)",'Master Sheet'!B132,"")</f>
        <v/>
      </c>
      <c r="C131" t="s">
        <v>9</v>
      </c>
      <c r="D131" t="str">
        <f>IF('Master Sheet'!C132="Area 6 (Anitha P)",'Master Sheet'!D132,"")</f>
        <v/>
      </c>
      <c r="E131" t="str">
        <f>IF('Master Sheet'!C132="Area 6 (Anitha P)",'Master Sheet'!E132,"")</f>
        <v/>
      </c>
      <c r="F131" t="str">
        <f>IF('Master Sheet'!C132="Area 6 (Anitha P)",'Master Sheet'!F132,"")</f>
        <v/>
      </c>
      <c r="G131" t="str">
        <f>IF('Master Sheet'!C132="Area 6 (Anitha P)",'Master Sheet'!G132,"")</f>
        <v/>
      </c>
      <c r="H131" t="str">
        <f>IF('Master Sheet'!C132="Area 6 (Anitha P)",'Master Sheet'!H132,"")</f>
        <v/>
      </c>
      <c r="I131" t="str">
        <f>IF('Master Sheet'!C132="Area 6 (Anitha P)",'Master Sheet'!I132,"")</f>
        <v/>
      </c>
      <c r="J131" t="str">
        <f>IF('Master Sheet'!C132="Area 6 (Anitha P)",'Master Sheet'!J132,"")</f>
        <v/>
      </c>
      <c r="K131" t="str">
        <f>IF('Master Sheet'!C132="Area 6 (Anitha P)",'Master Sheet'!K132,"")</f>
        <v/>
      </c>
      <c r="L131" t="str">
        <f>IF('Master Sheet'!C132="Area 6 (Anitha P)",'Master Sheet'!L132,"")</f>
        <v/>
      </c>
      <c r="M131" t="str">
        <f>IF('Master Sheet'!C132="Area 6 (Anitha P)",'Master Sheet'!M132,"")</f>
        <v/>
      </c>
      <c r="N131" t="str">
        <f>IF('Master Sheet'!C132="Area 6 (Anitha P)",'Master Sheet'!N132,"")</f>
        <v/>
      </c>
      <c r="O131" t="str">
        <f>IF('Master Sheet'!C132="Area 6 (Anitha P)",'Master Sheet'!O132,"")</f>
        <v/>
      </c>
      <c r="P131" t="str">
        <f>IF('Master Sheet'!C132="Area 6 (Anitha P)",'Master Sheet'!P132,"")</f>
        <v/>
      </c>
    </row>
    <row r="132" spans="1:16" hidden="1" x14ac:dyDescent="0.25">
      <c r="A132" t="str">
        <f>IF('Master Sheet'!C133="Area 6 (Anitha P)",'Master Sheet'!A133,"")</f>
        <v/>
      </c>
      <c r="B132" t="str">
        <f>IF('Master Sheet'!C133="Area 6 (Anitha P)",'Master Sheet'!B133,"")</f>
        <v/>
      </c>
      <c r="C132" t="s">
        <v>9</v>
      </c>
      <c r="D132" t="str">
        <f>IF('Master Sheet'!C133="Area 6 (Anitha P)",'Master Sheet'!D133,"")</f>
        <v/>
      </c>
      <c r="E132" t="str">
        <f>IF('Master Sheet'!C133="Area 6 (Anitha P)",'Master Sheet'!E133,"")</f>
        <v/>
      </c>
      <c r="F132" t="str">
        <f>IF('Master Sheet'!C133="Area 6 (Anitha P)",'Master Sheet'!F133,"")</f>
        <v/>
      </c>
      <c r="G132" t="str">
        <f>IF('Master Sheet'!C133="Area 6 (Anitha P)",'Master Sheet'!G133,"")</f>
        <v/>
      </c>
      <c r="H132" t="str">
        <f>IF('Master Sheet'!C133="Area 6 (Anitha P)",'Master Sheet'!H133,"")</f>
        <v/>
      </c>
      <c r="I132" t="str">
        <f>IF('Master Sheet'!C133="Area 6 (Anitha P)",'Master Sheet'!I133,"")</f>
        <v/>
      </c>
      <c r="J132" t="str">
        <f>IF('Master Sheet'!C133="Area 6 (Anitha P)",'Master Sheet'!J133,"")</f>
        <v/>
      </c>
      <c r="K132" t="str">
        <f>IF('Master Sheet'!C133="Area 6 (Anitha P)",'Master Sheet'!K133,"")</f>
        <v/>
      </c>
      <c r="L132" t="str">
        <f>IF('Master Sheet'!C133="Area 6 (Anitha P)",'Master Sheet'!L133,"")</f>
        <v/>
      </c>
      <c r="M132" t="str">
        <f>IF('Master Sheet'!C133="Area 6 (Anitha P)",'Master Sheet'!M133,"")</f>
        <v/>
      </c>
      <c r="N132" t="str">
        <f>IF('Master Sheet'!C133="Area 6 (Anitha P)",'Master Sheet'!N133,"")</f>
        <v/>
      </c>
      <c r="O132" t="str">
        <f>IF('Master Sheet'!C133="Area 6 (Anitha P)",'Master Sheet'!O133,"")</f>
        <v/>
      </c>
      <c r="P132" t="str">
        <f>IF('Master Sheet'!C133="Area 6 (Anitha P)",'Master Sheet'!P133,"")</f>
        <v/>
      </c>
    </row>
    <row r="133" spans="1:16" hidden="1" x14ac:dyDescent="0.25">
      <c r="A133" t="str">
        <f>IF('Master Sheet'!C134="Area 6 (Anitha P)",'Master Sheet'!A134,"")</f>
        <v/>
      </c>
      <c r="B133" t="str">
        <f>IF('Master Sheet'!C134="Area 6 (Anitha P)",'Master Sheet'!B134,"")</f>
        <v/>
      </c>
      <c r="C133" t="s">
        <v>9</v>
      </c>
      <c r="D133" t="str">
        <f>IF('Master Sheet'!C134="Area 6 (Anitha P)",'Master Sheet'!D134,"")</f>
        <v/>
      </c>
      <c r="E133" t="str">
        <f>IF('Master Sheet'!C134="Area 6 (Anitha P)",'Master Sheet'!E134,"")</f>
        <v/>
      </c>
      <c r="F133" t="str">
        <f>IF('Master Sheet'!C134="Area 6 (Anitha P)",'Master Sheet'!F134,"")</f>
        <v/>
      </c>
      <c r="G133" t="str">
        <f>IF('Master Sheet'!C134="Area 6 (Anitha P)",'Master Sheet'!G134,"")</f>
        <v/>
      </c>
      <c r="H133" t="str">
        <f>IF('Master Sheet'!C134="Area 6 (Anitha P)",'Master Sheet'!H134,"")</f>
        <v/>
      </c>
      <c r="I133" t="str">
        <f>IF('Master Sheet'!C134="Area 6 (Anitha P)",'Master Sheet'!I134,"")</f>
        <v/>
      </c>
      <c r="J133" t="str">
        <f>IF('Master Sheet'!C134="Area 6 (Anitha P)",'Master Sheet'!J134,"")</f>
        <v/>
      </c>
      <c r="K133" t="str">
        <f>IF('Master Sheet'!C134="Area 6 (Anitha P)",'Master Sheet'!K134,"")</f>
        <v/>
      </c>
      <c r="L133" t="str">
        <f>IF('Master Sheet'!C134="Area 6 (Anitha P)",'Master Sheet'!L134,"")</f>
        <v/>
      </c>
      <c r="M133" t="str">
        <f>IF('Master Sheet'!C134="Area 6 (Anitha P)",'Master Sheet'!M134,"")</f>
        <v/>
      </c>
      <c r="N133" t="str">
        <f>IF('Master Sheet'!C134="Area 6 (Anitha P)",'Master Sheet'!N134,"")</f>
        <v/>
      </c>
      <c r="O133" t="str">
        <f>IF('Master Sheet'!C134="Area 6 (Anitha P)",'Master Sheet'!O134,"")</f>
        <v/>
      </c>
      <c r="P133" t="str">
        <f>IF('Master Sheet'!C134="Area 6 (Anitha P)",'Master Sheet'!P134,"")</f>
        <v/>
      </c>
    </row>
    <row r="134" spans="1:16" hidden="1" x14ac:dyDescent="0.25">
      <c r="A134" t="str">
        <f>IF('Master Sheet'!C135="Area 6 (Anitha P)",'Master Sheet'!A135,"")</f>
        <v/>
      </c>
      <c r="B134" t="str">
        <f>IF('Master Sheet'!C135="Area 6 (Anitha P)",'Master Sheet'!B135,"")</f>
        <v/>
      </c>
      <c r="C134" t="s">
        <v>9</v>
      </c>
      <c r="D134" t="str">
        <f>IF('Master Sheet'!C135="Area 6 (Anitha P)",'Master Sheet'!D135,"")</f>
        <v/>
      </c>
      <c r="E134" t="str">
        <f>IF('Master Sheet'!C135="Area 6 (Anitha P)",'Master Sheet'!E135,"")</f>
        <v/>
      </c>
      <c r="F134" t="str">
        <f>IF('Master Sheet'!C135="Area 6 (Anitha P)",'Master Sheet'!F135,"")</f>
        <v/>
      </c>
      <c r="G134" t="str">
        <f>IF('Master Sheet'!C135="Area 6 (Anitha P)",'Master Sheet'!G135,"")</f>
        <v/>
      </c>
      <c r="H134" t="str">
        <f>IF('Master Sheet'!C135="Area 6 (Anitha P)",'Master Sheet'!H135,"")</f>
        <v/>
      </c>
      <c r="I134" t="str">
        <f>IF('Master Sheet'!C135="Area 6 (Anitha P)",'Master Sheet'!I135,"")</f>
        <v/>
      </c>
      <c r="J134" t="str">
        <f>IF('Master Sheet'!C135="Area 6 (Anitha P)",'Master Sheet'!J135,"")</f>
        <v/>
      </c>
      <c r="K134" t="str">
        <f>IF('Master Sheet'!C135="Area 6 (Anitha P)",'Master Sheet'!K135,"")</f>
        <v/>
      </c>
      <c r="L134" t="str">
        <f>IF('Master Sheet'!C135="Area 6 (Anitha P)",'Master Sheet'!L135,"")</f>
        <v/>
      </c>
      <c r="M134" t="str">
        <f>IF('Master Sheet'!C135="Area 6 (Anitha P)",'Master Sheet'!M135,"")</f>
        <v/>
      </c>
      <c r="N134" t="str">
        <f>IF('Master Sheet'!C135="Area 6 (Anitha P)",'Master Sheet'!N135,"")</f>
        <v/>
      </c>
      <c r="O134" t="str">
        <f>IF('Master Sheet'!C135="Area 6 (Anitha P)",'Master Sheet'!O135,"")</f>
        <v/>
      </c>
      <c r="P134" t="str">
        <f>IF('Master Sheet'!C135="Area 6 (Anitha P)",'Master Sheet'!P135,"")</f>
        <v/>
      </c>
    </row>
    <row r="135" spans="1:16" hidden="1" x14ac:dyDescent="0.25">
      <c r="A135" t="str">
        <f>IF('Master Sheet'!C136="Area 6 (Anitha P)",'Master Sheet'!A136,"")</f>
        <v/>
      </c>
      <c r="B135" t="str">
        <f>IF('Master Sheet'!C136="Area 6 (Anitha P)",'Master Sheet'!B136,"")</f>
        <v/>
      </c>
      <c r="C135" t="s">
        <v>9</v>
      </c>
      <c r="D135" t="str">
        <f>IF('Master Sheet'!C136="Area 6 (Anitha P)",'Master Sheet'!D136,"")</f>
        <v/>
      </c>
      <c r="E135" t="str">
        <f>IF('Master Sheet'!C136="Area 6 (Anitha P)",'Master Sheet'!E136,"")</f>
        <v/>
      </c>
      <c r="F135" t="str">
        <f>IF('Master Sheet'!C136="Area 6 (Anitha P)",'Master Sheet'!F136,"")</f>
        <v/>
      </c>
      <c r="G135" t="str">
        <f>IF('Master Sheet'!C136="Area 6 (Anitha P)",'Master Sheet'!G136,"")</f>
        <v/>
      </c>
      <c r="H135" t="str">
        <f>IF('Master Sheet'!C136="Area 6 (Anitha P)",'Master Sheet'!H136,"")</f>
        <v/>
      </c>
      <c r="I135" t="str">
        <f>IF('Master Sheet'!C136="Area 6 (Anitha P)",'Master Sheet'!I136,"")</f>
        <v/>
      </c>
      <c r="J135" t="str">
        <f>IF('Master Sheet'!C136="Area 6 (Anitha P)",'Master Sheet'!J136,"")</f>
        <v/>
      </c>
      <c r="K135" t="str">
        <f>IF('Master Sheet'!C136="Area 6 (Anitha P)",'Master Sheet'!K136,"")</f>
        <v/>
      </c>
      <c r="L135" t="str">
        <f>IF('Master Sheet'!C136="Area 6 (Anitha P)",'Master Sheet'!L136,"")</f>
        <v/>
      </c>
      <c r="M135" t="str">
        <f>IF('Master Sheet'!C136="Area 6 (Anitha P)",'Master Sheet'!M136,"")</f>
        <v/>
      </c>
      <c r="N135" t="str">
        <f>IF('Master Sheet'!C136="Area 6 (Anitha P)",'Master Sheet'!N136,"")</f>
        <v/>
      </c>
      <c r="O135" t="str">
        <f>IF('Master Sheet'!C136="Area 6 (Anitha P)",'Master Sheet'!O136,"")</f>
        <v/>
      </c>
      <c r="P135" t="str">
        <f>IF('Master Sheet'!C136="Area 6 (Anitha P)",'Master Sheet'!P136,"")</f>
        <v/>
      </c>
    </row>
    <row r="136" spans="1:16" hidden="1" x14ac:dyDescent="0.25">
      <c r="A136" t="str">
        <f>IF('Master Sheet'!C137="Area 6 (Anitha P)",'Master Sheet'!A137,"")</f>
        <v/>
      </c>
      <c r="B136" t="str">
        <f>IF('Master Sheet'!C137="Area 6 (Anitha P)",'Master Sheet'!B137,"")</f>
        <v/>
      </c>
      <c r="C136" t="s">
        <v>9</v>
      </c>
      <c r="D136" t="str">
        <f>IF('Master Sheet'!C137="Area 6 (Anitha P)",'Master Sheet'!D137,"")</f>
        <v/>
      </c>
      <c r="E136" t="str">
        <f>IF('Master Sheet'!C137="Area 6 (Anitha P)",'Master Sheet'!E137,"")</f>
        <v/>
      </c>
      <c r="F136" t="str">
        <f>IF('Master Sheet'!C137="Area 6 (Anitha P)",'Master Sheet'!F137,"")</f>
        <v/>
      </c>
      <c r="G136" t="str">
        <f>IF('Master Sheet'!C137="Area 6 (Anitha P)",'Master Sheet'!G137,"")</f>
        <v/>
      </c>
      <c r="H136" t="str">
        <f>IF('Master Sheet'!C137="Area 6 (Anitha P)",'Master Sheet'!H137,"")</f>
        <v/>
      </c>
      <c r="I136" t="str">
        <f>IF('Master Sheet'!C137="Area 6 (Anitha P)",'Master Sheet'!I137,"")</f>
        <v/>
      </c>
      <c r="J136" t="str">
        <f>IF('Master Sheet'!C137="Area 6 (Anitha P)",'Master Sheet'!J137,"")</f>
        <v/>
      </c>
      <c r="K136" t="str">
        <f>IF('Master Sheet'!C137="Area 6 (Anitha P)",'Master Sheet'!K137,"")</f>
        <v/>
      </c>
      <c r="L136" t="str">
        <f>IF('Master Sheet'!C137="Area 6 (Anitha P)",'Master Sheet'!L137,"")</f>
        <v/>
      </c>
      <c r="M136" t="str">
        <f>IF('Master Sheet'!C137="Area 6 (Anitha P)",'Master Sheet'!M137,"")</f>
        <v/>
      </c>
      <c r="N136" t="str">
        <f>IF('Master Sheet'!C137="Area 6 (Anitha P)",'Master Sheet'!N137,"")</f>
        <v/>
      </c>
      <c r="O136" t="str">
        <f>IF('Master Sheet'!C137="Area 6 (Anitha P)",'Master Sheet'!O137,"")</f>
        <v/>
      </c>
      <c r="P136" t="str">
        <f>IF('Master Sheet'!C137="Area 6 (Anitha P)",'Master Sheet'!P137,"")</f>
        <v/>
      </c>
    </row>
    <row r="137" spans="1:16" hidden="1" x14ac:dyDescent="0.25">
      <c r="A137" t="str">
        <f>IF('Master Sheet'!C138="Area 6 (Anitha P)",'Master Sheet'!A138,"")</f>
        <v/>
      </c>
      <c r="B137" t="str">
        <f>IF('Master Sheet'!C138="Area 6 (Anitha P)",'Master Sheet'!B138,"")</f>
        <v/>
      </c>
      <c r="C137" t="s">
        <v>9</v>
      </c>
      <c r="D137" t="str">
        <f>IF('Master Sheet'!C138="Area 6 (Anitha P)",'Master Sheet'!D138,"")</f>
        <v/>
      </c>
      <c r="E137" t="str">
        <f>IF('Master Sheet'!C138="Area 6 (Anitha P)",'Master Sheet'!E138,"")</f>
        <v/>
      </c>
      <c r="F137" t="str">
        <f>IF('Master Sheet'!C138="Area 6 (Anitha P)",'Master Sheet'!F138,"")</f>
        <v/>
      </c>
      <c r="G137" t="str">
        <f>IF('Master Sheet'!C138="Area 6 (Anitha P)",'Master Sheet'!G138,"")</f>
        <v/>
      </c>
      <c r="H137" t="str">
        <f>IF('Master Sheet'!C138="Area 6 (Anitha P)",'Master Sheet'!H138,"")</f>
        <v/>
      </c>
      <c r="I137" t="str">
        <f>IF('Master Sheet'!C138="Area 6 (Anitha P)",'Master Sheet'!I138,"")</f>
        <v/>
      </c>
      <c r="J137" t="str">
        <f>IF('Master Sheet'!C138="Area 6 (Anitha P)",'Master Sheet'!J138,"")</f>
        <v/>
      </c>
      <c r="K137" t="str">
        <f>IF('Master Sheet'!C138="Area 6 (Anitha P)",'Master Sheet'!K138,"")</f>
        <v/>
      </c>
      <c r="L137" t="str">
        <f>IF('Master Sheet'!C138="Area 6 (Anitha P)",'Master Sheet'!L138,"")</f>
        <v/>
      </c>
      <c r="M137" t="str">
        <f>IF('Master Sheet'!C138="Area 6 (Anitha P)",'Master Sheet'!M138,"")</f>
        <v/>
      </c>
      <c r="N137" t="str">
        <f>IF('Master Sheet'!C138="Area 6 (Anitha P)",'Master Sheet'!N138,"")</f>
        <v/>
      </c>
      <c r="O137" t="str">
        <f>IF('Master Sheet'!C138="Area 6 (Anitha P)",'Master Sheet'!O138,"")</f>
        <v/>
      </c>
      <c r="P137" t="str">
        <f>IF('Master Sheet'!C138="Area 6 (Anitha P)",'Master Sheet'!P138,"")</f>
        <v/>
      </c>
    </row>
    <row r="138" spans="1:16" hidden="1" x14ac:dyDescent="0.25">
      <c r="A138" t="str">
        <f>IF('Master Sheet'!C139="Area 6 (Anitha P)",'Master Sheet'!A139,"")</f>
        <v/>
      </c>
      <c r="B138" t="str">
        <f>IF('Master Sheet'!C139="Area 6 (Anitha P)",'Master Sheet'!B139,"")</f>
        <v/>
      </c>
      <c r="C138" t="s">
        <v>9</v>
      </c>
      <c r="D138" t="str">
        <f>IF('Master Sheet'!C139="Area 6 (Anitha P)",'Master Sheet'!D139,"")</f>
        <v/>
      </c>
      <c r="E138" t="str">
        <f>IF('Master Sheet'!C139="Area 6 (Anitha P)",'Master Sheet'!E139,"")</f>
        <v/>
      </c>
      <c r="F138" t="str">
        <f>IF('Master Sheet'!C139="Area 6 (Anitha P)",'Master Sheet'!F139,"")</f>
        <v/>
      </c>
      <c r="G138" t="str">
        <f>IF('Master Sheet'!C139="Area 6 (Anitha P)",'Master Sheet'!G139,"")</f>
        <v/>
      </c>
      <c r="H138" t="str">
        <f>IF('Master Sheet'!C139="Area 6 (Anitha P)",'Master Sheet'!H139,"")</f>
        <v/>
      </c>
      <c r="I138" t="str">
        <f>IF('Master Sheet'!C139="Area 6 (Anitha P)",'Master Sheet'!I139,"")</f>
        <v/>
      </c>
      <c r="J138" t="str">
        <f>IF('Master Sheet'!C139="Area 6 (Anitha P)",'Master Sheet'!J139,"")</f>
        <v/>
      </c>
      <c r="K138" t="str">
        <f>IF('Master Sheet'!C139="Area 6 (Anitha P)",'Master Sheet'!K139,"")</f>
        <v/>
      </c>
      <c r="L138" t="str">
        <f>IF('Master Sheet'!C139="Area 6 (Anitha P)",'Master Sheet'!L139,"")</f>
        <v/>
      </c>
      <c r="M138" t="str">
        <f>IF('Master Sheet'!C139="Area 6 (Anitha P)",'Master Sheet'!M139,"")</f>
        <v/>
      </c>
      <c r="N138" t="str">
        <f>IF('Master Sheet'!C139="Area 6 (Anitha P)",'Master Sheet'!N139,"")</f>
        <v/>
      </c>
      <c r="O138" t="str">
        <f>IF('Master Sheet'!C139="Area 6 (Anitha P)",'Master Sheet'!O139,"")</f>
        <v/>
      </c>
      <c r="P138" t="str">
        <f>IF('Master Sheet'!C139="Area 6 (Anitha P)",'Master Sheet'!P139,"")</f>
        <v/>
      </c>
    </row>
    <row r="139" spans="1:16" hidden="1" x14ac:dyDescent="0.25">
      <c r="A139" t="str">
        <f>IF('Master Sheet'!C140="Area 6 (Anitha P)",'Master Sheet'!A140,"")</f>
        <v/>
      </c>
      <c r="B139" t="str">
        <f>IF('Master Sheet'!C140="Area 6 (Anitha P)",'Master Sheet'!B140,"")</f>
        <v/>
      </c>
      <c r="C139" t="s">
        <v>9</v>
      </c>
      <c r="D139" t="str">
        <f>IF('Master Sheet'!C140="Area 6 (Anitha P)",'Master Sheet'!D140,"")</f>
        <v/>
      </c>
      <c r="E139" t="str">
        <f>IF('Master Sheet'!C140="Area 6 (Anitha P)",'Master Sheet'!E140,"")</f>
        <v/>
      </c>
      <c r="F139" t="str">
        <f>IF('Master Sheet'!C140="Area 6 (Anitha P)",'Master Sheet'!F140,"")</f>
        <v/>
      </c>
      <c r="G139" t="str">
        <f>IF('Master Sheet'!C140="Area 6 (Anitha P)",'Master Sheet'!G140,"")</f>
        <v/>
      </c>
      <c r="H139" t="str">
        <f>IF('Master Sheet'!C140="Area 6 (Anitha P)",'Master Sheet'!H140,"")</f>
        <v/>
      </c>
      <c r="I139" t="str">
        <f>IF('Master Sheet'!C140="Area 6 (Anitha P)",'Master Sheet'!I140,"")</f>
        <v/>
      </c>
      <c r="J139" t="str">
        <f>IF('Master Sheet'!C140="Area 6 (Anitha P)",'Master Sheet'!J140,"")</f>
        <v/>
      </c>
      <c r="K139" t="str">
        <f>IF('Master Sheet'!C140="Area 6 (Anitha P)",'Master Sheet'!K140,"")</f>
        <v/>
      </c>
      <c r="L139" t="str">
        <f>IF('Master Sheet'!C140="Area 6 (Anitha P)",'Master Sheet'!L140,"")</f>
        <v/>
      </c>
      <c r="M139" t="str">
        <f>IF('Master Sheet'!C140="Area 6 (Anitha P)",'Master Sheet'!M140,"")</f>
        <v/>
      </c>
      <c r="N139" t="str">
        <f>IF('Master Sheet'!C140="Area 6 (Anitha P)",'Master Sheet'!N140,"")</f>
        <v/>
      </c>
      <c r="O139" t="str">
        <f>IF('Master Sheet'!C140="Area 6 (Anitha P)",'Master Sheet'!O140,"")</f>
        <v/>
      </c>
      <c r="P139" t="str">
        <f>IF('Master Sheet'!C140="Area 6 (Anitha P)",'Master Sheet'!P140,"")</f>
        <v/>
      </c>
    </row>
    <row r="140" spans="1:16" hidden="1" x14ac:dyDescent="0.25">
      <c r="A140" t="str">
        <f>IF('Master Sheet'!C141="Area 6 (Anitha P)",'Master Sheet'!A141,"")</f>
        <v/>
      </c>
      <c r="B140" t="str">
        <f>IF('Master Sheet'!C141="Area 6 (Anitha P)",'Master Sheet'!B141,"")</f>
        <v/>
      </c>
      <c r="C140" t="s">
        <v>9</v>
      </c>
      <c r="D140" t="str">
        <f>IF('Master Sheet'!C141="Area 6 (Anitha P)",'Master Sheet'!D141,"")</f>
        <v/>
      </c>
      <c r="E140" t="str">
        <f>IF('Master Sheet'!C141="Area 6 (Anitha P)",'Master Sheet'!E141,"")</f>
        <v/>
      </c>
      <c r="F140" t="str">
        <f>IF('Master Sheet'!C141="Area 6 (Anitha P)",'Master Sheet'!F141,"")</f>
        <v/>
      </c>
      <c r="G140" t="str">
        <f>IF('Master Sheet'!C141="Area 6 (Anitha P)",'Master Sheet'!G141,"")</f>
        <v/>
      </c>
      <c r="H140" t="str">
        <f>IF('Master Sheet'!C141="Area 6 (Anitha P)",'Master Sheet'!H141,"")</f>
        <v/>
      </c>
      <c r="I140" t="str">
        <f>IF('Master Sheet'!C141="Area 6 (Anitha P)",'Master Sheet'!I141,"")</f>
        <v/>
      </c>
      <c r="J140" t="str">
        <f>IF('Master Sheet'!C141="Area 6 (Anitha P)",'Master Sheet'!J141,"")</f>
        <v/>
      </c>
      <c r="K140" t="str">
        <f>IF('Master Sheet'!C141="Area 6 (Anitha P)",'Master Sheet'!K141,"")</f>
        <v/>
      </c>
      <c r="L140" t="str">
        <f>IF('Master Sheet'!C141="Area 6 (Anitha P)",'Master Sheet'!L141,"")</f>
        <v/>
      </c>
      <c r="M140" t="str">
        <f>IF('Master Sheet'!C141="Area 6 (Anitha P)",'Master Sheet'!M141,"")</f>
        <v/>
      </c>
      <c r="N140" t="str">
        <f>IF('Master Sheet'!C141="Area 6 (Anitha P)",'Master Sheet'!N141,"")</f>
        <v/>
      </c>
      <c r="O140" t="str">
        <f>IF('Master Sheet'!C141="Area 6 (Anitha P)",'Master Sheet'!O141,"")</f>
        <v/>
      </c>
      <c r="P140" t="str">
        <f>IF('Master Sheet'!C141="Area 6 (Anitha P)",'Master Sheet'!P141,"")</f>
        <v/>
      </c>
    </row>
    <row r="141" spans="1:16" hidden="1" x14ac:dyDescent="0.25">
      <c r="A141" t="str">
        <f>IF('Master Sheet'!C142="Area 6 (Anitha P)",'Master Sheet'!A142,"")</f>
        <v/>
      </c>
      <c r="B141" t="str">
        <f>IF('Master Sheet'!C142="Area 6 (Anitha P)",'Master Sheet'!B142,"")</f>
        <v/>
      </c>
      <c r="C141" t="s">
        <v>9</v>
      </c>
      <c r="D141" t="str">
        <f>IF('Master Sheet'!C142="Area 6 (Anitha P)",'Master Sheet'!D142,"")</f>
        <v/>
      </c>
      <c r="E141" t="str">
        <f>IF('Master Sheet'!C142="Area 6 (Anitha P)",'Master Sheet'!E142,"")</f>
        <v/>
      </c>
      <c r="F141" t="str">
        <f>IF('Master Sheet'!C142="Area 6 (Anitha P)",'Master Sheet'!F142,"")</f>
        <v/>
      </c>
      <c r="G141" t="str">
        <f>IF('Master Sheet'!C142="Area 6 (Anitha P)",'Master Sheet'!G142,"")</f>
        <v/>
      </c>
      <c r="H141" t="str">
        <f>IF('Master Sheet'!C142="Area 6 (Anitha P)",'Master Sheet'!H142,"")</f>
        <v/>
      </c>
      <c r="I141" t="str">
        <f>IF('Master Sheet'!C142="Area 6 (Anitha P)",'Master Sheet'!I142,"")</f>
        <v/>
      </c>
      <c r="J141" t="str">
        <f>IF('Master Sheet'!C142="Area 6 (Anitha P)",'Master Sheet'!J142,"")</f>
        <v/>
      </c>
      <c r="K141" t="str">
        <f>IF('Master Sheet'!C142="Area 6 (Anitha P)",'Master Sheet'!K142,"")</f>
        <v/>
      </c>
      <c r="L141" t="str">
        <f>IF('Master Sheet'!C142="Area 6 (Anitha P)",'Master Sheet'!L142,"")</f>
        <v/>
      </c>
      <c r="M141" t="str">
        <f>IF('Master Sheet'!C142="Area 6 (Anitha P)",'Master Sheet'!M142,"")</f>
        <v/>
      </c>
      <c r="N141" t="str">
        <f>IF('Master Sheet'!C142="Area 6 (Anitha P)",'Master Sheet'!N142,"")</f>
        <v/>
      </c>
      <c r="O141" t="str">
        <f>IF('Master Sheet'!C142="Area 6 (Anitha P)",'Master Sheet'!O142,"")</f>
        <v/>
      </c>
      <c r="P141" t="str">
        <f>IF('Master Sheet'!C142="Area 6 (Anitha P)",'Master Sheet'!P142,"")</f>
        <v/>
      </c>
    </row>
    <row r="142" spans="1:16" hidden="1" x14ac:dyDescent="0.25">
      <c r="A142" t="str">
        <f>IF('Master Sheet'!C143="Area 6 (Anitha P)",'Master Sheet'!A143,"")</f>
        <v/>
      </c>
      <c r="B142" t="str">
        <f>IF('Master Sheet'!C143="Area 6 (Anitha P)",'Master Sheet'!B143,"")</f>
        <v/>
      </c>
      <c r="C142" t="s">
        <v>9</v>
      </c>
      <c r="D142" t="str">
        <f>IF('Master Sheet'!C143="Area 6 (Anitha P)",'Master Sheet'!D143,"")</f>
        <v/>
      </c>
      <c r="E142" t="str">
        <f>IF('Master Sheet'!C143="Area 6 (Anitha P)",'Master Sheet'!E143,"")</f>
        <v/>
      </c>
      <c r="F142" t="str">
        <f>IF('Master Sheet'!C143="Area 6 (Anitha P)",'Master Sheet'!F143,"")</f>
        <v/>
      </c>
      <c r="G142" t="str">
        <f>IF('Master Sheet'!C143="Area 6 (Anitha P)",'Master Sheet'!G143,"")</f>
        <v/>
      </c>
      <c r="H142" t="str">
        <f>IF('Master Sheet'!C143="Area 6 (Anitha P)",'Master Sheet'!H143,"")</f>
        <v/>
      </c>
      <c r="I142" t="str">
        <f>IF('Master Sheet'!C143="Area 6 (Anitha P)",'Master Sheet'!I143,"")</f>
        <v/>
      </c>
      <c r="J142" t="str">
        <f>IF('Master Sheet'!C143="Area 6 (Anitha P)",'Master Sheet'!J143,"")</f>
        <v/>
      </c>
      <c r="K142" t="str">
        <f>IF('Master Sheet'!C143="Area 6 (Anitha P)",'Master Sheet'!K143,"")</f>
        <v/>
      </c>
      <c r="L142" t="str">
        <f>IF('Master Sheet'!C143="Area 6 (Anitha P)",'Master Sheet'!L143,"")</f>
        <v/>
      </c>
      <c r="M142" t="str">
        <f>IF('Master Sheet'!C143="Area 6 (Anitha P)",'Master Sheet'!M143,"")</f>
        <v/>
      </c>
      <c r="N142" t="str">
        <f>IF('Master Sheet'!C143="Area 6 (Anitha P)",'Master Sheet'!N143,"")</f>
        <v/>
      </c>
      <c r="O142" t="str">
        <f>IF('Master Sheet'!C143="Area 6 (Anitha P)",'Master Sheet'!O143,"")</f>
        <v/>
      </c>
      <c r="P142" t="str">
        <f>IF('Master Sheet'!C143="Area 6 (Anitha P)",'Master Sheet'!P143,"")</f>
        <v/>
      </c>
    </row>
    <row r="143" spans="1:16" hidden="1" x14ac:dyDescent="0.25">
      <c r="A143" t="str">
        <f>IF('Master Sheet'!C144="Area 6 (Anitha P)",'Master Sheet'!A144,"")</f>
        <v/>
      </c>
      <c r="B143" t="str">
        <f>IF('Master Sheet'!C144="Area 6 (Anitha P)",'Master Sheet'!B144,"")</f>
        <v/>
      </c>
      <c r="C143" t="s">
        <v>9</v>
      </c>
      <c r="D143" t="str">
        <f>IF('Master Sheet'!C144="Area 6 (Anitha P)",'Master Sheet'!D144,"")</f>
        <v/>
      </c>
      <c r="E143" t="str">
        <f>IF('Master Sheet'!C144="Area 6 (Anitha P)",'Master Sheet'!E144,"")</f>
        <v/>
      </c>
      <c r="F143" t="str">
        <f>IF('Master Sheet'!C144="Area 6 (Anitha P)",'Master Sheet'!F144,"")</f>
        <v/>
      </c>
      <c r="G143" t="str">
        <f>IF('Master Sheet'!C144="Area 6 (Anitha P)",'Master Sheet'!G144,"")</f>
        <v/>
      </c>
      <c r="H143" t="str">
        <f>IF('Master Sheet'!C144="Area 6 (Anitha P)",'Master Sheet'!H144,"")</f>
        <v/>
      </c>
      <c r="I143" t="str">
        <f>IF('Master Sheet'!C144="Area 6 (Anitha P)",'Master Sheet'!I144,"")</f>
        <v/>
      </c>
      <c r="J143" t="str">
        <f>IF('Master Sheet'!C144="Area 6 (Anitha P)",'Master Sheet'!J144,"")</f>
        <v/>
      </c>
      <c r="K143" t="str">
        <f>IF('Master Sheet'!C144="Area 6 (Anitha P)",'Master Sheet'!K144,"")</f>
        <v/>
      </c>
      <c r="L143" t="str">
        <f>IF('Master Sheet'!C144="Area 6 (Anitha P)",'Master Sheet'!L144,"")</f>
        <v/>
      </c>
      <c r="M143" t="str">
        <f>IF('Master Sheet'!C144="Area 6 (Anitha P)",'Master Sheet'!M144,"")</f>
        <v/>
      </c>
      <c r="N143" t="str">
        <f>IF('Master Sheet'!C144="Area 6 (Anitha P)",'Master Sheet'!N144,"")</f>
        <v/>
      </c>
      <c r="O143" t="str">
        <f>IF('Master Sheet'!C144="Area 6 (Anitha P)",'Master Sheet'!O144,"")</f>
        <v/>
      </c>
      <c r="P143" t="str">
        <f>IF('Master Sheet'!C144="Area 6 (Anitha P)",'Master Sheet'!P144,"")</f>
        <v/>
      </c>
    </row>
    <row r="144" spans="1:16" hidden="1" x14ac:dyDescent="0.25">
      <c r="A144" t="str">
        <f>IF('Master Sheet'!C145="Area 6 (Anitha P)",'Master Sheet'!A145,"")</f>
        <v/>
      </c>
      <c r="B144" t="str">
        <f>IF('Master Sheet'!C145="Area 6 (Anitha P)",'Master Sheet'!B145,"")</f>
        <v/>
      </c>
      <c r="C144" t="s">
        <v>9</v>
      </c>
      <c r="D144" t="str">
        <f>IF('Master Sheet'!C145="Area 6 (Anitha P)",'Master Sheet'!D145,"")</f>
        <v/>
      </c>
      <c r="E144" t="str">
        <f>IF('Master Sheet'!C145="Area 6 (Anitha P)",'Master Sheet'!E145,"")</f>
        <v/>
      </c>
      <c r="F144" t="str">
        <f>IF('Master Sheet'!C145="Area 6 (Anitha P)",'Master Sheet'!F145,"")</f>
        <v/>
      </c>
      <c r="G144" t="str">
        <f>IF('Master Sheet'!C145="Area 6 (Anitha P)",'Master Sheet'!G145,"")</f>
        <v/>
      </c>
      <c r="H144" t="str">
        <f>IF('Master Sheet'!C145="Area 6 (Anitha P)",'Master Sheet'!H145,"")</f>
        <v/>
      </c>
      <c r="I144" t="str">
        <f>IF('Master Sheet'!C145="Area 6 (Anitha P)",'Master Sheet'!I145,"")</f>
        <v/>
      </c>
      <c r="J144" t="str">
        <f>IF('Master Sheet'!C145="Area 6 (Anitha P)",'Master Sheet'!J145,"")</f>
        <v/>
      </c>
      <c r="K144" t="str">
        <f>IF('Master Sheet'!C145="Area 6 (Anitha P)",'Master Sheet'!K145,"")</f>
        <v/>
      </c>
      <c r="L144" t="str">
        <f>IF('Master Sheet'!C145="Area 6 (Anitha P)",'Master Sheet'!L145,"")</f>
        <v/>
      </c>
      <c r="M144" t="str">
        <f>IF('Master Sheet'!C145="Area 6 (Anitha P)",'Master Sheet'!M145,"")</f>
        <v/>
      </c>
      <c r="N144" t="str">
        <f>IF('Master Sheet'!C145="Area 6 (Anitha P)",'Master Sheet'!N145,"")</f>
        <v/>
      </c>
      <c r="O144" t="str">
        <f>IF('Master Sheet'!C145="Area 6 (Anitha P)",'Master Sheet'!O145,"")</f>
        <v/>
      </c>
      <c r="P144" t="str">
        <f>IF('Master Sheet'!C145="Area 6 (Anitha P)",'Master Sheet'!P145,"")</f>
        <v/>
      </c>
    </row>
    <row r="145" spans="1:16" hidden="1" x14ac:dyDescent="0.25">
      <c r="A145" t="str">
        <f>IF('Master Sheet'!C146="Area 6 (Anitha P)",'Master Sheet'!A146,"")</f>
        <v/>
      </c>
      <c r="B145" t="str">
        <f>IF('Master Sheet'!C146="Area 6 (Anitha P)",'Master Sheet'!B146,"")</f>
        <v/>
      </c>
      <c r="C145" t="s">
        <v>9</v>
      </c>
      <c r="D145" t="str">
        <f>IF('Master Sheet'!C146="Area 6 (Anitha P)",'Master Sheet'!D146,"")</f>
        <v/>
      </c>
      <c r="E145" t="str">
        <f>IF('Master Sheet'!C146="Area 6 (Anitha P)",'Master Sheet'!E146,"")</f>
        <v/>
      </c>
      <c r="F145" t="str">
        <f>IF('Master Sheet'!C146="Area 6 (Anitha P)",'Master Sheet'!F146,"")</f>
        <v/>
      </c>
      <c r="G145" t="str">
        <f>IF('Master Sheet'!C146="Area 6 (Anitha P)",'Master Sheet'!G146,"")</f>
        <v/>
      </c>
      <c r="H145" t="str">
        <f>IF('Master Sheet'!C146="Area 6 (Anitha P)",'Master Sheet'!H146,"")</f>
        <v/>
      </c>
      <c r="I145" t="str">
        <f>IF('Master Sheet'!C146="Area 6 (Anitha P)",'Master Sheet'!I146,"")</f>
        <v/>
      </c>
      <c r="J145" t="str">
        <f>IF('Master Sheet'!C146="Area 6 (Anitha P)",'Master Sheet'!J146,"")</f>
        <v/>
      </c>
      <c r="K145" t="str">
        <f>IF('Master Sheet'!C146="Area 6 (Anitha P)",'Master Sheet'!K146,"")</f>
        <v/>
      </c>
      <c r="L145" t="str">
        <f>IF('Master Sheet'!C146="Area 6 (Anitha P)",'Master Sheet'!L146,"")</f>
        <v/>
      </c>
      <c r="M145" t="str">
        <f>IF('Master Sheet'!C146="Area 6 (Anitha P)",'Master Sheet'!M146,"")</f>
        <v/>
      </c>
      <c r="N145" t="str">
        <f>IF('Master Sheet'!C146="Area 6 (Anitha P)",'Master Sheet'!N146,"")</f>
        <v/>
      </c>
      <c r="O145" t="str">
        <f>IF('Master Sheet'!C146="Area 6 (Anitha P)",'Master Sheet'!O146,"")</f>
        <v/>
      </c>
      <c r="P145" t="str">
        <f>IF('Master Sheet'!C146="Area 6 (Anitha P)",'Master Sheet'!P146,"")</f>
        <v/>
      </c>
    </row>
    <row r="146" spans="1:16" hidden="1" x14ac:dyDescent="0.25">
      <c r="A146" t="str">
        <f>IF('Master Sheet'!C147="Area 6 (Anitha P)",'Master Sheet'!A147,"")</f>
        <v/>
      </c>
      <c r="B146" t="str">
        <f>IF('Master Sheet'!C147="Area 6 (Anitha P)",'Master Sheet'!B147,"")</f>
        <v/>
      </c>
      <c r="C146" t="s">
        <v>9</v>
      </c>
      <c r="D146" t="str">
        <f>IF('Master Sheet'!C147="Area 6 (Anitha P)",'Master Sheet'!D147,"")</f>
        <v/>
      </c>
      <c r="E146" t="str">
        <f>IF('Master Sheet'!C147="Area 6 (Anitha P)",'Master Sheet'!E147,"")</f>
        <v/>
      </c>
      <c r="F146" t="str">
        <f>IF('Master Sheet'!C147="Area 6 (Anitha P)",'Master Sheet'!F147,"")</f>
        <v/>
      </c>
      <c r="G146" t="str">
        <f>IF('Master Sheet'!C147="Area 6 (Anitha P)",'Master Sheet'!G147,"")</f>
        <v/>
      </c>
      <c r="H146" t="str">
        <f>IF('Master Sheet'!C147="Area 6 (Anitha P)",'Master Sheet'!H147,"")</f>
        <v/>
      </c>
      <c r="I146" t="str">
        <f>IF('Master Sheet'!C147="Area 6 (Anitha P)",'Master Sheet'!I147,"")</f>
        <v/>
      </c>
      <c r="J146" t="str">
        <f>IF('Master Sheet'!C147="Area 6 (Anitha P)",'Master Sheet'!J147,"")</f>
        <v/>
      </c>
      <c r="K146" t="str">
        <f>IF('Master Sheet'!C147="Area 6 (Anitha P)",'Master Sheet'!K147,"")</f>
        <v/>
      </c>
      <c r="L146" t="str">
        <f>IF('Master Sheet'!C147="Area 6 (Anitha P)",'Master Sheet'!L147,"")</f>
        <v/>
      </c>
      <c r="M146" t="str">
        <f>IF('Master Sheet'!C147="Area 6 (Anitha P)",'Master Sheet'!M147,"")</f>
        <v/>
      </c>
      <c r="N146" t="str">
        <f>IF('Master Sheet'!C147="Area 6 (Anitha P)",'Master Sheet'!N147,"")</f>
        <v/>
      </c>
      <c r="O146" t="str">
        <f>IF('Master Sheet'!C147="Area 6 (Anitha P)",'Master Sheet'!O147,"")</f>
        <v/>
      </c>
      <c r="P146" t="str">
        <f>IF('Master Sheet'!C147="Area 6 (Anitha P)",'Master Sheet'!P147,"")</f>
        <v/>
      </c>
    </row>
    <row r="147" spans="1:16" hidden="1" x14ac:dyDescent="0.25">
      <c r="A147" t="str">
        <f>IF('Master Sheet'!C148="Area 6 (Anitha P)",'Master Sheet'!A148,"")</f>
        <v/>
      </c>
      <c r="B147" t="str">
        <f>IF('Master Sheet'!C148="Area 6 (Anitha P)",'Master Sheet'!B148,"")</f>
        <v/>
      </c>
      <c r="C147" t="s">
        <v>9</v>
      </c>
      <c r="D147" t="str">
        <f>IF('Master Sheet'!C148="Area 6 (Anitha P)",'Master Sheet'!D148,"")</f>
        <v/>
      </c>
      <c r="E147" t="str">
        <f>IF('Master Sheet'!C148="Area 6 (Anitha P)",'Master Sheet'!E148,"")</f>
        <v/>
      </c>
      <c r="F147" t="str">
        <f>IF('Master Sheet'!C148="Area 6 (Anitha P)",'Master Sheet'!F148,"")</f>
        <v/>
      </c>
      <c r="G147" t="str">
        <f>IF('Master Sheet'!C148="Area 6 (Anitha P)",'Master Sheet'!G148,"")</f>
        <v/>
      </c>
      <c r="H147" t="str">
        <f>IF('Master Sheet'!C148="Area 6 (Anitha P)",'Master Sheet'!H148,"")</f>
        <v/>
      </c>
      <c r="I147" t="str">
        <f>IF('Master Sheet'!C148="Area 6 (Anitha P)",'Master Sheet'!I148,"")</f>
        <v/>
      </c>
      <c r="J147" t="str">
        <f>IF('Master Sheet'!C148="Area 6 (Anitha P)",'Master Sheet'!J148,"")</f>
        <v/>
      </c>
      <c r="K147" t="str">
        <f>IF('Master Sheet'!C148="Area 6 (Anitha P)",'Master Sheet'!K148,"")</f>
        <v/>
      </c>
      <c r="L147" t="str">
        <f>IF('Master Sheet'!C148="Area 6 (Anitha P)",'Master Sheet'!L148,"")</f>
        <v/>
      </c>
      <c r="M147" t="str">
        <f>IF('Master Sheet'!C148="Area 6 (Anitha P)",'Master Sheet'!M148,"")</f>
        <v/>
      </c>
      <c r="N147" t="str">
        <f>IF('Master Sheet'!C148="Area 6 (Anitha P)",'Master Sheet'!N148,"")</f>
        <v/>
      </c>
      <c r="O147" t="str">
        <f>IF('Master Sheet'!C148="Area 6 (Anitha P)",'Master Sheet'!O148,"")</f>
        <v/>
      </c>
      <c r="P147" t="str">
        <f>IF('Master Sheet'!C148="Area 6 (Anitha P)",'Master Sheet'!P148,"")</f>
        <v/>
      </c>
    </row>
    <row r="148" spans="1:16" hidden="1" x14ac:dyDescent="0.25">
      <c r="A148" t="str">
        <f>IF('Master Sheet'!C149="Area 6 (Anitha P)",'Master Sheet'!A149,"")</f>
        <v/>
      </c>
      <c r="B148" t="str">
        <f>IF('Master Sheet'!C149="Area 6 (Anitha P)",'Master Sheet'!B149,"")</f>
        <v/>
      </c>
      <c r="C148" t="s">
        <v>9</v>
      </c>
      <c r="D148" t="str">
        <f>IF('Master Sheet'!C149="Area 6 (Anitha P)",'Master Sheet'!D149,"")</f>
        <v/>
      </c>
      <c r="E148" t="str">
        <f>IF('Master Sheet'!C149="Area 6 (Anitha P)",'Master Sheet'!E149,"")</f>
        <v/>
      </c>
      <c r="F148" t="str">
        <f>IF('Master Sheet'!C149="Area 6 (Anitha P)",'Master Sheet'!F149,"")</f>
        <v/>
      </c>
      <c r="G148" t="str">
        <f>IF('Master Sheet'!C149="Area 6 (Anitha P)",'Master Sheet'!G149,"")</f>
        <v/>
      </c>
      <c r="H148" t="str">
        <f>IF('Master Sheet'!C149="Area 6 (Anitha P)",'Master Sheet'!H149,"")</f>
        <v/>
      </c>
      <c r="I148" t="str">
        <f>IF('Master Sheet'!C149="Area 6 (Anitha P)",'Master Sheet'!I149,"")</f>
        <v/>
      </c>
      <c r="J148" t="str">
        <f>IF('Master Sheet'!C149="Area 6 (Anitha P)",'Master Sheet'!J149,"")</f>
        <v/>
      </c>
      <c r="K148" t="str">
        <f>IF('Master Sheet'!C149="Area 6 (Anitha P)",'Master Sheet'!K149,"")</f>
        <v/>
      </c>
      <c r="L148" t="str">
        <f>IF('Master Sheet'!C149="Area 6 (Anitha P)",'Master Sheet'!L149,"")</f>
        <v/>
      </c>
      <c r="M148" t="str">
        <f>IF('Master Sheet'!C149="Area 6 (Anitha P)",'Master Sheet'!M149,"")</f>
        <v/>
      </c>
      <c r="N148" t="str">
        <f>IF('Master Sheet'!C149="Area 6 (Anitha P)",'Master Sheet'!N149,"")</f>
        <v/>
      </c>
      <c r="O148" t="str">
        <f>IF('Master Sheet'!C149="Area 6 (Anitha P)",'Master Sheet'!O149,"")</f>
        <v/>
      </c>
      <c r="P148" t="str">
        <f>IF('Master Sheet'!C149="Area 6 (Anitha P)",'Master Sheet'!P149,"")</f>
        <v/>
      </c>
    </row>
    <row r="149" spans="1:16" hidden="1" x14ac:dyDescent="0.25">
      <c r="A149" t="str">
        <f>IF('Master Sheet'!C150="Area 6 (Anitha P)",'Master Sheet'!A150,"")</f>
        <v/>
      </c>
      <c r="B149" t="str">
        <f>IF('Master Sheet'!C150="Area 6 (Anitha P)",'Master Sheet'!B150,"")</f>
        <v/>
      </c>
      <c r="C149" t="s">
        <v>9</v>
      </c>
      <c r="D149" t="str">
        <f>IF('Master Sheet'!C150="Area 6 (Anitha P)",'Master Sheet'!D150,"")</f>
        <v/>
      </c>
      <c r="E149" t="str">
        <f>IF('Master Sheet'!C150="Area 6 (Anitha P)",'Master Sheet'!E150,"")</f>
        <v/>
      </c>
      <c r="F149" t="str">
        <f>IF('Master Sheet'!C150="Area 6 (Anitha P)",'Master Sheet'!F150,"")</f>
        <v/>
      </c>
      <c r="G149" t="str">
        <f>IF('Master Sheet'!C150="Area 6 (Anitha P)",'Master Sheet'!G150,"")</f>
        <v/>
      </c>
      <c r="H149" t="str">
        <f>IF('Master Sheet'!C150="Area 6 (Anitha P)",'Master Sheet'!H150,"")</f>
        <v/>
      </c>
      <c r="I149" t="str">
        <f>IF('Master Sheet'!C150="Area 6 (Anitha P)",'Master Sheet'!I150,"")</f>
        <v/>
      </c>
      <c r="J149" t="str">
        <f>IF('Master Sheet'!C150="Area 6 (Anitha P)",'Master Sheet'!J150,"")</f>
        <v/>
      </c>
      <c r="K149" t="str">
        <f>IF('Master Sheet'!C150="Area 6 (Anitha P)",'Master Sheet'!K150,"")</f>
        <v/>
      </c>
      <c r="L149" t="str">
        <f>IF('Master Sheet'!C150="Area 6 (Anitha P)",'Master Sheet'!L150,"")</f>
        <v/>
      </c>
      <c r="M149" t="str">
        <f>IF('Master Sheet'!C150="Area 6 (Anitha P)",'Master Sheet'!M150,"")</f>
        <v/>
      </c>
      <c r="N149" t="str">
        <f>IF('Master Sheet'!C150="Area 6 (Anitha P)",'Master Sheet'!N150,"")</f>
        <v/>
      </c>
      <c r="O149" t="str">
        <f>IF('Master Sheet'!C150="Area 6 (Anitha P)",'Master Sheet'!O150,"")</f>
        <v/>
      </c>
      <c r="P149" t="str">
        <f>IF('Master Sheet'!C150="Area 6 (Anitha P)",'Master Sheet'!P150,"")</f>
        <v/>
      </c>
    </row>
    <row r="150" spans="1:16" hidden="1" x14ac:dyDescent="0.25">
      <c r="A150" t="str">
        <f>IF('Master Sheet'!C151="Area 6 (Anitha P)",'Master Sheet'!A151,"")</f>
        <v/>
      </c>
      <c r="B150" t="str">
        <f>IF('Master Sheet'!C151="Area 6 (Anitha P)",'Master Sheet'!B151,"")</f>
        <v/>
      </c>
      <c r="C150" t="s">
        <v>9</v>
      </c>
      <c r="D150" t="str">
        <f>IF('Master Sheet'!C151="Area 6 (Anitha P)",'Master Sheet'!D151,"")</f>
        <v/>
      </c>
      <c r="E150" t="str">
        <f>IF('Master Sheet'!C151="Area 6 (Anitha P)",'Master Sheet'!E151,"")</f>
        <v/>
      </c>
      <c r="F150" t="str">
        <f>IF('Master Sheet'!C151="Area 6 (Anitha P)",'Master Sheet'!F151,"")</f>
        <v/>
      </c>
      <c r="G150" t="str">
        <f>IF('Master Sheet'!C151="Area 6 (Anitha P)",'Master Sheet'!G151,"")</f>
        <v/>
      </c>
      <c r="H150" t="str">
        <f>IF('Master Sheet'!C151="Area 6 (Anitha P)",'Master Sheet'!H151,"")</f>
        <v/>
      </c>
      <c r="I150" t="str">
        <f>IF('Master Sheet'!C151="Area 6 (Anitha P)",'Master Sheet'!I151,"")</f>
        <v/>
      </c>
      <c r="J150" t="str">
        <f>IF('Master Sheet'!C151="Area 6 (Anitha P)",'Master Sheet'!J151,"")</f>
        <v/>
      </c>
      <c r="K150" t="str">
        <f>IF('Master Sheet'!C151="Area 6 (Anitha P)",'Master Sheet'!K151,"")</f>
        <v/>
      </c>
      <c r="L150" t="str">
        <f>IF('Master Sheet'!C151="Area 6 (Anitha P)",'Master Sheet'!L151,"")</f>
        <v/>
      </c>
      <c r="M150" t="str">
        <f>IF('Master Sheet'!C151="Area 6 (Anitha P)",'Master Sheet'!M151,"")</f>
        <v/>
      </c>
      <c r="N150" t="str">
        <f>IF('Master Sheet'!C151="Area 6 (Anitha P)",'Master Sheet'!N151,"")</f>
        <v/>
      </c>
      <c r="O150" t="str">
        <f>IF('Master Sheet'!C151="Area 6 (Anitha P)",'Master Sheet'!O151,"")</f>
        <v/>
      </c>
      <c r="P150" t="str">
        <f>IF('Master Sheet'!C151="Area 6 (Anitha P)",'Master Sheet'!P151,"")</f>
        <v/>
      </c>
    </row>
    <row r="151" spans="1:16" hidden="1" x14ac:dyDescent="0.25">
      <c r="A151" t="str">
        <f>IF('Master Sheet'!C152="Area 6 (Anitha P)",'Master Sheet'!A152,"")</f>
        <v/>
      </c>
      <c r="B151" t="str">
        <f>IF('Master Sheet'!C152="Area 6 (Anitha P)",'Master Sheet'!B152,"")</f>
        <v/>
      </c>
      <c r="C151" t="s">
        <v>9</v>
      </c>
      <c r="D151" t="str">
        <f>IF('Master Sheet'!C152="Area 6 (Anitha P)",'Master Sheet'!D152,"")</f>
        <v/>
      </c>
      <c r="E151" t="str">
        <f>IF('Master Sheet'!C152="Area 6 (Anitha P)",'Master Sheet'!E152,"")</f>
        <v/>
      </c>
      <c r="F151" t="str">
        <f>IF('Master Sheet'!C152="Area 6 (Anitha P)",'Master Sheet'!F152,"")</f>
        <v/>
      </c>
      <c r="G151" t="str">
        <f>IF('Master Sheet'!C152="Area 6 (Anitha P)",'Master Sheet'!G152,"")</f>
        <v/>
      </c>
      <c r="H151" t="str">
        <f>IF('Master Sheet'!C152="Area 6 (Anitha P)",'Master Sheet'!H152,"")</f>
        <v/>
      </c>
      <c r="I151" t="str">
        <f>IF('Master Sheet'!C152="Area 6 (Anitha P)",'Master Sheet'!I152,"")</f>
        <v/>
      </c>
      <c r="J151" t="str">
        <f>IF('Master Sheet'!C152="Area 6 (Anitha P)",'Master Sheet'!J152,"")</f>
        <v/>
      </c>
      <c r="K151" t="str">
        <f>IF('Master Sheet'!C152="Area 6 (Anitha P)",'Master Sheet'!K152,"")</f>
        <v/>
      </c>
      <c r="L151" t="str">
        <f>IF('Master Sheet'!C152="Area 6 (Anitha P)",'Master Sheet'!L152,"")</f>
        <v/>
      </c>
      <c r="M151" t="str">
        <f>IF('Master Sheet'!C152="Area 6 (Anitha P)",'Master Sheet'!M152,"")</f>
        <v/>
      </c>
      <c r="N151" t="str">
        <f>IF('Master Sheet'!C152="Area 6 (Anitha P)",'Master Sheet'!N152,"")</f>
        <v/>
      </c>
      <c r="O151" t="str">
        <f>IF('Master Sheet'!C152="Area 6 (Anitha P)",'Master Sheet'!O152,"")</f>
        <v/>
      </c>
      <c r="P151" t="str">
        <f>IF('Master Sheet'!C152="Area 6 (Anitha P)",'Master Sheet'!P152,"")</f>
        <v/>
      </c>
    </row>
    <row r="152" spans="1:16" ht="15.75" x14ac:dyDescent="0.25">
      <c r="A152" s="2"/>
      <c r="B152" s="32"/>
      <c r="D152" s="4">
        <f>SUBTOTAL(9,D90:D151)</f>
        <v>2750</v>
      </c>
      <c r="E152" s="4">
        <f t="shared" ref="E152:M152" si="0">SUBTOTAL(9,E90:E151)</f>
        <v>3800</v>
      </c>
      <c r="F152" s="4">
        <f t="shared" si="0"/>
        <v>3200</v>
      </c>
      <c r="G152" s="4">
        <f t="shared" si="0"/>
        <v>2850</v>
      </c>
      <c r="H152" s="4">
        <f t="shared" si="0"/>
        <v>0</v>
      </c>
      <c r="I152" s="4">
        <f t="shared" si="0"/>
        <v>0</v>
      </c>
      <c r="J152" s="4">
        <f t="shared" si="0"/>
        <v>0</v>
      </c>
      <c r="K152" s="4">
        <f t="shared" si="0"/>
        <v>0</v>
      </c>
      <c r="L152" s="4">
        <f t="shared" si="0"/>
        <v>0</v>
      </c>
      <c r="M152" s="4">
        <f t="shared" si="0"/>
        <v>0</v>
      </c>
      <c r="N152" s="30">
        <f>D152+E152+F152+G152+H152+I152+J152+K152+L152+M152</f>
        <v>12600</v>
      </c>
      <c r="O152" s="2"/>
      <c r="P152" s="2"/>
    </row>
  </sheetData>
  <autoFilter ref="A1:P151">
    <filterColumn colId="0">
      <customFilters>
        <customFilter operator="notEqual" val=" "/>
      </customFilters>
    </filterColumn>
  </autoFilter>
  <printOptions horizontalCentered="1"/>
  <pageMargins left="0.75" right="0.75" top="1" bottom="1" header="0.5" footer="0.5"/>
  <pageSetup paperSize="8" scale="115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52"/>
  <sheetViews>
    <sheetView tabSelected="1" zoomScale="85" zoomScaleNormal="85" workbookViewId="0">
      <pane ySplit="101" topLeftCell="A102" activePane="bottomLeft" state="frozen"/>
      <selection pane="bottomLeft" activeCell="S107" sqref="S107"/>
    </sheetView>
  </sheetViews>
  <sheetFormatPr defaultRowHeight="15" x14ac:dyDescent="0.25"/>
  <cols>
    <col min="1" max="1" width="12.7109375" style="11" customWidth="1"/>
    <col min="2" max="2" width="27.7109375" style="11" customWidth="1"/>
    <col min="3" max="3" width="0" hidden="1" customWidth="1"/>
    <col min="4" max="13" width="8.85546875" style="1"/>
    <col min="14" max="14" width="12.28515625" style="1" customWidth="1"/>
    <col min="15" max="15" width="10" style="1" customWidth="1"/>
    <col min="16" max="16" width="10.42578125" customWidth="1"/>
  </cols>
  <sheetData>
    <row r="1" spans="1:16" s="8" customFormat="1" ht="19.899999999999999" customHeight="1" x14ac:dyDescent="0.25">
      <c r="A1" s="19" t="s">
        <v>11</v>
      </c>
      <c r="B1" s="19" t="s">
        <v>12</v>
      </c>
      <c r="C1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  <c r="L1" s="21" t="s">
        <v>22</v>
      </c>
      <c r="M1" s="21" t="s">
        <v>23</v>
      </c>
      <c r="N1" s="21" t="s">
        <v>24</v>
      </c>
      <c r="O1" s="21" t="s">
        <v>25</v>
      </c>
      <c r="P1" s="18" t="s">
        <v>26</v>
      </c>
    </row>
    <row r="2" spans="1:16" hidden="1" x14ac:dyDescent="0.25">
      <c r="A2" t="str">
        <f>IF('Master Sheet'!C3="Area 7 (Anu R)",'Master Sheet'!A3,"")</f>
        <v/>
      </c>
      <c r="B2" t="str">
        <f>IF('Master Sheet'!C3="Area 7 (Anu R)",'Master Sheet'!B3,"")</f>
        <v/>
      </c>
      <c r="C2" t="s">
        <v>10</v>
      </c>
      <c r="D2" t="str">
        <f>IF('Master Sheet'!C3="Area 7 (Anu R)",'Master Sheet'!D3,"")</f>
        <v/>
      </c>
      <c r="E2" t="str">
        <f>IF('Master Sheet'!C3="Area 7 (Anu R)",'Master Sheet'!E3,"")</f>
        <v/>
      </c>
      <c r="F2" t="str">
        <f>IF('Master Sheet'!C3="Area 7 (Anu R)",'Master Sheet'!F3,"")</f>
        <v/>
      </c>
      <c r="G2" t="str">
        <f>IF('Master Sheet'!C3="Area 7 (Anu R)",'Master Sheet'!G3,"")</f>
        <v/>
      </c>
      <c r="H2" t="str">
        <f>IF('Master Sheet'!C3="Area 7 (Anu R)",'Master Sheet'!H3,"")</f>
        <v/>
      </c>
      <c r="I2" t="str">
        <f>IF('Master Sheet'!C3="Area 7 (Anu R)",'Master Sheet'!I3,"")</f>
        <v/>
      </c>
      <c r="J2" t="str">
        <f>IF('Master Sheet'!C3="Area 7 (Anu R)",'Master Sheet'!J3,"")</f>
        <v/>
      </c>
      <c r="K2" t="str">
        <f>IF('Master Sheet'!C3="Area 7 (Anu R)",'Master Sheet'!K3,"")</f>
        <v/>
      </c>
      <c r="L2" t="str">
        <f>IF('Master Sheet'!C3="Area 7 (Anu R)",'Master Sheet'!L3,"")</f>
        <v/>
      </c>
      <c r="M2" t="str">
        <f>IF('Master Sheet'!C3="Area 7 (Anu R)",'Master Sheet'!M3,"")</f>
        <v/>
      </c>
      <c r="N2" t="str">
        <f>IF('Master Sheet'!C3="Area 7 (Anu R)",'Master Sheet'!N3,"")</f>
        <v/>
      </c>
      <c r="O2" t="str">
        <f>IF('Master Sheet'!C3="Area 7 (Anu R)",'Master Sheet'!O3,"")</f>
        <v/>
      </c>
      <c r="P2" t="str">
        <f>IF('Master Sheet'!C3="Area 7 (Anu R)",'Master Sheet'!P3,"")</f>
        <v/>
      </c>
    </row>
    <row r="3" spans="1:16" hidden="1" x14ac:dyDescent="0.25">
      <c r="A3" t="str">
        <f>IF('Master Sheet'!C4="Area 7 (Anu R)",'Master Sheet'!A4,"")</f>
        <v/>
      </c>
      <c r="B3" t="str">
        <f>IF('Master Sheet'!C4="Area 7 (Anu R)",'Master Sheet'!B4,"")</f>
        <v/>
      </c>
      <c r="C3" t="s">
        <v>10</v>
      </c>
      <c r="D3" t="str">
        <f>IF('Master Sheet'!C4="Area 7 (Anu R)",'Master Sheet'!D4,"")</f>
        <v/>
      </c>
      <c r="E3" t="str">
        <f>IF('Master Sheet'!C4="Area 7 (Anu R)",'Master Sheet'!E4,"")</f>
        <v/>
      </c>
      <c r="F3" t="str">
        <f>IF('Master Sheet'!C4="Area 7 (Anu R)",'Master Sheet'!F4,"")</f>
        <v/>
      </c>
      <c r="G3" t="str">
        <f>IF('Master Sheet'!C4="Area 7 (Anu R)",'Master Sheet'!G4,"")</f>
        <v/>
      </c>
      <c r="H3" t="str">
        <f>IF('Master Sheet'!C4="Area 7 (Anu R)",'Master Sheet'!H4,"")</f>
        <v/>
      </c>
      <c r="I3" t="str">
        <f>IF('Master Sheet'!C4="Area 7 (Anu R)",'Master Sheet'!I4,"")</f>
        <v/>
      </c>
      <c r="J3" t="str">
        <f>IF('Master Sheet'!C4="Area 7 (Anu R)",'Master Sheet'!J4,"")</f>
        <v/>
      </c>
      <c r="K3" t="str">
        <f>IF('Master Sheet'!C4="Area 7 (Anu R)",'Master Sheet'!K4,"")</f>
        <v/>
      </c>
      <c r="L3" t="str">
        <f>IF('Master Sheet'!C4="Area 7 (Anu R)",'Master Sheet'!L4,"")</f>
        <v/>
      </c>
      <c r="M3" t="str">
        <f>IF('Master Sheet'!C4="Area 7 (Anu R)",'Master Sheet'!M4,"")</f>
        <v/>
      </c>
      <c r="N3" t="str">
        <f>IF('Master Sheet'!C4="Area 7 (Anu R)",'Master Sheet'!N4,"")</f>
        <v/>
      </c>
      <c r="O3" t="str">
        <f>IF('Master Sheet'!C4="Area 7 (Anu R)",'Master Sheet'!O4,"")</f>
        <v/>
      </c>
      <c r="P3" t="str">
        <f>IF('Master Sheet'!C4="Area 7 (Anu R)",'Master Sheet'!P4,"")</f>
        <v/>
      </c>
    </row>
    <row r="4" spans="1:16" hidden="1" x14ac:dyDescent="0.25">
      <c r="A4" t="str">
        <f>IF('Master Sheet'!C5="Area 7 (Anu R)",'Master Sheet'!A5,"")</f>
        <v/>
      </c>
      <c r="B4" t="str">
        <f>IF('Master Sheet'!C5="Area 7 (Anu R)",'Master Sheet'!B5,"")</f>
        <v/>
      </c>
      <c r="C4" t="s">
        <v>10</v>
      </c>
      <c r="D4" t="str">
        <f>IF('Master Sheet'!C5="Area 7 (Anu R)",'Master Sheet'!D5,"")</f>
        <v/>
      </c>
      <c r="E4" t="str">
        <f>IF('Master Sheet'!C5="Area 7 (Anu R)",'Master Sheet'!E5,"")</f>
        <v/>
      </c>
      <c r="F4" t="str">
        <f>IF('Master Sheet'!C5="Area 7 (Anu R)",'Master Sheet'!F5,"")</f>
        <v/>
      </c>
      <c r="G4" t="str">
        <f>IF('Master Sheet'!C5="Area 7 (Anu R)",'Master Sheet'!G5,"")</f>
        <v/>
      </c>
      <c r="H4" t="str">
        <f>IF('Master Sheet'!C5="Area 7 (Anu R)",'Master Sheet'!H5,"")</f>
        <v/>
      </c>
      <c r="I4" t="str">
        <f>IF('Master Sheet'!C5="Area 7 (Anu R)",'Master Sheet'!I5,"")</f>
        <v/>
      </c>
      <c r="J4" t="str">
        <f>IF('Master Sheet'!C5="Area 7 (Anu R)",'Master Sheet'!J5,"")</f>
        <v/>
      </c>
      <c r="K4" t="str">
        <f>IF('Master Sheet'!C5="Area 7 (Anu R)",'Master Sheet'!K5,"")</f>
        <v/>
      </c>
      <c r="L4" t="str">
        <f>IF('Master Sheet'!C5="Area 7 (Anu R)",'Master Sheet'!L5,"")</f>
        <v/>
      </c>
      <c r="M4" t="str">
        <f>IF('Master Sheet'!C5="Area 7 (Anu R)",'Master Sheet'!M5,"")</f>
        <v/>
      </c>
      <c r="N4" t="str">
        <f>IF('Master Sheet'!C5="Area 7 (Anu R)",'Master Sheet'!N5,"")</f>
        <v/>
      </c>
      <c r="O4" t="str">
        <f>IF('Master Sheet'!C5="Area 7 (Anu R)",'Master Sheet'!O5,"")</f>
        <v/>
      </c>
      <c r="P4" t="str">
        <f>IF('Master Sheet'!C5="Area 7 (Anu R)",'Master Sheet'!P5,"")</f>
        <v/>
      </c>
    </row>
    <row r="5" spans="1:16" hidden="1" x14ac:dyDescent="0.25">
      <c r="A5" t="str">
        <f>IF('Master Sheet'!C6="Area 7 (Anu R)",'Master Sheet'!A6,"")</f>
        <v/>
      </c>
      <c r="B5" t="str">
        <f>IF('Master Sheet'!C6="Area 7 (Anu R)",'Master Sheet'!B6,"")</f>
        <v/>
      </c>
      <c r="C5" t="s">
        <v>10</v>
      </c>
      <c r="D5" t="str">
        <f>IF('Master Sheet'!C6="Area 7 (Anu R)",'Master Sheet'!D6,"")</f>
        <v/>
      </c>
      <c r="E5" t="str">
        <f>IF('Master Sheet'!C6="Area 7 (Anu R)",'Master Sheet'!E6,"")</f>
        <v/>
      </c>
      <c r="F5" t="str">
        <f>IF('Master Sheet'!C6="Area 7 (Anu R)",'Master Sheet'!F6,"")</f>
        <v/>
      </c>
      <c r="G5" t="str">
        <f>IF('Master Sheet'!C6="Area 7 (Anu R)",'Master Sheet'!G6,"")</f>
        <v/>
      </c>
      <c r="H5" t="str">
        <f>IF('Master Sheet'!C6="Area 7 (Anu R)",'Master Sheet'!H6,"")</f>
        <v/>
      </c>
      <c r="I5" t="str">
        <f>IF('Master Sheet'!C6="Area 7 (Anu R)",'Master Sheet'!I6,"")</f>
        <v/>
      </c>
      <c r="J5" t="str">
        <f>IF('Master Sheet'!C6="Area 7 (Anu R)",'Master Sheet'!J6,"")</f>
        <v/>
      </c>
      <c r="K5" t="str">
        <f>IF('Master Sheet'!C6="Area 7 (Anu R)",'Master Sheet'!K6,"")</f>
        <v/>
      </c>
      <c r="L5" t="str">
        <f>IF('Master Sheet'!C6="Area 7 (Anu R)",'Master Sheet'!L6,"")</f>
        <v/>
      </c>
      <c r="M5" t="str">
        <f>IF('Master Sheet'!C6="Area 7 (Anu R)",'Master Sheet'!M6,"")</f>
        <v/>
      </c>
      <c r="N5" t="str">
        <f>IF('Master Sheet'!C6="Area 7 (Anu R)",'Master Sheet'!N6,"")</f>
        <v/>
      </c>
      <c r="O5" t="str">
        <f>IF('Master Sheet'!C6="Area 7 (Anu R)",'Master Sheet'!O6,"")</f>
        <v/>
      </c>
      <c r="P5" t="str">
        <f>IF('Master Sheet'!C6="Area 7 (Anu R)",'Master Sheet'!P6,"")</f>
        <v/>
      </c>
    </row>
    <row r="6" spans="1:16" hidden="1" x14ac:dyDescent="0.25">
      <c r="A6" t="str">
        <f>IF('Master Sheet'!C7="Area 7 (Anu R)",'Master Sheet'!A7,"")</f>
        <v/>
      </c>
      <c r="B6" t="str">
        <f>IF('Master Sheet'!C7="Area 7 (Anu R)",'Master Sheet'!B7,"")</f>
        <v/>
      </c>
      <c r="C6" t="s">
        <v>10</v>
      </c>
      <c r="D6" t="str">
        <f>IF('Master Sheet'!C7="Area 7 (Anu R)",'Master Sheet'!D7,"")</f>
        <v/>
      </c>
      <c r="E6" t="str">
        <f>IF('Master Sheet'!C7="Area 7 (Anu R)",'Master Sheet'!E7,"")</f>
        <v/>
      </c>
      <c r="F6" t="str">
        <f>IF('Master Sheet'!C7="Area 7 (Anu R)",'Master Sheet'!F7,"")</f>
        <v/>
      </c>
      <c r="G6" t="str">
        <f>IF('Master Sheet'!C7="Area 7 (Anu R)",'Master Sheet'!G7,"")</f>
        <v/>
      </c>
      <c r="H6" t="str">
        <f>IF('Master Sheet'!C7="Area 7 (Anu R)",'Master Sheet'!H7,"")</f>
        <v/>
      </c>
      <c r="I6" t="str">
        <f>IF('Master Sheet'!C7="Area 7 (Anu R)",'Master Sheet'!I7,"")</f>
        <v/>
      </c>
      <c r="J6" t="str">
        <f>IF('Master Sheet'!C7="Area 7 (Anu R)",'Master Sheet'!J7,"")</f>
        <v/>
      </c>
      <c r="K6" t="str">
        <f>IF('Master Sheet'!C7="Area 7 (Anu R)",'Master Sheet'!K7,"")</f>
        <v/>
      </c>
      <c r="L6" t="str">
        <f>IF('Master Sheet'!C7="Area 7 (Anu R)",'Master Sheet'!L7,"")</f>
        <v/>
      </c>
      <c r="M6" t="str">
        <f>IF('Master Sheet'!C7="Area 7 (Anu R)",'Master Sheet'!M7,"")</f>
        <v/>
      </c>
      <c r="N6" t="str">
        <f>IF('Master Sheet'!C7="Area 7 (Anu R)",'Master Sheet'!N7,"")</f>
        <v/>
      </c>
      <c r="O6" t="str">
        <f>IF('Master Sheet'!C7="Area 7 (Anu R)",'Master Sheet'!O7,"")</f>
        <v/>
      </c>
      <c r="P6" t="str">
        <f>IF('Master Sheet'!C7="Area 7 (Anu R)",'Master Sheet'!P7,"")</f>
        <v/>
      </c>
    </row>
    <row r="7" spans="1:16" hidden="1" x14ac:dyDescent="0.25">
      <c r="A7" t="str">
        <f>IF('Master Sheet'!C8="Area 7 (Anu R)",'Master Sheet'!A8,"")</f>
        <v/>
      </c>
      <c r="B7" t="str">
        <f>IF('Master Sheet'!C8="Area 7 (Anu R)",'Master Sheet'!B8,"")</f>
        <v/>
      </c>
      <c r="C7" t="s">
        <v>10</v>
      </c>
      <c r="D7" t="str">
        <f>IF('Master Sheet'!C8="Area 7 (Anu R)",'Master Sheet'!D8,"")</f>
        <v/>
      </c>
      <c r="E7" t="str">
        <f>IF('Master Sheet'!C8="Area 7 (Anu R)",'Master Sheet'!E8,"")</f>
        <v/>
      </c>
      <c r="F7" t="str">
        <f>IF('Master Sheet'!C8="Area 7 (Anu R)",'Master Sheet'!F8,"")</f>
        <v/>
      </c>
      <c r="G7" t="str">
        <f>IF('Master Sheet'!C8="Area 7 (Anu R)",'Master Sheet'!G8,"")</f>
        <v/>
      </c>
      <c r="H7" t="str">
        <f>IF('Master Sheet'!C8="Area 7 (Anu R)",'Master Sheet'!H8,"")</f>
        <v/>
      </c>
      <c r="I7" t="str">
        <f>IF('Master Sheet'!C8="Area 7 (Anu R)",'Master Sheet'!I8,"")</f>
        <v/>
      </c>
      <c r="J7" t="str">
        <f>IF('Master Sheet'!C8="Area 7 (Anu R)",'Master Sheet'!J8,"")</f>
        <v/>
      </c>
      <c r="K7" t="str">
        <f>IF('Master Sheet'!C8="Area 7 (Anu R)",'Master Sheet'!K8,"")</f>
        <v/>
      </c>
      <c r="L7" t="str">
        <f>IF('Master Sheet'!C8="Area 7 (Anu R)",'Master Sheet'!L8,"")</f>
        <v/>
      </c>
      <c r="M7" t="str">
        <f>IF('Master Sheet'!C8="Area 7 (Anu R)",'Master Sheet'!M8,"")</f>
        <v/>
      </c>
      <c r="N7" t="str">
        <f>IF('Master Sheet'!C8="Area 7 (Anu R)",'Master Sheet'!N8,"")</f>
        <v/>
      </c>
      <c r="O7" t="str">
        <f>IF('Master Sheet'!C8="Area 7 (Anu R)",'Master Sheet'!O8,"")</f>
        <v/>
      </c>
      <c r="P7" t="str">
        <f>IF('Master Sheet'!C8="Area 7 (Anu R)",'Master Sheet'!P8,"")</f>
        <v/>
      </c>
    </row>
    <row r="8" spans="1:16" hidden="1" x14ac:dyDescent="0.25">
      <c r="A8" t="str">
        <f>IF('Master Sheet'!C9="Area 7 (Anu R)",'Master Sheet'!A9,"")</f>
        <v/>
      </c>
      <c r="B8" t="str">
        <f>IF('Master Sheet'!C9="Area 7 (Anu R)",'Master Sheet'!B9,"")</f>
        <v/>
      </c>
      <c r="C8" t="s">
        <v>10</v>
      </c>
      <c r="D8" t="str">
        <f>IF('Master Sheet'!C9="Area 7 (Anu R)",'Master Sheet'!D9,"")</f>
        <v/>
      </c>
      <c r="E8" t="str">
        <f>IF('Master Sheet'!C9="Area 7 (Anu R)",'Master Sheet'!E9,"")</f>
        <v/>
      </c>
      <c r="F8" t="str">
        <f>IF('Master Sheet'!C9="Area 7 (Anu R)",'Master Sheet'!F9,"")</f>
        <v/>
      </c>
      <c r="G8" t="str">
        <f>IF('Master Sheet'!C9="Area 7 (Anu R)",'Master Sheet'!G9,"")</f>
        <v/>
      </c>
      <c r="H8" t="str">
        <f>IF('Master Sheet'!C9="Area 7 (Anu R)",'Master Sheet'!H9,"")</f>
        <v/>
      </c>
      <c r="I8" t="str">
        <f>IF('Master Sheet'!C9="Area 7 (Anu R)",'Master Sheet'!I9,"")</f>
        <v/>
      </c>
      <c r="J8" t="str">
        <f>IF('Master Sheet'!C9="Area 7 (Anu R)",'Master Sheet'!J9,"")</f>
        <v/>
      </c>
      <c r="K8" t="str">
        <f>IF('Master Sheet'!C9="Area 7 (Anu R)",'Master Sheet'!K9,"")</f>
        <v/>
      </c>
      <c r="L8" t="str">
        <f>IF('Master Sheet'!C9="Area 7 (Anu R)",'Master Sheet'!L9,"")</f>
        <v/>
      </c>
      <c r="M8" t="str">
        <f>IF('Master Sheet'!C9="Area 7 (Anu R)",'Master Sheet'!M9,"")</f>
        <v/>
      </c>
      <c r="N8" t="str">
        <f>IF('Master Sheet'!C9="Area 7 (Anu R)",'Master Sheet'!N9,"")</f>
        <v/>
      </c>
      <c r="O8" t="str">
        <f>IF('Master Sheet'!C9="Area 7 (Anu R)",'Master Sheet'!O9,"")</f>
        <v/>
      </c>
      <c r="P8" t="str">
        <f>IF('Master Sheet'!C9="Area 7 (Anu R)",'Master Sheet'!P9,"")</f>
        <v/>
      </c>
    </row>
    <row r="9" spans="1:16" hidden="1" x14ac:dyDescent="0.25">
      <c r="A9" t="str">
        <f>IF('Master Sheet'!C10="Area 7 (Anu R)",'Master Sheet'!A10,"")</f>
        <v/>
      </c>
      <c r="B9" t="str">
        <f>IF('Master Sheet'!C10="Area 7 (Anu R)",'Master Sheet'!B10,"")</f>
        <v/>
      </c>
      <c r="C9" t="s">
        <v>10</v>
      </c>
      <c r="D9" t="str">
        <f>IF('Master Sheet'!C10="Area 7 (Anu R)",'Master Sheet'!D10,"")</f>
        <v/>
      </c>
      <c r="E9" t="str">
        <f>IF('Master Sheet'!C10="Area 7 (Anu R)",'Master Sheet'!E10,"")</f>
        <v/>
      </c>
      <c r="F9" t="str">
        <f>IF('Master Sheet'!C10="Area 7 (Anu R)",'Master Sheet'!F10,"")</f>
        <v/>
      </c>
      <c r="G9" t="str">
        <f>IF('Master Sheet'!C10="Area 7 (Anu R)",'Master Sheet'!G10,"")</f>
        <v/>
      </c>
      <c r="H9" t="str">
        <f>IF('Master Sheet'!C10="Area 7 (Anu R)",'Master Sheet'!H10,"")</f>
        <v/>
      </c>
      <c r="I9" t="str">
        <f>IF('Master Sheet'!C10="Area 7 (Anu R)",'Master Sheet'!I10,"")</f>
        <v/>
      </c>
      <c r="J9" t="str">
        <f>IF('Master Sheet'!C10="Area 7 (Anu R)",'Master Sheet'!J10,"")</f>
        <v/>
      </c>
      <c r="K9" t="str">
        <f>IF('Master Sheet'!C10="Area 7 (Anu R)",'Master Sheet'!K10,"")</f>
        <v/>
      </c>
      <c r="L9" t="str">
        <f>IF('Master Sheet'!C10="Area 7 (Anu R)",'Master Sheet'!L10,"")</f>
        <v/>
      </c>
      <c r="M9" t="str">
        <f>IF('Master Sheet'!C10="Area 7 (Anu R)",'Master Sheet'!M10,"")</f>
        <v/>
      </c>
      <c r="N9" t="str">
        <f>IF('Master Sheet'!C10="Area 7 (Anu R)",'Master Sheet'!N10,"")</f>
        <v/>
      </c>
      <c r="O9" t="str">
        <f>IF('Master Sheet'!C10="Area 7 (Anu R)",'Master Sheet'!O10,"")</f>
        <v/>
      </c>
      <c r="P9" t="str">
        <f>IF('Master Sheet'!C10="Area 7 (Anu R)",'Master Sheet'!P10,"")</f>
        <v/>
      </c>
    </row>
    <row r="10" spans="1:16" hidden="1" x14ac:dyDescent="0.25">
      <c r="A10" t="str">
        <f>IF('Master Sheet'!C11="Area 7 (Anu R)",'Master Sheet'!A11,"")</f>
        <v/>
      </c>
      <c r="B10" t="str">
        <f>IF('Master Sheet'!C11="Area 7 (Anu R)",'Master Sheet'!B11,"")</f>
        <v/>
      </c>
      <c r="C10" t="s">
        <v>10</v>
      </c>
      <c r="D10" t="str">
        <f>IF('Master Sheet'!C11="Area 7 (Anu R)",'Master Sheet'!D11,"")</f>
        <v/>
      </c>
      <c r="E10" t="str">
        <f>IF('Master Sheet'!C11="Area 7 (Anu R)",'Master Sheet'!E11,"")</f>
        <v/>
      </c>
      <c r="F10" t="str">
        <f>IF('Master Sheet'!C11="Area 7 (Anu R)",'Master Sheet'!F11,"")</f>
        <v/>
      </c>
      <c r="G10" t="str">
        <f>IF('Master Sheet'!C11="Area 7 (Anu R)",'Master Sheet'!G11,"")</f>
        <v/>
      </c>
      <c r="H10" t="str">
        <f>IF('Master Sheet'!C11="Area 7 (Anu R)",'Master Sheet'!H11,"")</f>
        <v/>
      </c>
      <c r="I10" t="str">
        <f>IF('Master Sheet'!C11="Area 7 (Anu R)",'Master Sheet'!I11,"")</f>
        <v/>
      </c>
      <c r="J10" t="str">
        <f>IF('Master Sheet'!C11="Area 7 (Anu R)",'Master Sheet'!J11,"")</f>
        <v/>
      </c>
      <c r="K10" t="str">
        <f>IF('Master Sheet'!C11="Area 7 (Anu R)",'Master Sheet'!K11,"")</f>
        <v/>
      </c>
      <c r="L10" t="str">
        <f>IF('Master Sheet'!C11="Area 7 (Anu R)",'Master Sheet'!L11,"")</f>
        <v/>
      </c>
      <c r="M10" t="str">
        <f>IF('Master Sheet'!C11="Area 7 (Anu R)",'Master Sheet'!M11,"")</f>
        <v/>
      </c>
      <c r="N10" t="str">
        <f>IF('Master Sheet'!C11="Area 7 (Anu R)",'Master Sheet'!N11,"")</f>
        <v/>
      </c>
      <c r="O10" t="str">
        <f>IF('Master Sheet'!C11="Area 7 (Anu R)",'Master Sheet'!O11,"")</f>
        <v/>
      </c>
      <c r="P10" t="str">
        <f>IF('Master Sheet'!C11="Area 7 (Anu R)",'Master Sheet'!P11,"")</f>
        <v/>
      </c>
    </row>
    <row r="11" spans="1:16" hidden="1" x14ac:dyDescent="0.25">
      <c r="A11" t="str">
        <f>IF('Master Sheet'!C12="Area 7 (Anu R)",'Master Sheet'!A12,"")</f>
        <v/>
      </c>
      <c r="B11" t="str">
        <f>IF('Master Sheet'!C12="Area 7 (Anu R)",'Master Sheet'!B12,"")</f>
        <v/>
      </c>
      <c r="C11" t="s">
        <v>10</v>
      </c>
      <c r="D11" t="str">
        <f>IF('Master Sheet'!C12="Area 7 (Anu R)",'Master Sheet'!D12,"")</f>
        <v/>
      </c>
      <c r="E11" t="str">
        <f>IF('Master Sheet'!C12="Area 7 (Anu R)",'Master Sheet'!E12,"")</f>
        <v/>
      </c>
      <c r="F11" t="str">
        <f>IF('Master Sheet'!C12="Area 7 (Anu R)",'Master Sheet'!F12,"")</f>
        <v/>
      </c>
      <c r="G11" t="str">
        <f>IF('Master Sheet'!C12="Area 7 (Anu R)",'Master Sheet'!G12,"")</f>
        <v/>
      </c>
      <c r="H11" t="str">
        <f>IF('Master Sheet'!C12="Area 7 (Anu R)",'Master Sheet'!H12,"")</f>
        <v/>
      </c>
      <c r="I11" t="str">
        <f>IF('Master Sheet'!C12="Area 7 (Anu R)",'Master Sheet'!I12,"")</f>
        <v/>
      </c>
      <c r="J11" t="str">
        <f>IF('Master Sheet'!C12="Area 7 (Anu R)",'Master Sheet'!J12,"")</f>
        <v/>
      </c>
      <c r="K11" t="str">
        <f>IF('Master Sheet'!C12="Area 7 (Anu R)",'Master Sheet'!K12,"")</f>
        <v/>
      </c>
      <c r="L11" t="str">
        <f>IF('Master Sheet'!C12="Area 7 (Anu R)",'Master Sheet'!L12,"")</f>
        <v/>
      </c>
      <c r="M11" t="str">
        <f>IF('Master Sheet'!C12="Area 7 (Anu R)",'Master Sheet'!M12,"")</f>
        <v/>
      </c>
      <c r="N11" t="str">
        <f>IF('Master Sheet'!C12="Area 7 (Anu R)",'Master Sheet'!N12,"")</f>
        <v/>
      </c>
      <c r="O11" t="str">
        <f>IF('Master Sheet'!C12="Area 7 (Anu R)",'Master Sheet'!O12,"")</f>
        <v/>
      </c>
      <c r="P11" t="str">
        <f>IF('Master Sheet'!C12="Area 7 (Anu R)",'Master Sheet'!P12,"")</f>
        <v/>
      </c>
    </row>
    <row r="12" spans="1:16" hidden="1" x14ac:dyDescent="0.25">
      <c r="A12" t="str">
        <f>IF('Master Sheet'!C13="Area 7 (Anu R)",'Master Sheet'!A13,"")</f>
        <v/>
      </c>
      <c r="B12" t="str">
        <f>IF('Master Sheet'!C13="Area 7 (Anu R)",'Master Sheet'!B13,"")</f>
        <v/>
      </c>
      <c r="C12" t="s">
        <v>10</v>
      </c>
      <c r="D12" t="str">
        <f>IF('Master Sheet'!C13="Area 7 (Anu R)",'Master Sheet'!D13,"")</f>
        <v/>
      </c>
      <c r="E12" t="str">
        <f>IF('Master Sheet'!C13="Area 7 (Anu R)",'Master Sheet'!E13,"")</f>
        <v/>
      </c>
      <c r="F12" t="str">
        <f>IF('Master Sheet'!C13="Area 7 (Anu R)",'Master Sheet'!F13,"")</f>
        <v/>
      </c>
      <c r="G12" t="str">
        <f>IF('Master Sheet'!C13="Area 7 (Anu R)",'Master Sheet'!G13,"")</f>
        <v/>
      </c>
      <c r="H12" t="str">
        <f>IF('Master Sheet'!C13="Area 7 (Anu R)",'Master Sheet'!H13,"")</f>
        <v/>
      </c>
      <c r="I12" t="str">
        <f>IF('Master Sheet'!C13="Area 7 (Anu R)",'Master Sheet'!I13,"")</f>
        <v/>
      </c>
      <c r="J12" t="str">
        <f>IF('Master Sheet'!C13="Area 7 (Anu R)",'Master Sheet'!J13,"")</f>
        <v/>
      </c>
      <c r="K12" t="str">
        <f>IF('Master Sheet'!C13="Area 7 (Anu R)",'Master Sheet'!K13,"")</f>
        <v/>
      </c>
      <c r="L12" t="str">
        <f>IF('Master Sheet'!C13="Area 7 (Anu R)",'Master Sheet'!L13,"")</f>
        <v/>
      </c>
      <c r="M12" t="str">
        <f>IF('Master Sheet'!C13="Area 7 (Anu R)",'Master Sheet'!M13,"")</f>
        <v/>
      </c>
      <c r="N12" t="str">
        <f>IF('Master Sheet'!C13="Area 7 (Anu R)",'Master Sheet'!N13,"")</f>
        <v/>
      </c>
      <c r="O12" t="str">
        <f>IF('Master Sheet'!C13="Area 7 (Anu R)",'Master Sheet'!O13,"")</f>
        <v/>
      </c>
      <c r="P12" t="str">
        <f>IF('Master Sheet'!C13="Area 7 (Anu R)",'Master Sheet'!P13,"")</f>
        <v/>
      </c>
    </row>
    <row r="13" spans="1:16" hidden="1" x14ac:dyDescent="0.25">
      <c r="A13" t="str">
        <f>IF('Master Sheet'!C14="Area 7 (Anu R)",'Master Sheet'!A14,"")</f>
        <v/>
      </c>
      <c r="B13" t="str">
        <f>IF('Master Sheet'!C14="Area 7 (Anu R)",'Master Sheet'!B14,"")</f>
        <v/>
      </c>
      <c r="C13" t="s">
        <v>10</v>
      </c>
      <c r="D13" t="str">
        <f>IF('Master Sheet'!C14="Area 7 (Anu R)",'Master Sheet'!D14,"")</f>
        <v/>
      </c>
      <c r="E13" t="str">
        <f>IF('Master Sheet'!C14="Area 7 (Anu R)",'Master Sheet'!E14,"")</f>
        <v/>
      </c>
      <c r="F13" t="str">
        <f>IF('Master Sheet'!C14="Area 7 (Anu R)",'Master Sheet'!F14,"")</f>
        <v/>
      </c>
      <c r="G13" t="str">
        <f>IF('Master Sheet'!C14="Area 7 (Anu R)",'Master Sheet'!G14,"")</f>
        <v/>
      </c>
      <c r="H13" t="str">
        <f>IF('Master Sheet'!C14="Area 7 (Anu R)",'Master Sheet'!H14,"")</f>
        <v/>
      </c>
      <c r="I13" t="str">
        <f>IF('Master Sheet'!C14="Area 7 (Anu R)",'Master Sheet'!I14,"")</f>
        <v/>
      </c>
      <c r="J13" t="str">
        <f>IF('Master Sheet'!C14="Area 7 (Anu R)",'Master Sheet'!J14,"")</f>
        <v/>
      </c>
      <c r="K13" t="str">
        <f>IF('Master Sheet'!C14="Area 7 (Anu R)",'Master Sheet'!K14,"")</f>
        <v/>
      </c>
      <c r="L13" t="str">
        <f>IF('Master Sheet'!C14="Area 7 (Anu R)",'Master Sheet'!L14,"")</f>
        <v/>
      </c>
      <c r="M13" t="str">
        <f>IF('Master Sheet'!C14="Area 7 (Anu R)",'Master Sheet'!M14,"")</f>
        <v/>
      </c>
      <c r="N13" t="str">
        <f>IF('Master Sheet'!C14="Area 7 (Anu R)",'Master Sheet'!N14,"")</f>
        <v/>
      </c>
      <c r="O13" t="str">
        <f>IF('Master Sheet'!C14="Area 7 (Anu R)",'Master Sheet'!O14,"")</f>
        <v/>
      </c>
      <c r="P13" t="str">
        <f>IF('Master Sheet'!C14="Area 7 (Anu R)",'Master Sheet'!P14,"")</f>
        <v/>
      </c>
    </row>
    <row r="14" spans="1:16" hidden="1" x14ac:dyDescent="0.25">
      <c r="A14" t="str">
        <f>IF('Master Sheet'!C15="Area 7 (Anu R)",'Master Sheet'!A15,"")</f>
        <v/>
      </c>
      <c r="B14" t="str">
        <f>IF('Master Sheet'!C15="Area 7 (Anu R)",'Master Sheet'!B15,"")</f>
        <v/>
      </c>
      <c r="C14" t="s">
        <v>10</v>
      </c>
      <c r="D14" t="str">
        <f>IF('Master Sheet'!C15="Area 7 (Anu R)",'Master Sheet'!D15,"")</f>
        <v/>
      </c>
      <c r="E14" t="str">
        <f>IF('Master Sheet'!C15="Area 7 (Anu R)",'Master Sheet'!E15,"")</f>
        <v/>
      </c>
      <c r="F14" t="str">
        <f>IF('Master Sheet'!C15="Area 7 (Anu R)",'Master Sheet'!F15,"")</f>
        <v/>
      </c>
      <c r="G14" t="str">
        <f>IF('Master Sheet'!C15="Area 7 (Anu R)",'Master Sheet'!G15,"")</f>
        <v/>
      </c>
      <c r="H14" t="str">
        <f>IF('Master Sheet'!C15="Area 7 (Anu R)",'Master Sheet'!H15,"")</f>
        <v/>
      </c>
      <c r="I14" t="str">
        <f>IF('Master Sheet'!C15="Area 7 (Anu R)",'Master Sheet'!I15,"")</f>
        <v/>
      </c>
      <c r="J14" t="str">
        <f>IF('Master Sheet'!C15="Area 7 (Anu R)",'Master Sheet'!J15,"")</f>
        <v/>
      </c>
      <c r="K14" t="str">
        <f>IF('Master Sheet'!C15="Area 7 (Anu R)",'Master Sheet'!K15,"")</f>
        <v/>
      </c>
      <c r="L14" t="str">
        <f>IF('Master Sheet'!C15="Area 7 (Anu R)",'Master Sheet'!L15,"")</f>
        <v/>
      </c>
      <c r="M14" t="str">
        <f>IF('Master Sheet'!C15="Area 7 (Anu R)",'Master Sheet'!M15,"")</f>
        <v/>
      </c>
      <c r="N14" t="str">
        <f>IF('Master Sheet'!C15="Area 7 (Anu R)",'Master Sheet'!N15,"")</f>
        <v/>
      </c>
      <c r="O14" t="str">
        <f>IF('Master Sheet'!C15="Area 7 (Anu R)",'Master Sheet'!O15,"")</f>
        <v/>
      </c>
      <c r="P14" t="str">
        <f>IF('Master Sheet'!C15="Area 7 (Anu R)",'Master Sheet'!P15,"")</f>
        <v/>
      </c>
    </row>
    <row r="15" spans="1:16" hidden="1" x14ac:dyDescent="0.25">
      <c r="A15" t="str">
        <f>IF('Master Sheet'!C16="Area 7 (Anu R)",'Master Sheet'!A16,"")</f>
        <v/>
      </c>
      <c r="B15" t="str">
        <f>IF('Master Sheet'!C16="Area 7 (Anu R)",'Master Sheet'!B16,"")</f>
        <v/>
      </c>
      <c r="C15" t="s">
        <v>10</v>
      </c>
      <c r="D15" t="str">
        <f>IF('Master Sheet'!C16="Area 7 (Anu R)",'Master Sheet'!D16,"")</f>
        <v/>
      </c>
      <c r="E15" t="str">
        <f>IF('Master Sheet'!C16="Area 7 (Anu R)",'Master Sheet'!E16,"")</f>
        <v/>
      </c>
      <c r="F15" t="str">
        <f>IF('Master Sheet'!C16="Area 7 (Anu R)",'Master Sheet'!F16,"")</f>
        <v/>
      </c>
      <c r="G15" t="str">
        <f>IF('Master Sheet'!C16="Area 7 (Anu R)",'Master Sheet'!G16,"")</f>
        <v/>
      </c>
      <c r="H15" t="str">
        <f>IF('Master Sheet'!C16="Area 7 (Anu R)",'Master Sheet'!H16,"")</f>
        <v/>
      </c>
      <c r="I15" t="str">
        <f>IF('Master Sheet'!C16="Area 7 (Anu R)",'Master Sheet'!I16,"")</f>
        <v/>
      </c>
      <c r="J15" t="str">
        <f>IF('Master Sheet'!C16="Area 7 (Anu R)",'Master Sheet'!J16,"")</f>
        <v/>
      </c>
      <c r="K15" t="str">
        <f>IF('Master Sheet'!C16="Area 7 (Anu R)",'Master Sheet'!K16,"")</f>
        <v/>
      </c>
      <c r="L15" t="str">
        <f>IF('Master Sheet'!C16="Area 7 (Anu R)",'Master Sheet'!L16,"")</f>
        <v/>
      </c>
      <c r="M15" t="str">
        <f>IF('Master Sheet'!C16="Area 7 (Anu R)",'Master Sheet'!M16,"")</f>
        <v/>
      </c>
      <c r="N15" t="str">
        <f>IF('Master Sheet'!C16="Area 7 (Anu R)",'Master Sheet'!N16,"")</f>
        <v/>
      </c>
      <c r="O15" t="str">
        <f>IF('Master Sheet'!C16="Area 7 (Anu R)",'Master Sheet'!O16,"")</f>
        <v/>
      </c>
      <c r="P15" t="str">
        <f>IF('Master Sheet'!C16="Area 7 (Anu R)",'Master Sheet'!P16,"")</f>
        <v/>
      </c>
    </row>
    <row r="16" spans="1:16" hidden="1" x14ac:dyDescent="0.25">
      <c r="A16" t="str">
        <f>IF('Master Sheet'!C17="Area 7 (Anu R)",'Master Sheet'!A17,"")</f>
        <v/>
      </c>
      <c r="B16" t="str">
        <f>IF('Master Sheet'!C17="Area 7 (Anu R)",'Master Sheet'!B17,"")</f>
        <v/>
      </c>
      <c r="C16" t="s">
        <v>10</v>
      </c>
      <c r="D16" t="str">
        <f>IF('Master Sheet'!C17="Area 7 (Anu R)",'Master Sheet'!D17,"")</f>
        <v/>
      </c>
      <c r="E16" t="str">
        <f>IF('Master Sheet'!C17="Area 7 (Anu R)",'Master Sheet'!E17,"")</f>
        <v/>
      </c>
      <c r="F16" t="str">
        <f>IF('Master Sheet'!C17="Area 7 (Anu R)",'Master Sheet'!F17,"")</f>
        <v/>
      </c>
      <c r="G16" t="str">
        <f>IF('Master Sheet'!C17="Area 7 (Anu R)",'Master Sheet'!G17,"")</f>
        <v/>
      </c>
      <c r="H16" t="str">
        <f>IF('Master Sheet'!C17="Area 7 (Anu R)",'Master Sheet'!H17,"")</f>
        <v/>
      </c>
      <c r="I16" t="str">
        <f>IF('Master Sheet'!C17="Area 7 (Anu R)",'Master Sheet'!I17,"")</f>
        <v/>
      </c>
      <c r="J16" t="str">
        <f>IF('Master Sheet'!C17="Area 7 (Anu R)",'Master Sheet'!J17,"")</f>
        <v/>
      </c>
      <c r="K16" t="str">
        <f>IF('Master Sheet'!C17="Area 7 (Anu R)",'Master Sheet'!K17,"")</f>
        <v/>
      </c>
      <c r="L16" t="str">
        <f>IF('Master Sheet'!C17="Area 7 (Anu R)",'Master Sheet'!L17,"")</f>
        <v/>
      </c>
      <c r="M16" t="str">
        <f>IF('Master Sheet'!C17="Area 7 (Anu R)",'Master Sheet'!M17,"")</f>
        <v/>
      </c>
      <c r="N16" t="str">
        <f>IF('Master Sheet'!C17="Area 7 (Anu R)",'Master Sheet'!N17,"")</f>
        <v/>
      </c>
      <c r="O16" t="str">
        <f>IF('Master Sheet'!C17="Area 7 (Anu R)",'Master Sheet'!O17,"")</f>
        <v/>
      </c>
      <c r="P16" t="str">
        <f>IF('Master Sheet'!C17="Area 7 (Anu R)",'Master Sheet'!P17,"")</f>
        <v/>
      </c>
    </row>
    <row r="17" spans="1:16" hidden="1" x14ac:dyDescent="0.25">
      <c r="A17" t="str">
        <f>IF('Master Sheet'!C18="Area 7 (Anu R)",'Master Sheet'!A18,"")</f>
        <v/>
      </c>
      <c r="B17" t="str">
        <f>IF('Master Sheet'!C18="Area 7 (Anu R)",'Master Sheet'!B18,"")</f>
        <v/>
      </c>
      <c r="C17" t="s">
        <v>10</v>
      </c>
      <c r="D17" t="str">
        <f>IF('Master Sheet'!C18="Area 7 (Anu R)",'Master Sheet'!D18,"")</f>
        <v/>
      </c>
      <c r="E17" t="str">
        <f>IF('Master Sheet'!C18="Area 7 (Anu R)",'Master Sheet'!E18,"")</f>
        <v/>
      </c>
      <c r="F17" t="str">
        <f>IF('Master Sheet'!C18="Area 7 (Anu R)",'Master Sheet'!F18,"")</f>
        <v/>
      </c>
      <c r="G17" t="str">
        <f>IF('Master Sheet'!C18="Area 7 (Anu R)",'Master Sheet'!G18,"")</f>
        <v/>
      </c>
      <c r="H17" t="str">
        <f>IF('Master Sheet'!C18="Area 7 (Anu R)",'Master Sheet'!H18,"")</f>
        <v/>
      </c>
      <c r="I17" t="str">
        <f>IF('Master Sheet'!C18="Area 7 (Anu R)",'Master Sheet'!I18,"")</f>
        <v/>
      </c>
      <c r="J17" t="str">
        <f>IF('Master Sheet'!C18="Area 7 (Anu R)",'Master Sheet'!J18,"")</f>
        <v/>
      </c>
      <c r="K17" t="str">
        <f>IF('Master Sheet'!C18="Area 7 (Anu R)",'Master Sheet'!K18,"")</f>
        <v/>
      </c>
      <c r="L17" t="str">
        <f>IF('Master Sheet'!C18="Area 7 (Anu R)",'Master Sheet'!L18,"")</f>
        <v/>
      </c>
      <c r="M17" t="str">
        <f>IF('Master Sheet'!C18="Area 7 (Anu R)",'Master Sheet'!M18,"")</f>
        <v/>
      </c>
      <c r="N17" t="str">
        <f>IF('Master Sheet'!C18="Area 7 (Anu R)",'Master Sheet'!N18,"")</f>
        <v/>
      </c>
      <c r="O17" t="str">
        <f>IF('Master Sheet'!C18="Area 7 (Anu R)",'Master Sheet'!O18,"")</f>
        <v/>
      </c>
      <c r="P17" t="str">
        <f>IF('Master Sheet'!C18="Area 7 (Anu R)",'Master Sheet'!P18,"")</f>
        <v/>
      </c>
    </row>
    <row r="18" spans="1:16" hidden="1" x14ac:dyDescent="0.25">
      <c r="A18" t="str">
        <f>IF('Master Sheet'!C19="Area 7 (Anu R)",'Master Sheet'!A19,"")</f>
        <v/>
      </c>
      <c r="B18" t="str">
        <f>IF('Master Sheet'!C19="Area 7 (Anu R)",'Master Sheet'!B19,"")</f>
        <v/>
      </c>
      <c r="C18" t="s">
        <v>10</v>
      </c>
      <c r="D18" t="str">
        <f>IF('Master Sheet'!C19="Area 7 (Anu R)",'Master Sheet'!D19,"")</f>
        <v/>
      </c>
      <c r="E18" t="str">
        <f>IF('Master Sheet'!C19="Area 7 (Anu R)",'Master Sheet'!E19,"")</f>
        <v/>
      </c>
      <c r="F18" t="str">
        <f>IF('Master Sheet'!C19="Area 7 (Anu R)",'Master Sheet'!F19,"")</f>
        <v/>
      </c>
      <c r="G18" t="str">
        <f>IF('Master Sheet'!C19="Area 7 (Anu R)",'Master Sheet'!G19,"")</f>
        <v/>
      </c>
      <c r="H18" t="str">
        <f>IF('Master Sheet'!C19="Area 7 (Anu R)",'Master Sheet'!H19,"")</f>
        <v/>
      </c>
      <c r="I18" t="str">
        <f>IF('Master Sheet'!C19="Area 7 (Anu R)",'Master Sheet'!I19,"")</f>
        <v/>
      </c>
      <c r="J18" t="str">
        <f>IF('Master Sheet'!C19="Area 7 (Anu R)",'Master Sheet'!J19,"")</f>
        <v/>
      </c>
      <c r="K18" t="str">
        <f>IF('Master Sheet'!C19="Area 7 (Anu R)",'Master Sheet'!K19,"")</f>
        <v/>
      </c>
      <c r="L18" t="str">
        <f>IF('Master Sheet'!C19="Area 7 (Anu R)",'Master Sheet'!L19,"")</f>
        <v/>
      </c>
      <c r="M18" t="str">
        <f>IF('Master Sheet'!C19="Area 7 (Anu R)",'Master Sheet'!M19,"")</f>
        <v/>
      </c>
      <c r="N18" t="str">
        <f>IF('Master Sheet'!C19="Area 7 (Anu R)",'Master Sheet'!N19,"")</f>
        <v/>
      </c>
      <c r="O18" t="str">
        <f>IF('Master Sheet'!C19="Area 7 (Anu R)",'Master Sheet'!O19,"")</f>
        <v/>
      </c>
      <c r="P18" t="str">
        <f>IF('Master Sheet'!C19="Area 7 (Anu R)",'Master Sheet'!P19,"")</f>
        <v/>
      </c>
    </row>
    <row r="19" spans="1:16" hidden="1" x14ac:dyDescent="0.25">
      <c r="A19" t="str">
        <f>IF('Master Sheet'!C20="Area 7 (Anu R)",'Master Sheet'!A20,"")</f>
        <v/>
      </c>
      <c r="B19" t="str">
        <f>IF('Master Sheet'!C20="Area 7 (Anu R)",'Master Sheet'!B20,"")</f>
        <v/>
      </c>
      <c r="C19" t="s">
        <v>10</v>
      </c>
      <c r="D19" t="str">
        <f>IF('Master Sheet'!C20="Area 7 (Anu R)",'Master Sheet'!D20,"")</f>
        <v/>
      </c>
      <c r="E19" t="str">
        <f>IF('Master Sheet'!C20="Area 7 (Anu R)",'Master Sheet'!E20,"")</f>
        <v/>
      </c>
      <c r="F19" t="str">
        <f>IF('Master Sheet'!C20="Area 7 (Anu R)",'Master Sheet'!F20,"")</f>
        <v/>
      </c>
      <c r="G19" t="str">
        <f>IF('Master Sheet'!C20="Area 7 (Anu R)",'Master Sheet'!G20,"")</f>
        <v/>
      </c>
      <c r="H19" t="str">
        <f>IF('Master Sheet'!C20="Area 7 (Anu R)",'Master Sheet'!H20,"")</f>
        <v/>
      </c>
      <c r="I19" t="str">
        <f>IF('Master Sheet'!C20="Area 7 (Anu R)",'Master Sheet'!I20,"")</f>
        <v/>
      </c>
      <c r="J19" t="str">
        <f>IF('Master Sheet'!C20="Area 7 (Anu R)",'Master Sheet'!J20,"")</f>
        <v/>
      </c>
      <c r="K19" t="str">
        <f>IF('Master Sheet'!C20="Area 7 (Anu R)",'Master Sheet'!K20,"")</f>
        <v/>
      </c>
      <c r="L19" t="str">
        <f>IF('Master Sheet'!C20="Area 7 (Anu R)",'Master Sheet'!L20,"")</f>
        <v/>
      </c>
      <c r="M19" t="str">
        <f>IF('Master Sheet'!C20="Area 7 (Anu R)",'Master Sheet'!M20,"")</f>
        <v/>
      </c>
      <c r="N19" t="str">
        <f>IF('Master Sheet'!C20="Area 7 (Anu R)",'Master Sheet'!N20,"")</f>
        <v/>
      </c>
      <c r="O19" t="str">
        <f>IF('Master Sheet'!C20="Area 7 (Anu R)",'Master Sheet'!O20,"")</f>
        <v/>
      </c>
      <c r="P19" t="str">
        <f>IF('Master Sheet'!C20="Area 7 (Anu R)",'Master Sheet'!P20,"")</f>
        <v/>
      </c>
    </row>
    <row r="20" spans="1:16" hidden="1" x14ac:dyDescent="0.25">
      <c r="A20" t="str">
        <f>IF('Master Sheet'!C21="Area 7 (Anu R)",'Master Sheet'!A21,"")</f>
        <v/>
      </c>
      <c r="B20" t="str">
        <f>IF('Master Sheet'!C21="Area 7 (Anu R)",'Master Sheet'!B21,"")</f>
        <v/>
      </c>
      <c r="C20" t="s">
        <v>10</v>
      </c>
      <c r="D20" t="str">
        <f>IF('Master Sheet'!C21="Area 7 (Anu R)",'Master Sheet'!D21,"")</f>
        <v/>
      </c>
      <c r="E20" t="str">
        <f>IF('Master Sheet'!C21="Area 7 (Anu R)",'Master Sheet'!E21,"")</f>
        <v/>
      </c>
      <c r="F20" t="str">
        <f>IF('Master Sheet'!C21="Area 7 (Anu R)",'Master Sheet'!F21,"")</f>
        <v/>
      </c>
      <c r="G20" t="str">
        <f>IF('Master Sheet'!C21="Area 7 (Anu R)",'Master Sheet'!G21,"")</f>
        <v/>
      </c>
      <c r="H20" t="str">
        <f>IF('Master Sheet'!C21="Area 7 (Anu R)",'Master Sheet'!H21,"")</f>
        <v/>
      </c>
      <c r="I20" t="str">
        <f>IF('Master Sheet'!C21="Area 7 (Anu R)",'Master Sheet'!I21,"")</f>
        <v/>
      </c>
      <c r="J20" t="str">
        <f>IF('Master Sheet'!C21="Area 7 (Anu R)",'Master Sheet'!J21,"")</f>
        <v/>
      </c>
      <c r="K20" t="str">
        <f>IF('Master Sheet'!C21="Area 7 (Anu R)",'Master Sheet'!K21,"")</f>
        <v/>
      </c>
      <c r="L20" t="str">
        <f>IF('Master Sheet'!C21="Area 7 (Anu R)",'Master Sheet'!L21,"")</f>
        <v/>
      </c>
      <c r="M20" t="str">
        <f>IF('Master Sheet'!C21="Area 7 (Anu R)",'Master Sheet'!M21,"")</f>
        <v/>
      </c>
      <c r="N20" t="str">
        <f>IF('Master Sheet'!C21="Area 7 (Anu R)",'Master Sheet'!N21,"")</f>
        <v/>
      </c>
      <c r="O20" t="str">
        <f>IF('Master Sheet'!C21="Area 7 (Anu R)",'Master Sheet'!O21,"")</f>
        <v/>
      </c>
      <c r="P20" t="str">
        <f>IF('Master Sheet'!C21="Area 7 (Anu R)",'Master Sheet'!P21,"")</f>
        <v/>
      </c>
    </row>
    <row r="21" spans="1:16" hidden="1" x14ac:dyDescent="0.25">
      <c r="A21" t="str">
        <f>IF('Master Sheet'!C22="Area 7 (Anu R)",'Master Sheet'!A22,"")</f>
        <v/>
      </c>
      <c r="B21" t="str">
        <f>IF('Master Sheet'!C22="Area 7 (Anu R)",'Master Sheet'!B22,"")</f>
        <v/>
      </c>
      <c r="C21" t="s">
        <v>10</v>
      </c>
      <c r="D21" t="str">
        <f>IF('Master Sheet'!C22="Area 7 (Anu R)",'Master Sheet'!D22,"")</f>
        <v/>
      </c>
      <c r="E21" t="str">
        <f>IF('Master Sheet'!C22="Area 7 (Anu R)",'Master Sheet'!E22,"")</f>
        <v/>
      </c>
      <c r="F21" t="str">
        <f>IF('Master Sheet'!C22="Area 7 (Anu R)",'Master Sheet'!F22,"")</f>
        <v/>
      </c>
      <c r="G21" t="str">
        <f>IF('Master Sheet'!C22="Area 7 (Anu R)",'Master Sheet'!G22,"")</f>
        <v/>
      </c>
      <c r="H21" t="str">
        <f>IF('Master Sheet'!C22="Area 7 (Anu R)",'Master Sheet'!H22,"")</f>
        <v/>
      </c>
      <c r="I21" t="str">
        <f>IF('Master Sheet'!C22="Area 7 (Anu R)",'Master Sheet'!I22,"")</f>
        <v/>
      </c>
      <c r="J21" t="str">
        <f>IF('Master Sheet'!C22="Area 7 (Anu R)",'Master Sheet'!J22,"")</f>
        <v/>
      </c>
      <c r="K21" t="str">
        <f>IF('Master Sheet'!C22="Area 7 (Anu R)",'Master Sheet'!K22,"")</f>
        <v/>
      </c>
      <c r="L21" t="str">
        <f>IF('Master Sheet'!C22="Area 7 (Anu R)",'Master Sheet'!L22,"")</f>
        <v/>
      </c>
      <c r="M21" t="str">
        <f>IF('Master Sheet'!C22="Area 7 (Anu R)",'Master Sheet'!M22,"")</f>
        <v/>
      </c>
      <c r="N21" t="str">
        <f>IF('Master Sheet'!C22="Area 7 (Anu R)",'Master Sheet'!N22,"")</f>
        <v/>
      </c>
      <c r="O21" t="str">
        <f>IF('Master Sheet'!C22="Area 7 (Anu R)",'Master Sheet'!O22,"")</f>
        <v/>
      </c>
      <c r="P21" t="str">
        <f>IF('Master Sheet'!C22="Area 7 (Anu R)",'Master Sheet'!P22,"")</f>
        <v/>
      </c>
    </row>
    <row r="22" spans="1:16" hidden="1" x14ac:dyDescent="0.25">
      <c r="A22" t="str">
        <f>IF('Master Sheet'!C23="Area 7 (Anu R)",'Master Sheet'!A23,"")</f>
        <v/>
      </c>
      <c r="B22" t="str">
        <f>IF('Master Sheet'!C23="Area 7 (Anu R)",'Master Sheet'!B23,"")</f>
        <v/>
      </c>
      <c r="C22" t="s">
        <v>10</v>
      </c>
      <c r="D22" t="str">
        <f>IF('Master Sheet'!C23="Area 7 (Anu R)",'Master Sheet'!D23,"")</f>
        <v/>
      </c>
      <c r="E22" t="str">
        <f>IF('Master Sheet'!C23="Area 7 (Anu R)",'Master Sheet'!E23,"")</f>
        <v/>
      </c>
      <c r="F22" t="str">
        <f>IF('Master Sheet'!C23="Area 7 (Anu R)",'Master Sheet'!F23,"")</f>
        <v/>
      </c>
      <c r="G22" t="str">
        <f>IF('Master Sheet'!C23="Area 7 (Anu R)",'Master Sheet'!G23,"")</f>
        <v/>
      </c>
      <c r="H22" t="str">
        <f>IF('Master Sheet'!C23="Area 7 (Anu R)",'Master Sheet'!H23,"")</f>
        <v/>
      </c>
      <c r="I22" t="str">
        <f>IF('Master Sheet'!C23="Area 7 (Anu R)",'Master Sheet'!I23,"")</f>
        <v/>
      </c>
      <c r="J22" t="str">
        <f>IF('Master Sheet'!C23="Area 7 (Anu R)",'Master Sheet'!J23,"")</f>
        <v/>
      </c>
      <c r="K22" t="str">
        <f>IF('Master Sheet'!C23="Area 7 (Anu R)",'Master Sheet'!K23,"")</f>
        <v/>
      </c>
      <c r="L22" t="str">
        <f>IF('Master Sheet'!C23="Area 7 (Anu R)",'Master Sheet'!L23,"")</f>
        <v/>
      </c>
      <c r="M22" t="str">
        <f>IF('Master Sheet'!C23="Area 7 (Anu R)",'Master Sheet'!M23,"")</f>
        <v/>
      </c>
      <c r="N22" t="str">
        <f>IF('Master Sheet'!C23="Area 7 (Anu R)",'Master Sheet'!N23,"")</f>
        <v/>
      </c>
      <c r="O22" t="str">
        <f>IF('Master Sheet'!C23="Area 7 (Anu R)",'Master Sheet'!O23,"")</f>
        <v/>
      </c>
      <c r="P22" t="str">
        <f>IF('Master Sheet'!C23="Area 7 (Anu R)",'Master Sheet'!P23,"")</f>
        <v/>
      </c>
    </row>
    <row r="23" spans="1:16" hidden="1" x14ac:dyDescent="0.25">
      <c r="A23" t="str">
        <f>IF('Master Sheet'!C24="Area 7 (Anu R)",'Master Sheet'!A24,"")</f>
        <v/>
      </c>
      <c r="B23" t="str">
        <f>IF('Master Sheet'!C24="Area 7 (Anu R)",'Master Sheet'!B24,"")</f>
        <v/>
      </c>
      <c r="C23" t="s">
        <v>10</v>
      </c>
      <c r="D23" t="str">
        <f>IF('Master Sheet'!C24="Area 7 (Anu R)",'Master Sheet'!D24,"")</f>
        <v/>
      </c>
      <c r="E23" t="str">
        <f>IF('Master Sheet'!C24="Area 7 (Anu R)",'Master Sheet'!E24,"")</f>
        <v/>
      </c>
      <c r="F23" t="str">
        <f>IF('Master Sheet'!C24="Area 7 (Anu R)",'Master Sheet'!F24,"")</f>
        <v/>
      </c>
      <c r="G23" t="str">
        <f>IF('Master Sheet'!C24="Area 7 (Anu R)",'Master Sheet'!G24,"")</f>
        <v/>
      </c>
      <c r="H23" t="str">
        <f>IF('Master Sheet'!C24="Area 7 (Anu R)",'Master Sheet'!H24,"")</f>
        <v/>
      </c>
      <c r="I23" t="str">
        <f>IF('Master Sheet'!C24="Area 7 (Anu R)",'Master Sheet'!I24,"")</f>
        <v/>
      </c>
      <c r="J23" t="str">
        <f>IF('Master Sheet'!C24="Area 7 (Anu R)",'Master Sheet'!J24,"")</f>
        <v/>
      </c>
      <c r="K23" t="str">
        <f>IF('Master Sheet'!C24="Area 7 (Anu R)",'Master Sheet'!K24,"")</f>
        <v/>
      </c>
      <c r="L23" t="str">
        <f>IF('Master Sheet'!C24="Area 7 (Anu R)",'Master Sheet'!L24,"")</f>
        <v/>
      </c>
      <c r="M23" t="str">
        <f>IF('Master Sheet'!C24="Area 7 (Anu R)",'Master Sheet'!M24,"")</f>
        <v/>
      </c>
      <c r="N23" t="str">
        <f>IF('Master Sheet'!C24="Area 7 (Anu R)",'Master Sheet'!N24,"")</f>
        <v/>
      </c>
      <c r="O23" t="str">
        <f>IF('Master Sheet'!C24="Area 7 (Anu R)",'Master Sheet'!O24,"")</f>
        <v/>
      </c>
      <c r="P23" t="str">
        <f>IF('Master Sheet'!C24="Area 7 (Anu R)",'Master Sheet'!P24,"")</f>
        <v/>
      </c>
    </row>
    <row r="24" spans="1:16" hidden="1" x14ac:dyDescent="0.25">
      <c r="A24" t="str">
        <f>IF('Master Sheet'!C25="Area 7 (Anu R)",'Master Sheet'!A25,"")</f>
        <v/>
      </c>
      <c r="B24" t="str">
        <f>IF('Master Sheet'!C25="Area 7 (Anu R)",'Master Sheet'!B25,"")</f>
        <v/>
      </c>
      <c r="C24" t="s">
        <v>10</v>
      </c>
      <c r="D24" t="str">
        <f>IF('Master Sheet'!C25="Area 7 (Anu R)",'Master Sheet'!D25,"")</f>
        <v/>
      </c>
      <c r="E24" t="str">
        <f>IF('Master Sheet'!C25="Area 7 (Anu R)",'Master Sheet'!E25,"")</f>
        <v/>
      </c>
      <c r="F24" t="str">
        <f>IF('Master Sheet'!C25="Area 7 (Anu R)",'Master Sheet'!F25,"")</f>
        <v/>
      </c>
      <c r="G24" t="str">
        <f>IF('Master Sheet'!C25="Area 7 (Anu R)",'Master Sheet'!G25,"")</f>
        <v/>
      </c>
      <c r="H24" t="str">
        <f>IF('Master Sheet'!C25="Area 7 (Anu R)",'Master Sheet'!H25,"")</f>
        <v/>
      </c>
      <c r="I24" t="str">
        <f>IF('Master Sheet'!C25="Area 7 (Anu R)",'Master Sheet'!I25,"")</f>
        <v/>
      </c>
      <c r="J24" t="str">
        <f>IF('Master Sheet'!C25="Area 7 (Anu R)",'Master Sheet'!J25,"")</f>
        <v/>
      </c>
      <c r="K24" t="str">
        <f>IF('Master Sheet'!C25="Area 7 (Anu R)",'Master Sheet'!K25,"")</f>
        <v/>
      </c>
      <c r="L24" t="str">
        <f>IF('Master Sheet'!C25="Area 7 (Anu R)",'Master Sheet'!L25,"")</f>
        <v/>
      </c>
      <c r="M24" t="str">
        <f>IF('Master Sheet'!C25="Area 7 (Anu R)",'Master Sheet'!M25,"")</f>
        <v/>
      </c>
      <c r="N24" t="str">
        <f>IF('Master Sheet'!C25="Area 7 (Anu R)",'Master Sheet'!N25,"")</f>
        <v/>
      </c>
      <c r="O24" t="str">
        <f>IF('Master Sheet'!C25="Area 7 (Anu R)",'Master Sheet'!O25,"")</f>
        <v/>
      </c>
      <c r="P24" t="str">
        <f>IF('Master Sheet'!C25="Area 7 (Anu R)",'Master Sheet'!P25,"")</f>
        <v/>
      </c>
    </row>
    <row r="25" spans="1:16" hidden="1" x14ac:dyDescent="0.25">
      <c r="A25" t="str">
        <f>IF('Master Sheet'!C26="Area 7 (Anu R)",'Master Sheet'!A26,"")</f>
        <v/>
      </c>
      <c r="B25" t="str">
        <f>IF('Master Sheet'!C26="Area 7 (Anu R)",'Master Sheet'!B26,"")</f>
        <v/>
      </c>
      <c r="C25" t="s">
        <v>10</v>
      </c>
      <c r="D25" t="str">
        <f>IF('Master Sheet'!C26="Area 7 (Anu R)",'Master Sheet'!D26,"")</f>
        <v/>
      </c>
      <c r="E25" t="str">
        <f>IF('Master Sheet'!C26="Area 7 (Anu R)",'Master Sheet'!E26,"")</f>
        <v/>
      </c>
      <c r="F25" t="str">
        <f>IF('Master Sheet'!C26="Area 7 (Anu R)",'Master Sheet'!F26,"")</f>
        <v/>
      </c>
      <c r="G25" t="str">
        <f>IF('Master Sheet'!C26="Area 7 (Anu R)",'Master Sheet'!G26,"")</f>
        <v/>
      </c>
      <c r="H25" t="str">
        <f>IF('Master Sheet'!C26="Area 7 (Anu R)",'Master Sheet'!H26,"")</f>
        <v/>
      </c>
      <c r="I25" t="str">
        <f>IF('Master Sheet'!C26="Area 7 (Anu R)",'Master Sheet'!I26,"")</f>
        <v/>
      </c>
      <c r="J25" t="str">
        <f>IF('Master Sheet'!C26="Area 7 (Anu R)",'Master Sheet'!J26,"")</f>
        <v/>
      </c>
      <c r="K25" t="str">
        <f>IF('Master Sheet'!C26="Area 7 (Anu R)",'Master Sheet'!K26,"")</f>
        <v/>
      </c>
      <c r="L25" t="str">
        <f>IF('Master Sheet'!C26="Area 7 (Anu R)",'Master Sheet'!L26,"")</f>
        <v/>
      </c>
      <c r="M25" t="str">
        <f>IF('Master Sheet'!C26="Area 7 (Anu R)",'Master Sheet'!M26,"")</f>
        <v/>
      </c>
      <c r="N25" t="str">
        <f>IF('Master Sheet'!C26="Area 7 (Anu R)",'Master Sheet'!N26,"")</f>
        <v/>
      </c>
      <c r="O25" t="str">
        <f>IF('Master Sheet'!C26="Area 7 (Anu R)",'Master Sheet'!O26,"")</f>
        <v/>
      </c>
      <c r="P25" t="str">
        <f>IF('Master Sheet'!C26="Area 7 (Anu R)",'Master Sheet'!P26,"")</f>
        <v/>
      </c>
    </row>
    <row r="26" spans="1:16" hidden="1" x14ac:dyDescent="0.25">
      <c r="A26" t="str">
        <f>IF('Master Sheet'!C27="Area 7 (Anu R)",'Master Sheet'!A27,"")</f>
        <v/>
      </c>
      <c r="B26" t="str">
        <f>IF('Master Sheet'!C27="Area 7 (Anu R)",'Master Sheet'!B27,"")</f>
        <v/>
      </c>
      <c r="C26" t="s">
        <v>10</v>
      </c>
      <c r="D26" t="str">
        <f>IF('Master Sheet'!C27="Area 7 (Anu R)",'Master Sheet'!D27,"")</f>
        <v/>
      </c>
      <c r="E26" t="str">
        <f>IF('Master Sheet'!C27="Area 7 (Anu R)",'Master Sheet'!E27,"")</f>
        <v/>
      </c>
      <c r="F26" t="str">
        <f>IF('Master Sheet'!C27="Area 7 (Anu R)",'Master Sheet'!F27,"")</f>
        <v/>
      </c>
      <c r="G26" t="str">
        <f>IF('Master Sheet'!C27="Area 7 (Anu R)",'Master Sheet'!G27,"")</f>
        <v/>
      </c>
      <c r="H26" t="str">
        <f>IF('Master Sheet'!C27="Area 7 (Anu R)",'Master Sheet'!H27,"")</f>
        <v/>
      </c>
      <c r="I26" t="str">
        <f>IF('Master Sheet'!C27="Area 7 (Anu R)",'Master Sheet'!I27,"")</f>
        <v/>
      </c>
      <c r="J26" t="str">
        <f>IF('Master Sheet'!C27="Area 7 (Anu R)",'Master Sheet'!J27,"")</f>
        <v/>
      </c>
      <c r="K26" t="str">
        <f>IF('Master Sheet'!C27="Area 7 (Anu R)",'Master Sheet'!K27,"")</f>
        <v/>
      </c>
      <c r="L26" t="str">
        <f>IF('Master Sheet'!C27="Area 7 (Anu R)",'Master Sheet'!L27,"")</f>
        <v/>
      </c>
      <c r="M26" t="str">
        <f>IF('Master Sheet'!C27="Area 7 (Anu R)",'Master Sheet'!M27,"")</f>
        <v/>
      </c>
      <c r="N26" t="str">
        <f>IF('Master Sheet'!C27="Area 7 (Anu R)",'Master Sheet'!N27,"")</f>
        <v/>
      </c>
      <c r="O26" t="str">
        <f>IF('Master Sheet'!C27="Area 7 (Anu R)",'Master Sheet'!O27,"")</f>
        <v/>
      </c>
      <c r="P26" t="str">
        <f>IF('Master Sheet'!C27="Area 7 (Anu R)",'Master Sheet'!P27,"")</f>
        <v/>
      </c>
    </row>
    <row r="27" spans="1:16" hidden="1" x14ac:dyDescent="0.25">
      <c r="A27" t="str">
        <f>IF('Master Sheet'!C28="Area 7 (Anu R)",'Master Sheet'!A28,"")</f>
        <v/>
      </c>
      <c r="B27" t="str">
        <f>IF('Master Sheet'!C28="Area 7 (Anu R)",'Master Sheet'!B28,"")</f>
        <v/>
      </c>
      <c r="C27" t="s">
        <v>10</v>
      </c>
      <c r="D27" t="str">
        <f>IF('Master Sheet'!C28="Area 7 (Anu R)",'Master Sheet'!D28,"")</f>
        <v/>
      </c>
      <c r="E27" t="str">
        <f>IF('Master Sheet'!C28="Area 7 (Anu R)",'Master Sheet'!E28,"")</f>
        <v/>
      </c>
      <c r="F27" t="str">
        <f>IF('Master Sheet'!C28="Area 7 (Anu R)",'Master Sheet'!F28,"")</f>
        <v/>
      </c>
      <c r="G27" t="str">
        <f>IF('Master Sheet'!C28="Area 7 (Anu R)",'Master Sheet'!G28,"")</f>
        <v/>
      </c>
      <c r="H27" t="str">
        <f>IF('Master Sheet'!C28="Area 7 (Anu R)",'Master Sheet'!H28,"")</f>
        <v/>
      </c>
      <c r="I27" t="str">
        <f>IF('Master Sheet'!C28="Area 7 (Anu R)",'Master Sheet'!I28,"")</f>
        <v/>
      </c>
      <c r="J27" t="str">
        <f>IF('Master Sheet'!C28="Area 7 (Anu R)",'Master Sheet'!J28,"")</f>
        <v/>
      </c>
      <c r="K27" t="str">
        <f>IF('Master Sheet'!C28="Area 7 (Anu R)",'Master Sheet'!K28,"")</f>
        <v/>
      </c>
      <c r="L27" t="str">
        <f>IF('Master Sheet'!C28="Area 7 (Anu R)",'Master Sheet'!L28,"")</f>
        <v/>
      </c>
      <c r="M27" t="str">
        <f>IF('Master Sheet'!C28="Area 7 (Anu R)",'Master Sheet'!M28,"")</f>
        <v/>
      </c>
      <c r="N27" t="str">
        <f>IF('Master Sheet'!C28="Area 7 (Anu R)",'Master Sheet'!N28,"")</f>
        <v/>
      </c>
      <c r="O27" t="str">
        <f>IF('Master Sheet'!C28="Area 7 (Anu R)",'Master Sheet'!O28,"")</f>
        <v/>
      </c>
      <c r="P27" t="str">
        <f>IF('Master Sheet'!C28="Area 7 (Anu R)",'Master Sheet'!P28,"")</f>
        <v/>
      </c>
    </row>
    <row r="28" spans="1:16" hidden="1" x14ac:dyDescent="0.25">
      <c r="A28" t="str">
        <f>IF('Master Sheet'!C29="Area 7 (Anu R)",'Master Sheet'!A29,"")</f>
        <v/>
      </c>
      <c r="B28" t="str">
        <f>IF('Master Sheet'!C29="Area 7 (Anu R)",'Master Sheet'!B29,"")</f>
        <v/>
      </c>
      <c r="C28" t="s">
        <v>10</v>
      </c>
      <c r="D28" t="str">
        <f>IF('Master Sheet'!C29="Area 7 (Anu R)",'Master Sheet'!D29,"")</f>
        <v/>
      </c>
      <c r="E28" t="str">
        <f>IF('Master Sheet'!C29="Area 7 (Anu R)",'Master Sheet'!E29,"")</f>
        <v/>
      </c>
      <c r="F28" t="str">
        <f>IF('Master Sheet'!C29="Area 7 (Anu R)",'Master Sheet'!F29,"")</f>
        <v/>
      </c>
      <c r="G28" t="str">
        <f>IF('Master Sheet'!C29="Area 7 (Anu R)",'Master Sheet'!G29,"")</f>
        <v/>
      </c>
      <c r="H28" t="str">
        <f>IF('Master Sheet'!C29="Area 7 (Anu R)",'Master Sheet'!H29,"")</f>
        <v/>
      </c>
      <c r="I28" t="str">
        <f>IF('Master Sheet'!C29="Area 7 (Anu R)",'Master Sheet'!I29,"")</f>
        <v/>
      </c>
      <c r="J28" t="str">
        <f>IF('Master Sheet'!C29="Area 7 (Anu R)",'Master Sheet'!J29,"")</f>
        <v/>
      </c>
      <c r="K28" t="str">
        <f>IF('Master Sheet'!C29="Area 7 (Anu R)",'Master Sheet'!K29,"")</f>
        <v/>
      </c>
      <c r="L28" t="str">
        <f>IF('Master Sheet'!C29="Area 7 (Anu R)",'Master Sheet'!L29,"")</f>
        <v/>
      </c>
      <c r="M28" t="str">
        <f>IF('Master Sheet'!C29="Area 7 (Anu R)",'Master Sheet'!M29,"")</f>
        <v/>
      </c>
      <c r="N28" t="str">
        <f>IF('Master Sheet'!C29="Area 7 (Anu R)",'Master Sheet'!N29,"")</f>
        <v/>
      </c>
      <c r="O28" t="str">
        <f>IF('Master Sheet'!C29="Area 7 (Anu R)",'Master Sheet'!O29,"")</f>
        <v/>
      </c>
      <c r="P28" t="str">
        <f>IF('Master Sheet'!C29="Area 7 (Anu R)",'Master Sheet'!P29,"")</f>
        <v/>
      </c>
    </row>
    <row r="29" spans="1:16" hidden="1" x14ac:dyDescent="0.25">
      <c r="A29" t="str">
        <f>IF('Master Sheet'!C30="Area 7 (Anu R)",'Master Sheet'!A30,"")</f>
        <v/>
      </c>
      <c r="B29" t="str">
        <f>IF('Master Sheet'!C30="Area 7 (Anu R)",'Master Sheet'!B30,"")</f>
        <v/>
      </c>
      <c r="C29" t="s">
        <v>10</v>
      </c>
      <c r="D29" t="str">
        <f>IF('Master Sheet'!C30="Area 7 (Anu R)",'Master Sheet'!D30,"")</f>
        <v/>
      </c>
      <c r="E29" t="str">
        <f>IF('Master Sheet'!C30="Area 7 (Anu R)",'Master Sheet'!E30,"")</f>
        <v/>
      </c>
      <c r="F29" t="str">
        <f>IF('Master Sheet'!C30="Area 7 (Anu R)",'Master Sheet'!F30,"")</f>
        <v/>
      </c>
      <c r="G29" t="str">
        <f>IF('Master Sheet'!C30="Area 7 (Anu R)",'Master Sheet'!G30,"")</f>
        <v/>
      </c>
      <c r="H29" t="str">
        <f>IF('Master Sheet'!C30="Area 7 (Anu R)",'Master Sheet'!H30,"")</f>
        <v/>
      </c>
      <c r="I29" t="str">
        <f>IF('Master Sheet'!C30="Area 7 (Anu R)",'Master Sheet'!I30,"")</f>
        <v/>
      </c>
      <c r="J29" t="str">
        <f>IF('Master Sheet'!C30="Area 7 (Anu R)",'Master Sheet'!J30,"")</f>
        <v/>
      </c>
      <c r="K29" t="str">
        <f>IF('Master Sheet'!C30="Area 7 (Anu R)",'Master Sheet'!K30,"")</f>
        <v/>
      </c>
      <c r="L29" t="str">
        <f>IF('Master Sheet'!C30="Area 7 (Anu R)",'Master Sheet'!L30,"")</f>
        <v/>
      </c>
      <c r="M29" t="str">
        <f>IF('Master Sheet'!C30="Area 7 (Anu R)",'Master Sheet'!M30,"")</f>
        <v/>
      </c>
      <c r="N29" t="str">
        <f>IF('Master Sheet'!C30="Area 7 (Anu R)",'Master Sheet'!N30,"")</f>
        <v/>
      </c>
      <c r="O29" t="str">
        <f>IF('Master Sheet'!C30="Area 7 (Anu R)",'Master Sheet'!O30,"")</f>
        <v/>
      </c>
      <c r="P29" t="str">
        <f>IF('Master Sheet'!C30="Area 7 (Anu R)",'Master Sheet'!P30,"")</f>
        <v/>
      </c>
    </row>
    <row r="30" spans="1:16" hidden="1" x14ac:dyDescent="0.25">
      <c r="A30" t="str">
        <f>IF('Master Sheet'!C31="Area 7 (Anu R)",'Master Sheet'!A31,"")</f>
        <v/>
      </c>
      <c r="B30" t="str">
        <f>IF('Master Sheet'!C31="Area 7 (Anu R)",'Master Sheet'!B31,"")</f>
        <v/>
      </c>
      <c r="C30" t="s">
        <v>10</v>
      </c>
      <c r="D30" t="str">
        <f>IF('Master Sheet'!C31="Area 7 (Anu R)",'Master Sheet'!D31,"")</f>
        <v/>
      </c>
      <c r="E30" t="str">
        <f>IF('Master Sheet'!C31="Area 7 (Anu R)",'Master Sheet'!E31,"")</f>
        <v/>
      </c>
      <c r="F30" t="str">
        <f>IF('Master Sheet'!C31="Area 7 (Anu R)",'Master Sheet'!F31,"")</f>
        <v/>
      </c>
      <c r="G30" t="str">
        <f>IF('Master Sheet'!C31="Area 7 (Anu R)",'Master Sheet'!G31,"")</f>
        <v/>
      </c>
      <c r="H30" t="str">
        <f>IF('Master Sheet'!C31="Area 7 (Anu R)",'Master Sheet'!H31,"")</f>
        <v/>
      </c>
      <c r="I30" t="str">
        <f>IF('Master Sheet'!C31="Area 7 (Anu R)",'Master Sheet'!I31,"")</f>
        <v/>
      </c>
      <c r="J30" t="str">
        <f>IF('Master Sheet'!C31="Area 7 (Anu R)",'Master Sheet'!J31,"")</f>
        <v/>
      </c>
      <c r="K30" t="str">
        <f>IF('Master Sheet'!C31="Area 7 (Anu R)",'Master Sheet'!K31,"")</f>
        <v/>
      </c>
      <c r="L30" t="str">
        <f>IF('Master Sheet'!C31="Area 7 (Anu R)",'Master Sheet'!L31,"")</f>
        <v/>
      </c>
      <c r="M30" t="str">
        <f>IF('Master Sheet'!C31="Area 7 (Anu R)",'Master Sheet'!M31,"")</f>
        <v/>
      </c>
      <c r="N30" t="str">
        <f>IF('Master Sheet'!C31="Area 7 (Anu R)",'Master Sheet'!N31,"")</f>
        <v/>
      </c>
      <c r="O30" t="str">
        <f>IF('Master Sheet'!C31="Area 7 (Anu R)",'Master Sheet'!O31,"")</f>
        <v/>
      </c>
      <c r="P30" t="str">
        <f>IF('Master Sheet'!C31="Area 7 (Anu R)",'Master Sheet'!P31,"")</f>
        <v/>
      </c>
    </row>
    <row r="31" spans="1:16" hidden="1" x14ac:dyDescent="0.25">
      <c r="A31" t="str">
        <f>IF('Master Sheet'!C32="Area 7 (Anu R)",'Master Sheet'!A32,"")</f>
        <v/>
      </c>
      <c r="B31" t="str">
        <f>IF('Master Sheet'!C32="Area 7 (Anu R)",'Master Sheet'!B32,"")</f>
        <v/>
      </c>
      <c r="C31" t="s">
        <v>10</v>
      </c>
      <c r="D31" t="str">
        <f>IF('Master Sheet'!C32="Area 7 (Anu R)",'Master Sheet'!D32,"")</f>
        <v/>
      </c>
      <c r="E31" t="str">
        <f>IF('Master Sheet'!C32="Area 7 (Anu R)",'Master Sheet'!E32,"")</f>
        <v/>
      </c>
      <c r="F31" t="str">
        <f>IF('Master Sheet'!C32="Area 7 (Anu R)",'Master Sheet'!F32,"")</f>
        <v/>
      </c>
      <c r="G31" t="str">
        <f>IF('Master Sheet'!C32="Area 7 (Anu R)",'Master Sheet'!G32,"")</f>
        <v/>
      </c>
      <c r="H31" t="str">
        <f>IF('Master Sheet'!C32="Area 7 (Anu R)",'Master Sheet'!H32,"")</f>
        <v/>
      </c>
      <c r="I31" t="str">
        <f>IF('Master Sheet'!C32="Area 7 (Anu R)",'Master Sheet'!I32,"")</f>
        <v/>
      </c>
      <c r="J31" t="str">
        <f>IF('Master Sheet'!C32="Area 7 (Anu R)",'Master Sheet'!J32,"")</f>
        <v/>
      </c>
      <c r="K31" t="str">
        <f>IF('Master Sheet'!C32="Area 7 (Anu R)",'Master Sheet'!K32,"")</f>
        <v/>
      </c>
      <c r="L31" t="str">
        <f>IF('Master Sheet'!C32="Area 7 (Anu R)",'Master Sheet'!L32,"")</f>
        <v/>
      </c>
      <c r="M31" t="str">
        <f>IF('Master Sheet'!C32="Area 7 (Anu R)",'Master Sheet'!M32,"")</f>
        <v/>
      </c>
      <c r="N31" t="str">
        <f>IF('Master Sheet'!C32="Area 7 (Anu R)",'Master Sheet'!N32,"")</f>
        <v/>
      </c>
      <c r="O31" t="str">
        <f>IF('Master Sheet'!C32="Area 7 (Anu R)",'Master Sheet'!O32,"")</f>
        <v/>
      </c>
      <c r="P31" t="str">
        <f>IF('Master Sheet'!C32="Area 7 (Anu R)",'Master Sheet'!P32,"")</f>
        <v/>
      </c>
    </row>
    <row r="32" spans="1:16" hidden="1" x14ac:dyDescent="0.25">
      <c r="A32" t="str">
        <f>IF('Master Sheet'!C33="Area 7 (Anu R)",'Master Sheet'!A33,"")</f>
        <v/>
      </c>
      <c r="B32" t="str">
        <f>IF('Master Sheet'!C33="Area 7 (Anu R)",'Master Sheet'!B33,"")</f>
        <v/>
      </c>
      <c r="C32" t="s">
        <v>10</v>
      </c>
      <c r="D32" t="str">
        <f>IF('Master Sheet'!C33="Area 7 (Anu R)",'Master Sheet'!D33,"")</f>
        <v/>
      </c>
      <c r="E32" t="str">
        <f>IF('Master Sheet'!C33="Area 7 (Anu R)",'Master Sheet'!E33,"")</f>
        <v/>
      </c>
      <c r="F32" t="str">
        <f>IF('Master Sheet'!C33="Area 7 (Anu R)",'Master Sheet'!F33,"")</f>
        <v/>
      </c>
      <c r="G32" t="str">
        <f>IF('Master Sheet'!C33="Area 7 (Anu R)",'Master Sheet'!G33,"")</f>
        <v/>
      </c>
      <c r="H32" t="str">
        <f>IF('Master Sheet'!C33="Area 7 (Anu R)",'Master Sheet'!H33,"")</f>
        <v/>
      </c>
      <c r="I32" t="str">
        <f>IF('Master Sheet'!C33="Area 7 (Anu R)",'Master Sheet'!I33,"")</f>
        <v/>
      </c>
      <c r="J32" t="str">
        <f>IF('Master Sheet'!C33="Area 7 (Anu R)",'Master Sheet'!J33,"")</f>
        <v/>
      </c>
      <c r="K32" t="str">
        <f>IF('Master Sheet'!C33="Area 7 (Anu R)",'Master Sheet'!K33,"")</f>
        <v/>
      </c>
      <c r="L32" t="str">
        <f>IF('Master Sheet'!C33="Area 7 (Anu R)",'Master Sheet'!L33,"")</f>
        <v/>
      </c>
      <c r="M32" t="str">
        <f>IF('Master Sheet'!C33="Area 7 (Anu R)",'Master Sheet'!M33,"")</f>
        <v/>
      </c>
      <c r="N32" t="str">
        <f>IF('Master Sheet'!C33="Area 7 (Anu R)",'Master Sheet'!N33,"")</f>
        <v/>
      </c>
      <c r="O32" t="str">
        <f>IF('Master Sheet'!C33="Area 7 (Anu R)",'Master Sheet'!O33,"")</f>
        <v/>
      </c>
      <c r="P32" t="str">
        <f>IF('Master Sheet'!C33="Area 7 (Anu R)",'Master Sheet'!P33,"")</f>
        <v/>
      </c>
    </row>
    <row r="33" spans="1:16" hidden="1" x14ac:dyDescent="0.25">
      <c r="A33" t="str">
        <f>IF('Master Sheet'!C34="Area 7 (Anu R)",'Master Sheet'!A34,"")</f>
        <v/>
      </c>
      <c r="B33" t="str">
        <f>IF('Master Sheet'!C34="Area 7 (Anu R)",'Master Sheet'!B34,"")</f>
        <v/>
      </c>
      <c r="C33" t="s">
        <v>10</v>
      </c>
      <c r="D33" t="str">
        <f>IF('Master Sheet'!C34="Area 7 (Anu R)",'Master Sheet'!D34,"")</f>
        <v/>
      </c>
      <c r="E33" t="str">
        <f>IF('Master Sheet'!C34="Area 7 (Anu R)",'Master Sheet'!E34,"")</f>
        <v/>
      </c>
      <c r="F33" t="str">
        <f>IF('Master Sheet'!C34="Area 7 (Anu R)",'Master Sheet'!F34,"")</f>
        <v/>
      </c>
      <c r="G33" t="str">
        <f>IF('Master Sheet'!C34="Area 7 (Anu R)",'Master Sheet'!G34,"")</f>
        <v/>
      </c>
      <c r="H33" t="str">
        <f>IF('Master Sheet'!C34="Area 7 (Anu R)",'Master Sheet'!H34,"")</f>
        <v/>
      </c>
      <c r="I33" t="str">
        <f>IF('Master Sheet'!C34="Area 7 (Anu R)",'Master Sheet'!I34,"")</f>
        <v/>
      </c>
      <c r="J33" t="str">
        <f>IF('Master Sheet'!C34="Area 7 (Anu R)",'Master Sheet'!J34,"")</f>
        <v/>
      </c>
      <c r="K33" t="str">
        <f>IF('Master Sheet'!C34="Area 7 (Anu R)",'Master Sheet'!K34,"")</f>
        <v/>
      </c>
      <c r="L33" t="str">
        <f>IF('Master Sheet'!C34="Area 7 (Anu R)",'Master Sheet'!L34,"")</f>
        <v/>
      </c>
      <c r="M33" t="str">
        <f>IF('Master Sheet'!C34="Area 7 (Anu R)",'Master Sheet'!M34,"")</f>
        <v/>
      </c>
      <c r="N33" t="str">
        <f>IF('Master Sheet'!C34="Area 7 (Anu R)",'Master Sheet'!N34,"")</f>
        <v/>
      </c>
      <c r="O33" t="str">
        <f>IF('Master Sheet'!C34="Area 7 (Anu R)",'Master Sheet'!O34,"")</f>
        <v/>
      </c>
      <c r="P33" t="str">
        <f>IF('Master Sheet'!C34="Area 7 (Anu R)",'Master Sheet'!P34,"")</f>
        <v/>
      </c>
    </row>
    <row r="34" spans="1:16" hidden="1" x14ac:dyDescent="0.25">
      <c r="A34" t="str">
        <f>IF('Master Sheet'!C35="Area 7 (Anu R)",'Master Sheet'!A35,"")</f>
        <v/>
      </c>
      <c r="B34" t="str">
        <f>IF('Master Sheet'!C35="Area 7 (Anu R)",'Master Sheet'!B35,"")</f>
        <v/>
      </c>
      <c r="C34" t="s">
        <v>10</v>
      </c>
      <c r="D34" t="str">
        <f>IF('Master Sheet'!C35="Area 7 (Anu R)",'Master Sheet'!D35,"")</f>
        <v/>
      </c>
      <c r="E34" t="str">
        <f>IF('Master Sheet'!C35="Area 7 (Anu R)",'Master Sheet'!E35,"")</f>
        <v/>
      </c>
      <c r="F34" t="str">
        <f>IF('Master Sheet'!C35="Area 7 (Anu R)",'Master Sheet'!F35,"")</f>
        <v/>
      </c>
      <c r="G34" t="str">
        <f>IF('Master Sheet'!C35="Area 7 (Anu R)",'Master Sheet'!G35,"")</f>
        <v/>
      </c>
      <c r="H34" t="str">
        <f>IF('Master Sheet'!C35="Area 7 (Anu R)",'Master Sheet'!H35,"")</f>
        <v/>
      </c>
      <c r="I34" t="str">
        <f>IF('Master Sheet'!C35="Area 7 (Anu R)",'Master Sheet'!I35,"")</f>
        <v/>
      </c>
      <c r="J34" t="str">
        <f>IF('Master Sheet'!C35="Area 7 (Anu R)",'Master Sheet'!J35,"")</f>
        <v/>
      </c>
      <c r="K34" t="str">
        <f>IF('Master Sheet'!C35="Area 7 (Anu R)",'Master Sheet'!K35,"")</f>
        <v/>
      </c>
      <c r="L34" t="str">
        <f>IF('Master Sheet'!C35="Area 7 (Anu R)",'Master Sheet'!L35,"")</f>
        <v/>
      </c>
      <c r="M34" t="str">
        <f>IF('Master Sheet'!C35="Area 7 (Anu R)",'Master Sheet'!M35,"")</f>
        <v/>
      </c>
      <c r="N34" t="str">
        <f>IF('Master Sheet'!C35="Area 7 (Anu R)",'Master Sheet'!N35,"")</f>
        <v/>
      </c>
      <c r="O34" t="str">
        <f>IF('Master Sheet'!C35="Area 7 (Anu R)",'Master Sheet'!O35,"")</f>
        <v/>
      </c>
      <c r="P34" t="str">
        <f>IF('Master Sheet'!C35="Area 7 (Anu R)",'Master Sheet'!P35,"")</f>
        <v/>
      </c>
    </row>
    <row r="35" spans="1:16" hidden="1" x14ac:dyDescent="0.25">
      <c r="A35" t="str">
        <f>IF('Master Sheet'!C36="Area 7 (Anu R)",'Master Sheet'!A36,"")</f>
        <v/>
      </c>
      <c r="B35" t="str">
        <f>IF('Master Sheet'!C36="Area 7 (Anu R)",'Master Sheet'!B36,"")</f>
        <v/>
      </c>
      <c r="C35" t="s">
        <v>10</v>
      </c>
      <c r="D35" t="str">
        <f>IF('Master Sheet'!C36="Area 7 (Anu R)",'Master Sheet'!D36,"")</f>
        <v/>
      </c>
      <c r="E35" t="str">
        <f>IF('Master Sheet'!C36="Area 7 (Anu R)",'Master Sheet'!E36,"")</f>
        <v/>
      </c>
      <c r="F35" t="str">
        <f>IF('Master Sheet'!C36="Area 7 (Anu R)",'Master Sheet'!F36,"")</f>
        <v/>
      </c>
      <c r="G35" t="str">
        <f>IF('Master Sheet'!C36="Area 7 (Anu R)",'Master Sheet'!G36,"")</f>
        <v/>
      </c>
      <c r="H35" t="str">
        <f>IF('Master Sheet'!C36="Area 7 (Anu R)",'Master Sheet'!H36,"")</f>
        <v/>
      </c>
      <c r="I35" t="str">
        <f>IF('Master Sheet'!C36="Area 7 (Anu R)",'Master Sheet'!I36,"")</f>
        <v/>
      </c>
      <c r="J35" t="str">
        <f>IF('Master Sheet'!C36="Area 7 (Anu R)",'Master Sheet'!J36,"")</f>
        <v/>
      </c>
      <c r="K35" t="str">
        <f>IF('Master Sheet'!C36="Area 7 (Anu R)",'Master Sheet'!K36,"")</f>
        <v/>
      </c>
      <c r="L35" t="str">
        <f>IF('Master Sheet'!C36="Area 7 (Anu R)",'Master Sheet'!L36,"")</f>
        <v/>
      </c>
      <c r="M35" t="str">
        <f>IF('Master Sheet'!C36="Area 7 (Anu R)",'Master Sheet'!M36,"")</f>
        <v/>
      </c>
      <c r="N35" t="str">
        <f>IF('Master Sheet'!C36="Area 7 (Anu R)",'Master Sheet'!N36,"")</f>
        <v/>
      </c>
      <c r="O35" t="str">
        <f>IF('Master Sheet'!C36="Area 7 (Anu R)",'Master Sheet'!O36,"")</f>
        <v/>
      </c>
      <c r="P35" t="str">
        <f>IF('Master Sheet'!C36="Area 7 (Anu R)",'Master Sheet'!P36,"")</f>
        <v/>
      </c>
    </row>
    <row r="36" spans="1:16" hidden="1" x14ac:dyDescent="0.25">
      <c r="A36" t="str">
        <f>IF('Master Sheet'!C37="Area 7 (Anu R)",'Master Sheet'!A37,"")</f>
        <v/>
      </c>
      <c r="B36" t="str">
        <f>IF('Master Sheet'!C37="Area 7 (Anu R)",'Master Sheet'!B37,"")</f>
        <v/>
      </c>
      <c r="C36" t="s">
        <v>10</v>
      </c>
      <c r="D36" t="str">
        <f>IF('Master Sheet'!C37="Area 7 (Anu R)",'Master Sheet'!D37,"")</f>
        <v/>
      </c>
      <c r="E36" t="str">
        <f>IF('Master Sheet'!C37="Area 7 (Anu R)",'Master Sheet'!E37,"")</f>
        <v/>
      </c>
      <c r="F36" t="str">
        <f>IF('Master Sheet'!C37="Area 7 (Anu R)",'Master Sheet'!F37,"")</f>
        <v/>
      </c>
      <c r="G36" t="str">
        <f>IF('Master Sheet'!C37="Area 7 (Anu R)",'Master Sheet'!G37,"")</f>
        <v/>
      </c>
      <c r="H36" t="str">
        <f>IF('Master Sheet'!C37="Area 7 (Anu R)",'Master Sheet'!H37,"")</f>
        <v/>
      </c>
      <c r="I36" t="str">
        <f>IF('Master Sheet'!C37="Area 7 (Anu R)",'Master Sheet'!I37,"")</f>
        <v/>
      </c>
      <c r="J36" t="str">
        <f>IF('Master Sheet'!C37="Area 7 (Anu R)",'Master Sheet'!J37,"")</f>
        <v/>
      </c>
      <c r="K36" t="str">
        <f>IF('Master Sheet'!C37="Area 7 (Anu R)",'Master Sheet'!K37,"")</f>
        <v/>
      </c>
      <c r="L36" t="str">
        <f>IF('Master Sheet'!C37="Area 7 (Anu R)",'Master Sheet'!L37,"")</f>
        <v/>
      </c>
      <c r="M36" t="str">
        <f>IF('Master Sheet'!C37="Area 7 (Anu R)",'Master Sheet'!M37,"")</f>
        <v/>
      </c>
      <c r="N36" t="str">
        <f>IF('Master Sheet'!C37="Area 7 (Anu R)",'Master Sheet'!N37,"")</f>
        <v/>
      </c>
      <c r="O36" t="str">
        <f>IF('Master Sheet'!C37="Area 7 (Anu R)",'Master Sheet'!O37,"")</f>
        <v/>
      </c>
      <c r="P36" t="str">
        <f>IF('Master Sheet'!C37="Area 7 (Anu R)",'Master Sheet'!P37,"")</f>
        <v/>
      </c>
    </row>
    <row r="37" spans="1:16" hidden="1" x14ac:dyDescent="0.25">
      <c r="A37" t="str">
        <f>IF('Master Sheet'!C38="Area 7 (Anu R)",'Master Sheet'!A38,"")</f>
        <v/>
      </c>
      <c r="B37" t="str">
        <f>IF('Master Sheet'!C38="Area 7 (Anu R)",'Master Sheet'!B38,"")</f>
        <v/>
      </c>
      <c r="C37" t="s">
        <v>10</v>
      </c>
      <c r="D37" t="str">
        <f>IF('Master Sheet'!C38="Area 7 (Anu R)",'Master Sheet'!D38,"")</f>
        <v/>
      </c>
      <c r="E37" t="str">
        <f>IF('Master Sheet'!C38="Area 7 (Anu R)",'Master Sheet'!E38,"")</f>
        <v/>
      </c>
      <c r="F37" t="str">
        <f>IF('Master Sheet'!C38="Area 7 (Anu R)",'Master Sheet'!F38,"")</f>
        <v/>
      </c>
      <c r="G37" t="str">
        <f>IF('Master Sheet'!C38="Area 7 (Anu R)",'Master Sheet'!G38,"")</f>
        <v/>
      </c>
      <c r="H37" t="str">
        <f>IF('Master Sheet'!C38="Area 7 (Anu R)",'Master Sheet'!H38,"")</f>
        <v/>
      </c>
      <c r="I37" t="str">
        <f>IF('Master Sheet'!C38="Area 7 (Anu R)",'Master Sheet'!I38,"")</f>
        <v/>
      </c>
      <c r="J37" t="str">
        <f>IF('Master Sheet'!C38="Area 7 (Anu R)",'Master Sheet'!J38,"")</f>
        <v/>
      </c>
      <c r="K37" t="str">
        <f>IF('Master Sheet'!C38="Area 7 (Anu R)",'Master Sheet'!K38,"")</f>
        <v/>
      </c>
      <c r="L37" t="str">
        <f>IF('Master Sheet'!C38="Area 7 (Anu R)",'Master Sheet'!L38,"")</f>
        <v/>
      </c>
      <c r="M37" t="str">
        <f>IF('Master Sheet'!C38="Area 7 (Anu R)",'Master Sheet'!M38,"")</f>
        <v/>
      </c>
      <c r="N37" t="str">
        <f>IF('Master Sheet'!C38="Area 7 (Anu R)",'Master Sheet'!N38,"")</f>
        <v/>
      </c>
      <c r="O37" t="str">
        <f>IF('Master Sheet'!C38="Area 7 (Anu R)",'Master Sheet'!O38,"")</f>
        <v/>
      </c>
      <c r="P37" t="str">
        <f>IF('Master Sheet'!C38="Area 7 (Anu R)",'Master Sheet'!P38,"")</f>
        <v/>
      </c>
    </row>
    <row r="38" spans="1:16" hidden="1" x14ac:dyDescent="0.25">
      <c r="A38" t="str">
        <f>IF('Master Sheet'!C39="Area 7 (Anu R)",'Master Sheet'!A39,"")</f>
        <v/>
      </c>
      <c r="B38" t="str">
        <f>IF('Master Sheet'!C39="Area 7 (Anu R)",'Master Sheet'!B39,"")</f>
        <v/>
      </c>
      <c r="C38" t="s">
        <v>10</v>
      </c>
      <c r="D38" t="str">
        <f>IF('Master Sheet'!C39="Area 7 (Anu R)",'Master Sheet'!D39,"")</f>
        <v/>
      </c>
      <c r="E38" t="str">
        <f>IF('Master Sheet'!C39="Area 7 (Anu R)",'Master Sheet'!E39,"")</f>
        <v/>
      </c>
      <c r="F38" t="str">
        <f>IF('Master Sheet'!C39="Area 7 (Anu R)",'Master Sheet'!F39,"")</f>
        <v/>
      </c>
      <c r="G38" t="str">
        <f>IF('Master Sheet'!C39="Area 7 (Anu R)",'Master Sheet'!G39,"")</f>
        <v/>
      </c>
      <c r="H38" t="str">
        <f>IF('Master Sheet'!C39="Area 7 (Anu R)",'Master Sheet'!H39,"")</f>
        <v/>
      </c>
      <c r="I38" t="str">
        <f>IF('Master Sheet'!C39="Area 7 (Anu R)",'Master Sheet'!I39,"")</f>
        <v/>
      </c>
      <c r="J38" t="str">
        <f>IF('Master Sheet'!C39="Area 7 (Anu R)",'Master Sheet'!J39,"")</f>
        <v/>
      </c>
      <c r="K38" t="str">
        <f>IF('Master Sheet'!C39="Area 7 (Anu R)",'Master Sheet'!K39,"")</f>
        <v/>
      </c>
      <c r="L38" t="str">
        <f>IF('Master Sheet'!C39="Area 7 (Anu R)",'Master Sheet'!L39,"")</f>
        <v/>
      </c>
      <c r="M38" t="str">
        <f>IF('Master Sheet'!C39="Area 7 (Anu R)",'Master Sheet'!M39,"")</f>
        <v/>
      </c>
      <c r="N38" t="str">
        <f>IF('Master Sheet'!C39="Area 7 (Anu R)",'Master Sheet'!N39,"")</f>
        <v/>
      </c>
      <c r="O38" t="str">
        <f>IF('Master Sheet'!C39="Area 7 (Anu R)",'Master Sheet'!O39,"")</f>
        <v/>
      </c>
      <c r="P38" t="str">
        <f>IF('Master Sheet'!C39="Area 7 (Anu R)",'Master Sheet'!P39,"")</f>
        <v/>
      </c>
    </row>
    <row r="39" spans="1:16" hidden="1" x14ac:dyDescent="0.25">
      <c r="A39" t="str">
        <f>IF('Master Sheet'!C40="Area 7 (Anu R)",'Master Sheet'!A40,"")</f>
        <v/>
      </c>
      <c r="B39" t="str">
        <f>IF('Master Sheet'!C40="Area 7 (Anu R)",'Master Sheet'!B40,"")</f>
        <v/>
      </c>
      <c r="C39" t="s">
        <v>10</v>
      </c>
      <c r="D39" t="str">
        <f>IF('Master Sheet'!C40="Area 7 (Anu R)",'Master Sheet'!D40,"")</f>
        <v/>
      </c>
      <c r="E39" t="str">
        <f>IF('Master Sheet'!C40="Area 7 (Anu R)",'Master Sheet'!E40,"")</f>
        <v/>
      </c>
      <c r="F39" t="str">
        <f>IF('Master Sheet'!C40="Area 7 (Anu R)",'Master Sheet'!F40,"")</f>
        <v/>
      </c>
      <c r="G39" t="str">
        <f>IF('Master Sheet'!C40="Area 7 (Anu R)",'Master Sheet'!G40,"")</f>
        <v/>
      </c>
      <c r="H39" t="str">
        <f>IF('Master Sheet'!C40="Area 7 (Anu R)",'Master Sheet'!H40,"")</f>
        <v/>
      </c>
      <c r="I39" t="str">
        <f>IF('Master Sheet'!C40="Area 7 (Anu R)",'Master Sheet'!I40,"")</f>
        <v/>
      </c>
      <c r="J39" t="str">
        <f>IF('Master Sheet'!C40="Area 7 (Anu R)",'Master Sheet'!J40,"")</f>
        <v/>
      </c>
      <c r="K39" t="str">
        <f>IF('Master Sheet'!C40="Area 7 (Anu R)",'Master Sheet'!K40,"")</f>
        <v/>
      </c>
      <c r="L39" t="str">
        <f>IF('Master Sheet'!C40="Area 7 (Anu R)",'Master Sheet'!L40,"")</f>
        <v/>
      </c>
      <c r="M39" t="str">
        <f>IF('Master Sheet'!C40="Area 7 (Anu R)",'Master Sheet'!M40,"")</f>
        <v/>
      </c>
      <c r="N39" t="str">
        <f>IF('Master Sheet'!C40="Area 7 (Anu R)",'Master Sheet'!N40,"")</f>
        <v/>
      </c>
      <c r="O39" t="str">
        <f>IF('Master Sheet'!C40="Area 7 (Anu R)",'Master Sheet'!O40,"")</f>
        <v/>
      </c>
      <c r="P39" t="str">
        <f>IF('Master Sheet'!C40="Area 7 (Anu R)",'Master Sheet'!P40,"")</f>
        <v/>
      </c>
    </row>
    <row r="40" spans="1:16" hidden="1" x14ac:dyDescent="0.25">
      <c r="A40" t="str">
        <f>IF('Master Sheet'!C41="Area 7 (Anu R)",'Master Sheet'!A41,"")</f>
        <v/>
      </c>
      <c r="B40" t="str">
        <f>IF('Master Sheet'!C41="Area 7 (Anu R)",'Master Sheet'!B41,"")</f>
        <v/>
      </c>
      <c r="C40" t="s">
        <v>10</v>
      </c>
      <c r="D40" t="str">
        <f>IF('Master Sheet'!C41="Area 7 (Anu R)",'Master Sheet'!D41,"")</f>
        <v/>
      </c>
      <c r="E40" t="str">
        <f>IF('Master Sheet'!C41="Area 7 (Anu R)",'Master Sheet'!E41,"")</f>
        <v/>
      </c>
      <c r="F40" t="str">
        <f>IF('Master Sheet'!C41="Area 7 (Anu R)",'Master Sheet'!F41,"")</f>
        <v/>
      </c>
      <c r="G40" t="str">
        <f>IF('Master Sheet'!C41="Area 7 (Anu R)",'Master Sheet'!G41,"")</f>
        <v/>
      </c>
      <c r="H40" t="str">
        <f>IF('Master Sheet'!C41="Area 7 (Anu R)",'Master Sheet'!H41,"")</f>
        <v/>
      </c>
      <c r="I40" t="str">
        <f>IF('Master Sheet'!C41="Area 7 (Anu R)",'Master Sheet'!I41,"")</f>
        <v/>
      </c>
      <c r="J40" t="str">
        <f>IF('Master Sheet'!C41="Area 7 (Anu R)",'Master Sheet'!J41,"")</f>
        <v/>
      </c>
      <c r="K40" t="str">
        <f>IF('Master Sheet'!C41="Area 7 (Anu R)",'Master Sheet'!K41,"")</f>
        <v/>
      </c>
      <c r="L40" t="str">
        <f>IF('Master Sheet'!C41="Area 7 (Anu R)",'Master Sheet'!L41,"")</f>
        <v/>
      </c>
      <c r="M40" t="str">
        <f>IF('Master Sheet'!C41="Area 7 (Anu R)",'Master Sheet'!M41,"")</f>
        <v/>
      </c>
      <c r="N40" t="str">
        <f>IF('Master Sheet'!C41="Area 7 (Anu R)",'Master Sheet'!N41,"")</f>
        <v/>
      </c>
      <c r="O40" t="str">
        <f>IF('Master Sheet'!C41="Area 7 (Anu R)",'Master Sheet'!O41,"")</f>
        <v/>
      </c>
      <c r="P40" t="str">
        <f>IF('Master Sheet'!C41="Area 7 (Anu R)",'Master Sheet'!P41,"")</f>
        <v/>
      </c>
    </row>
    <row r="41" spans="1:16" hidden="1" x14ac:dyDescent="0.25">
      <c r="A41" t="str">
        <f>IF('Master Sheet'!C42="Area 7 (Anu R)",'Master Sheet'!A42,"")</f>
        <v/>
      </c>
      <c r="B41" t="str">
        <f>IF('Master Sheet'!C42="Area 7 (Anu R)",'Master Sheet'!B42,"")</f>
        <v/>
      </c>
      <c r="C41" t="s">
        <v>10</v>
      </c>
      <c r="D41" t="str">
        <f>IF('Master Sheet'!C42="Area 7 (Anu R)",'Master Sheet'!D42,"")</f>
        <v/>
      </c>
      <c r="E41" t="str">
        <f>IF('Master Sheet'!C42="Area 7 (Anu R)",'Master Sheet'!E42,"")</f>
        <v/>
      </c>
      <c r="F41" t="str">
        <f>IF('Master Sheet'!C42="Area 7 (Anu R)",'Master Sheet'!F42,"")</f>
        <v/>
      </c>
      <c r="G41" t="str">
        <f>IF('Master Sheet'!C42="Area 7 (Anu R)",'Master Sheet'!G42,"")</f>
        <v/>
      </c>
      <c r="H41" t="str">
        <f>IF('Master Sheet'!C42="Area 7 (Anu R)",'Master Sheet'!H42,"")</f>
        <v/>
      </c>
      <c r="I41" t="str">
        <f>IF('Master Sheet'!C42="Area 7 (Anu R)",'Master Sheet'!I42,"")</f>
        <v/>
      </c>
      <c r="J41" t="str">
        <f>IF('Master Sheet'!C42="Area 7 (Anu R)",'Master Sheet'!J42,"")</f>
        <v/>
      </c>
      <c r="K41" t="str">
        <f>IF('Master Sheet'!C42="Area 7 (Anu R)",'Master Sheet'!K42,"")</f>
        <v/>
      </c>
      <c r="L41" t="str">
        <f>IF('Master Sheet'!C42="Area 7 (Anu R)",'Master Sheet'!L42,"")</f>
        <v/>
      </c>
      <c r="M41" t="str">
        <f>IF('Master Sheet'!C42="Area 7 (Anu R)",'Master Sheet'!M42,"")</f>
        <v/>
      </c>
      <c r="N41" t="str">
        <f>IF('Master Sheet'!C42="Area 7 (Anu R)",'Master Sheet'!N42,"")</f>
        <v/>
      </c>
      <c r="O41" t="str">
        <f>IF('Master Sheet'!C42="Area 7 (Anu R)",'Master Sheet'!O42,"")</f>
        <v/>
      </c>
      <c r="P41" t="str">
        <f>IF('Master Sheet'!C42="Area 7 (Anu R)",'Master Sheet'!P42,"")</f>
        <v/>
      </c>
    </row>
    <row r="42" spans="1:16" hidden="1" x14ac:dyDescent="0.25">
      <c r="A42" t="str">
        <f>IF('Master Sheet'!C43="Area 7 (Anu R)",'Master Sheet'!A43,"")</f>
        <v/>
      </c>
      <c r="B42" t="str">
        <f>IF('Master Sheet'!C43="Area 7 (Anu R)",'Master Sheet'!B43,"")</f>
        <v/>
      </c>
      <c r="C42" t="s">
        <v>10</v>
      </c>
      <c r="D42" t="str">
        <f>IF('Master Sheet'!C43="Area 7 (Anu R)",'Master Sheet'!D43,"")</f>
        <v/>
      </c>
      <c r="E42" t="str">
        <f>IF('Master Sheet'!C43="Area 7 (Anu R)",'Master Sheet'!E43,"")</f>
        <v/>
      </c>
      <c r="F42" t="str">
        <f>IF('Master Sheet'!C43="Area 7 (Anu R)",'Master Sheet'!F43,"")</f>
        <v/>
      </c>
      <c r="G42" t="str">
        <f>IF('Master Sheet'!C43="Area 7 (Anu R)",'Master Sheet'!G43,"")</f>
        <v/>
      </c>
      <c r="H42" t="str">
        <f>IF('Master Sheet'!C43="Area 7 (Anu R)",'Master Sheet'!H43,"")</f>
        <v/>
      </c>
      <c r="I42" t="str">
        <f>IF('Master Sheet'!C43="Area 7 (Anu R)",'Master Sheet'!I43,"")</f>
        <v/>
      </c>
      <c r="J42" t="str">
        <f>IF('Master Sheet'!C43="Area 7 (Anu R)",'Master Sheet'!J43,"")</f>
        <v/>
      </c>
      <c r="K42" t="str">
        <f>IF('Master Sheet'!C43="Area 7 (Anu R)",'Master Sheet'!K43,"")</f>
        <v/>
      </c>
      <c r="L42" t="str">
        <f>IF('Master Sheet'!C43="Area 7 (Anu R)",'Master Sheet'!L43,"")</f>
        <v/>
      </c>
      <c r="M42" t="str">
        <f>IF('Master Sheet'!C43="Area 7 (Anu R)",'Master Sheet'!M43,"")</f>
        <v/>
      </c>
      <c r="N42" t="str">
        <f>IF('Master Sheet'!C43="Area 7 (Anu R)",'Master Sheet'!N43,"")</f>
        <v/>
      </c>
      <c r="O42" t="str">
        <f>IF('Master Sheet'!C43="Area 7 (Anu R)",'Master Sheet'!O43,"")</f>
        <v/>
      </c>
      <c r="P42" t="str">
        <f>IF('Master Sheet'!C43="Area 7 (Anu R)",'Master Sheet'!P43,"")</f>
        <v/>
      </c>
    </row>
    <row r="43" spans="1:16" hidden="1" x14ac:dyDescent="0.25">
      <c r="A43" t="str">
        <f>IF('Master Sheet'!C44="Area 7 (Anu R)",'Master Sheet'!A44,"")</f>
        <v/>
      </c>
      <c r="B43" t="str">
        <f>IF('Master Sheet'!C44="Area 7 (Anu R)",'Master Sheet'!B44,"")</f>
        <v/>
      </c>
      <c r="C43" t="s">
        <v>10</v>
      </c>
      <c r="D43" t="str">
        <f>IF('Master Sheet'!C44="Area 7 (Anu R)",'Master Sheet'!D44,"")</f>
        <v/>
      </c>
      <c r="E43" t="str">
        <f>IF('Master Sheet'!C44="Area 7 (Anu R)",'Master Sheet'!E44,"")</f>
        <v/>
      </c>
      <c r="F43" t="str">
        <f>IF('Master Sheet'!C44="Area 7 (Anu R)",'Master Sheet'!F44,"")</f>
        <v/>
      </c>
      <c r="G43" t="str">
        <f>IF('Master Sheet'!C44="Area 7 (Anu R)",'Master Sheet'!G44,"")</f>
        <v/>
      </c>
      <c r="H43" t="str">
        <f>IF('Master Sheet'!C44="Area 7 (Anu R)",'Master Sheet'!H44,"")</f>
        <v/>
      </c>
      <c r="I43" t="str">
        <f>IF('Master Sheet'!C44="Area 7 (Anu R)",'Master Sheet'!I44,"")</f>
        <v/>
      </c>
      <c r="J43" t="str">
        <f>IF('Master Sheet'!C44="Area 7 (Anu R)",'Master Sheet'!J44,"")</f>
        <v/>
      </c>
      <c r="K43" t="str">
        <f>IF('Master Sheet'!C44="Area 7 (Anu R)",'Master Sheet'!K44,"")</f>
        <v/>
      </c>
      <c r="L43" t="str">
        <f>IF('Master Sheet'!C44="Area 7 (Anu R)",'Master Sheet'!L44,"")</f>
        <v/>
      </c>
      <c r="M43" t="str">
        <f>IF('Master Sheet'!C44="Area 7 (Anu R)",'Master Sheet'!M44,"")</f>
        <v/>
      </c>
      <c r="N43" t="str">
        <f>IF('Master Sheet'!C44="Area 7 (Anu R)",'Master Sheet'!N44,"")</f>
        <v/>
      </c>
      <c r="O43" t="str">
        <f>IF('Master Sheet'!C44="Area 7 (Anu R)",'Master Sheet'!O44,"")</f>
        <v/>
      </c>
      <c r="P43" t="str">
        <f>IF('Master Sheet'!C44="Area 7 (Anu R)",'Master Sheet'!P44,"")</f>
        <v/>
      </c>
    </row>
    <row r="44" spans="1:16" hidden="1" x14ac:dyDescent="0.25">
      <c r="A44" t="str">
        <f>IF('Master Sheet'!C45="Area 7 (Anu R)",'Master Sheet'!A45,"")</f>
        <v/>
      </c>
      <c r="B44" t="str">
        <f>IF('Master Sheet'!C45="Area 7 (Anu R)",'Master Sheet'!B45,"")</f>
        <v/>
      </c>
      <c r="C44" t="s">
        <v>10</v>
      </c>
      <c r="D44" t="str">
        <f>IF('Master Sheet'!C45="Area 7 (Anu R)",'Master Sheet'!D45,"")</f>
        <v/>
      </c>
      <c r="E44" t="str">
        <f>IF('Master Sheet'!C45="Area 7 (Anu R)",'Master Sheet'!E45,"")</f>
        <v/>
      </c>
      <c r="F44" t="str">
        <f>IF('Master Sheet'!C45="Area 7 (Anu R)",'Master Sheet'!F45,"")</f>
        <v/>
      </c>
      <c r="G44" t="str">
        <f>IF('Master Sheet'!C45="Area 7 (Anu R)",'Master Sheet'!G45,"")</f>
        <v/>
      </c>
      <c r="H44" t="str">
        <f>IF('Master Sheet'!C45="Area 7 (Anu R)",'Master Sheet'!H45,"")</f>
        <v/>
      </c>
      <c r="I44" t="str">
        <f>IF('Master Sheet'!C45="Area 7 (Anu R)",'Master Sheet'!I45,"")</f>
        <v/>
      </c>
      <c r="J44" t="str">
        <f>IF('Master Sheet'!C45="Area 7 (Anu R)",'Master Sheet'!J45,"")</f>
        <v/>
      </c>
      <c r="K44" t="str">
        <f>IF('Master Sheet'!C45="Area 7 (Anu R)",'Master Sheet'!K45,"")</f>
        <v/>
      </c>
      <c r="L44" t="str">
        <f>IF('Master Sheet'!C45="Area 7 (Anu R)",'Master Sheet'!L45,"")</f>
        <v/>
      </c>
      <c r="M44" t="str">
        <f>IF('Master Sheet'!C45="Area 7 (Anu R)",'Master Sheet'!M45,"")</f>
        <v/>
      </c>
      <c r="N44" t="str">
        <f>IF('Master Sheet'!C45="Area 7 (Anu R)",'Master Sheet'!N45,"")</f>
        <v/>
      </c>
      <c r="O44" t="str">
        <f>IF('Master Sheet'!C45="Area 7 (Anu R)",'Master Sheet'!O45,"")</f>
        <v/>
      </c>
      <c r="P44" t="str">
        <f>IF('Master Sheet'!C45="Area 7 (Anu R)",'Master Sheet'!P45,"")</f>
        <v/>
      </c>
    </row>
    <row r="45" spans="1:16" hidden="1" x14ac:dyDescent="0.25">
      <c r="A45" t="str">
        <f>IF('Master Sheet'!C46="Area 7 (Anu R)",'Master Sheet'!A46,"")</f>
        <v/>
      </c>
      <c r="B45" t="str">
        <f>IF('Master Sheet'!C46="Area 7 (Anu R)",'Master Sheet'!B46,"")</f>
        <v/>
      </c>
      <c r="C45" t="s">
        <v>10</v>
      </c>
      <c r="D45" t="str">
        <f>IF('Master Sheet'!C46="Area 7 (Anu R)",'Master Sheet'!D46,"")</f>
        <v/>
      </c>
      <c r="E45" t="str">
        <f>IF('Master Sheet'!C46="Area 7 (Anu R)",'Master Sheet'!E46,"")</f>
        <v/>
      </c>
      <c r="F45" t="str">
        <f>IF('Master Sheet'!C46="Area 7 (Anu R)",'Master Sheet'!F46,"")</f>
        <v/>
      </c>
      <c r="G45" t="str">
        <f>IF('Master Sheet'!C46="Area 7 (Anu R)",'Master Sheet'!G46,"")</f>
        <v/>
      </c>
      <c r="H45" t="str">
        <f>IF('Master Sheet'!C46="Area 7 (Anu R)",'Master Sheet'!H46,"")</f>
        <v/>
      </c>
      <c r="I45" t="str">
        <f>IF('Master Sheet'!C46="Area 7 (Anu R)",'Master Sheet'!I46,"")</f>
        <v/>
      </c>
      <c r="J45" t="str">
        <f>IF('Master Sheet'!C46="Area 7 (Anu R)",'Master Sheet'!J46,"")</f>
        <v/>
      </c>
      <c r="K45" t="str">
        <f>IF('Master Sheet'!C46="Area 7 (Anu R)",'Master Sheet'!K46,"")</f>
        <v/>
      </c>
      <c r="L45" t="str">
        <f>IF('Master Sheet'!C46="Area 7 (Anu R)",'Master Sheet'!L46,"")</f>
        <v/>
      </c>
      <c r="M45" t="str">
        <f>IF('Master Sheet'!C46="Area 7 (Anu R)",'Master Sheet'!M46,"")</f>
        <v/>
      </c>
      <c r="N45" t="str">
        <f>IF('Master Sheet'!C46="Area 7 (Anu R)",'Master Sheet'!N46,"")</f>
        <v/>
      </c>
      <c r="O45" t="str">
        <f>IF('Master Sheet'!C46="Area 7 (Anu R)",'Master Sheet'!O46,"")</f>
        <v/>
      </c>
      <c r="P45" t="str">
        <f>IF('Master Sheet'!C46="Area 7 (Anu R)",'Master Sheet'!P46,"")</f>
        <v/>
      </c>
    </row>
    <row r="46" spans="1:16" hidden="1" x14ac:dyDescent="0.25">
      <c r="A46" t="str">
        <f>IF('Master Sheet'!C47="Area 7 (Anu R)",'Master Sheet'!A47,"")</f>
        <v/>
      </c>
      <c r="B46" t="str">
        <f>IF('Master Sheet'!C47="Area 7 (Anu R)",'Master Sheet'!B47,"")</f>
        <v/>
      </c>
      <c r="C46" t="s">
        <v>10</v>
      </c>
      <c r="D46" t="str">
        <f>IF('Master Sheet'!C47="Area 7 (Anu R)",'Master Sheet'!D47,"")</f>
        <v/>
      </c>
      <c r="E46" t="str">
        <f>IF('Master Sheet'!C47="Area 7 (Anu R)",'Master Sheet'!E47,"")</f>
        <v/>
      </c>
      <c r="F46" t="str">
        <f>IF('Master Sheet'!C47="Area 7 (Anu R)",'Master Sheet'!F47,"")</f>
        <v/>
      </c>
      <c r="G46" t="str">
        <f>IF('Master Sheet'!C47="Area 7 (Anu R)",'Master Sheet'!G47,"")</f>
        <v/>
      </c>
      <c r="H46" t="str">
        <f>IF('Master Sheet'!C47="Area 7 (Anu R)",'Master Sheet'!H47,"")</f>
        <v/>
      </c>
      <c r="I46" t="str">
        <f>IF('Master Sheet'!C47="Area 7 (Anu R)",'Master Sheet'!I47,"")</f>
        <v/>
      </c>
      <c r="J46" t="str">
        <f>IF('Master Sheet'!C47="Area 7 (Anu R)",'Master Sheet'!J47,"")</f>
        <v/>
      </c>
      <c r="K46" t="str">
        <f>IF('Master Sheet'!C47="Area 7 (Anu R)",'Master Sheet'!K47,"")</f>
        <v/>
      </c>
      <c r="L46" t="str">
        <f>IF('Master Sheet'!C47="Area 7 (Anu R)",'Master Sheet'!L47,"")</f>
        <v/>
      </c>
      <c r="M46" t="str">
        <f>IF('Master Sheet'!C47="Area 7 (Anu R)",'Master Sheet'!M47,"")</f>
        <v/>
      </c>
      <c r="N46" t="str">
        <f>IF('Master Sheet'!C47="Area 7 (Anu R)",'Master Sheet'!N47,"")</f>
        <v/>
      </c>
      <c r="O46" t="str">
        <f>IF('Master Sheet'!C47="Area 7 (Anu R)",'Master Sheet'!O47,"")</f>
        <v/>
      </c>
      <c r="P46" t="str">
        <f>IF('Master Sheet'!C47="Area 7 (Anu R)",'Master Sheet'!P47,"")</f>
        <v/>
      </c>
    </row>
    <row r="47" spans="1:16" hidden="1" x14ac:dyDescent="0.25">
      <c r="A47" t="str">
        <f>IF('Master Sheet'!C48="Area 7 (Anu R)",'Master Sheet'!A48,"")</f>
        <v/>
      </c>
      <c r="B47" t="str">
        <f>IF('Master Sheet'!C48="Area 7 (Anu R)",'Master Sheet'!B48,"")</f>
        <v/>
      </c>
      <c r="C47" t="s">
        <v>10</v>
      </c>
      <c r="D47" t="str">
        <f>IF('Master Sheet'!C48="Area 7 (Anu R)",'Master Sheet'!D48,"")</f>
        <v/>
      </c>
      <c r="E47" t="str">
        <f>IF('Master Sheet'!C48="Area 7 (Anu R)",'Master Sheet'!E48,"")</f>
        <v/>
      </c>
      <c r="F47" t="str">
        <f>IF('Master Sheet'!C48="Area 7 (Anu R)",'Master Sheet'!F48,"")</f>
        <v/>
      </c>
      <c r="G47" t="str">
        <f>IF('Master Sheet'!C48="Area 7 (Anu R)",'Master Sheet'!G48,"")</f>
        <v/>
      </c>
      <c r="H47" t="str">
        <f>IF('Master Sheet'!C48="Area 7 (Anu R)",'Master Sheet'!H48,"")</f>
        <v/>
      </c>
      <c r="I47" t="str">
        <f>IF('Master Sheet'!C48="Area 7 (Anu R)",'Master Sheet'!I48,"")</f>
        <v/>
      </c>
      <c r="J47" t="str">
        <f>IF('Master Sheet'!C48="Area 7 (Anu R)",'Master Sheet'!J48,"")</f>
        <v/>
      </c>
      <c r="K47" t="str">
        <f>IF('Master Sheet'!C48="Area 7 (Anu R)",'Master Sheet'!K48,"")</f>
        <v/>
      </c>
      <c r="L47" t="str">
        <f>IF('Master Sheet'!C48="Area 7 (Anu R)",'Master Sheet'!L48,"")</f>
        <v/>
      </c>
      <c r="M47" t="str">
        <f>IF('Master Sheet'!C48="Area 7 (Anu R)",'Master Sheet'!M48,"")</f>
        <v/>
      </c>
      <c r="N47" t="str">
        <f>IF('Master Sheet'!C48="Area 7 (Anu R)",'Master Sheet'!N48,"")</f>
        <v/>
      </c>
      <c r="O47" t="str">
        <f>IF('Master Sheet'!C48="Area 7 (Anu R)",'Master Sheet'!O48,"")</f>
        <v/>
      </c>
      <c r="P47" t="str">
        <f>IF('Master Sheet'!C48="Area 7 (Anu R)",'Master Sheet'!P48,"")</f>
        <v/>
      </c>
    </row>
    <row r="48" spans="1:16" hidden="1" x14ac:dyDescent="0.25">
      <c r="A48" t="str">
        <f>IF('Master Sheet'!C49="Area 7 (Anu R)",'Master Sheet'!A49,"")</f>
        <v/>
      </c>
      <c r="B48" t="str">
        <f>IF('Master Sheet'!C49="Area 7 (Anu R)",'Master Sheet'!B49,"")</f>
        <v/>
      </c>
      <c r="C48" t="s">
        <v>10</v>
      </c>
      <c r="D48" t="str">
        <f>IF('Master Sheet'!C49="Area 7 (Anu R)",'Master Sheet'!D49,"")</f>
        <v/>
      </c>
      <c r="E48" t="str">
        <f>IF('Master Sheet'!C49="Area 7 (Anu R)",'Master Sheet'!E49,"")</f>
        <v/>
      </c>
      <c r="F48" t="str">
        <f>IF('Master Sheet'!C49="Area 7 (Anu R)",'Master Sheet'!F49,"")</f>
        <v/>
      </c>
      <c r="G48" t="str">
        <f>IF('Master Sheet'!C49="Area 7 (Anu R)",'Master Sheet'!G49,"")</f>
        <v/>
      </c>
      <c r="H48" t="str">
        <f>IF('Master Sheet'!C49="Area 7 (Anu R)",'Master Sheet'!H49,"")</f>
        <v/>
      </c>
      <c r="I48" t="str">
        <f>IF('Master Sheet'!C49="Area 7 (Anu R)",'Master Sheet'!I49,"")</f>
        <v/>
      </c>
      <c r="J48" t="str">
        <f>IF('Master Sheet'!C49="Area 7 (Anu R)",'Master Sheet'!J49,"")</f>
        <v/>
      </c>
      <c r="K48" t="str">
        <f>IF('Master Sheet'!C49="Area 7 (Anu R)",'Master Sheet'!K49,"")</f>
        <v/>
      </c>
      <c r="L48" t="str">
        <f>IF('Master Sheet'!C49="Area 7 (Anu R)",'Master Sheet'!L49,"")</f>
        <v/>
      </c>
      <c r="M48" t="str">
        <f>IF('Master Sheet'!C49="Area 7 (Anu R)",'Master Sheet'!M49,"")</f>
        <v/>
      </c>
      <c r="N48" t="str">
        <f>IF('Master Sheet'!C49="Area 7 (Anu R)",'Master Sheet'!N49,"")</f>
        <v/>
      </c>
      <c r="O48" t="str">
        <f>IF('Master Sheet'!C49="Area 7 (Anu R)",'Master Sheet'!O49,"")</f>
        <v/>
      </c>
      <c r="P48" t="str">
        <f>IF('Master Sheet'!C49="Area 7 (Anu R)",'Master Sheet'!P49,"")</f>
        <v/>
      </c>
    </row>
    <row r="49" spans="1:16" hidden="1" x14ac:dyDescent="0.25">
      <c r="A49" t="str">
        <f>IF('Master Sheet'!C50="Area 7 (Anu R)",'Master Sheet'!A50,"")</f>
        <v/>
      </c>
      <c r="B49" t="str">
        <f>IF('Master Sheet'!C50="Area 7 (Anu R)",'Master Sheet'!B50,"")</f>
        <v/>
      </c>
      <c r="C49" t="s">
        <v>10</v>
      </c>
      <c r="D49" t="str">
        <f>IF('Master Sheet'!C50="Area 7 (Anu R)",'Master Sheet'!D50,"")</f>
        <v/>
      </c>
      <c r="E49" t="str">
        <f>IF('Master Sheet'!C50="Area 7 (Anu R)",'Master Sheet'!E50,"")</f>
        <v/>
      </c>
      <c r="F49" t="str">
        <f>IF('Master Sheet'!C50="Area 7 (Anu R)",'Master Sheet'!F50,"")</f>
        <v/>
      </c>
      <c r="G49" t="str">
        <f>IF('Master Sheet'!C50="Area 7 (Anu R)",'Master Sheet'!G50,"")</f>
        <v/>
      </c>
      <c r="H49" t="str">
        <f>IF('Master Sheet'!C50="Area 7 (Anu R)",'Master Sheet'!H50,"")</f>
        <v/>
      </c>
      <c r="I49" t="str">
        <f>IF('Master Sheet'!C50="Area 7 (Anu R)",'Master Sheet'!I50,"")</f>
        <v/>
      </c>
      <c r="J49" t="str">
        <f>IF('Master Sheet'!C50="Area 7 (Anu R)",'Master Sheet'!J50,"")</f>
        <v/>
      </c>
      <c r="K49" t="str">
        <f>IF('Master Sheet'!C50="Area 7 (Anu R)",'Master Sheet'!K50,"")</f>
        <v/>
      </c>
      <c r="L49" t="str">
        <f>IF('Master Sheet'!C50="Area 7 (Anu R)",'Master Sheet'!L50,"")</f>
        <v/>
      </c>
      <c r="M49" t="str">
        <f>IF('Master Sheet'!C50="Area 7 (Anu R)",'Master Sheet'!M50,"")</f>
        <v/>
      </c>
      <c r="N49" t="str">
        <f>IF('Master Sheet'!C50="Area 7 (Anu R)",'Master Sheet'!N50,"")</f>
        <v/>
      </c>
      <c r="O49" t="str">
        <f>IF('Master Sheet'!C50="Area 7 (Anu R)",'Master Sheet'!O50,"")</f>
        <v/>
      </c>
      <c r="P49" t="str">
        <f>IF('Master Sheet'!C50="Area 7 (Anu R)",'Master Sheet'!P50,"")</f>
        <v/>
      </c>
    </row>
    <row r="50" spans="1:16" hidden="1" x14ac:dyDescent="0.25">
      <c r="A50" t="str">
        <f>IF('Master Sheet'!C51="Area 7 (Anu R)",'Master Sheet'!A51,"")</f>
        <v/>
      </c>
      <c r="B50" t="str">
        <f>IF('Master Sheet'!C51="Area 7 (Anu R)",'Master Sheet'!B51,"")</f>
        <v/>
      </c>
      <c r="C50" t="s">
        <v>10</v>
      </c>
      <c r="D50" t="str">
        <f>IF('Master Sheet'!C51="Area 7 (Anu R)",'Master Sheet'!D51,"")</f>
        <v/>
      </c>
      <c r="E50" t="str">
        <f>IF('Master Sheet'!C51="Area 7 (Anu R)",'Master Sheet'!E51,"")</f>
        <v/>
      </c>
      <c r="F50" t="str">
        <f>IF('Master Sheet'!C51="Area 7 (Anu R)",'Master Sheet'!F51,"")</f>
        <v/>
      </c>
      <c r="G50" t="str">
        <f>IF('Master Sheet'!C51="Area 7 (Anu R)",'Master Sheet'!G51,"")</f>
        <v/>
      </c>
      <c r="H50" t="str">
        <f>IF('Master Sheet'!C51="Area 7 (Anu R)",'Master Sheet'!H51,"")</f>
        <v/>
      </c>
      <c r="I50" t="str">
        <f>IF('Master Sheet'!C51="Area 7 (Anu R)",'Master Sheet'!I51,"")</f>
        <v/>
      </c>
      <c r="J50" t="str">
        <f>IF('Master Sheet'!C51="Area 7 (Anu R)",'Master Sheet'!J51,"")</f>
        <v/>
      </c>
      <c r="K50" t="str">
        <f>IF('Master Sheet'!C51="Area 7 (Anu R)",'Master Sheet'!K51,"")</f>
        <v/>
      </c>
      <c r="L50" t="str">
        <f>IF('Master Sheet'!C51="Area 7 (Anu R)",'Master Sheet'!L51,"")</f>
        <v/>
      </c>
      <c r="M50" t="str">
        <f>IF('Master Sheet'!C51="Area 7 (Anu R)",'Master Sheet'!M51,"")</f>
        <v/>
      </c>
      <c r="N50" t="str">
        <f>IF('Master Sheet'!C51="Area 7 (Anu R)",'Master Sheet'!N51,"")</f>
        <v/>
      </c>
      <c r="O50" t="str">
        <f>IF('Master Sheet'!C51="Area 7 (Anu R)",'Master Sheet'!O51,"")</f>
        <v/>
      </c>
      <c r="P50" t="str">
        <f>IF('Master Sheet'!C51="Area 7 (Anu R)",'Master Sheet'!P51,"")</f>
        <v/>
      </c>
    </row>
    <row r="51" spans="1:16" hidden="1" x14ac:dyDescent="0.25">
      <c r="A51" t="str">
        <f>IF('Master Sheet'!C52="Area 7 (Anu R)",'Master Sheet'!A52,"")</f>
        <v/>
      </c>
      <c r="B51" t="str">
        <f>IF('Master Sheet'!C52="Area 7 (Anu R)",'Master Sheet'!B52,"")</f>
        <v/>
      </c>
      <c r="C51" t="s">
        <v>10</v>
      </c>
      <c r="D51" t="str">
        <f>IF('Master Sheet'!C52="Area 7 (Anu R)",'Master Sheet'!D52,"")</f>
        <v/>
      </c>
      <c r="E51" t="str">
        <f>IF('Master Sheet'!C52="Area 7 (Anu R)",'Master Sheet'!E52,"")</f>
        <v/>
      </c>
      <c r="F51" t="str">
        <f>IF('Master Sheet'!C52="Area 7 (Anu R)",'Master Sheet'!F52,"")</f>
        <v/>
      </c>
      <c r="G51" t="str">
        <f>IF('Master Sheet'!C52="Area 7 (Anu R)",'Master Sheet'!G52,"")</f>
        <v/>
      </c>
      <c r="H51" t="str">
        <f>IF('Master Sheet'!C52="Area 7 (Anu R)",'Master Sheet'!H52,"")</f>
        <v/>
      </c>
      <c r="I51" t="str">
        <f>IF('Master Sheet'!C52="Area 7 (Anu R)",'Master Sheet'!I52,"")</f>
        <v/>
      </c>
      <c r="J51" t="str">
        <f>IF('Master Sheet'!C52="Area 7 (Anu R)",'Master Sheet'!J52,"")</f>
        <v/>
      </c>
      <c r="K51" t="str">
        <f>IF('Master Sheet'!C52="Area 7 (Anu R)",'Master Sheet'!K52,"")</f>
        <v/>
      </c>
      <c r="L51" t="str">
        <f>IF('Master Sheet'!C52="Area 7 (Anu R)",'Master Sheet'!L52,"")</f>
        <v/>
      </c>
      <c r="M51" t="str">
        <f>IF('Master Sheet'!C52="Area 7 (Anu R)",'Master Sheet'!M52,"")</f>
        <v/>
      </c>
      <c r="N51" t="str">
        <f>IF('Master Sheet'!C52="Area 7 (Anu R)",'Master Sheet'!N52,"")</f>
        <v/>
      </c>
      <c r="O51" t="str">
        <f>IF('Master Sheet'!C52="Area 7 (Anu R)",'Master Sheet'!O52,"")</f>
        <v/>
      </c>
      <c r="P51" t="str">
        <f>IF('Master Sheet'!C52="Area 7 (Anu R)",'Master Sheet'!P52,"")</f>
        <v/>
      </c>
    </row>
    <row r="52" spans="1:16" hidden="1" x14ac:dyDescent="0.25">
      <c r="A52" t="str">
        <f>IF('Master Sheet'!C53="Area 7 (Anu R)",'Master Sheet'!A53,"")</f>
        <v/>
      </c>
      <c r="B52" t="str">
        <f>IF('Master Sheet'!C53="Area 7 (Anu R)",'Master Sheet'!B53,"")</f>
        <v/>
      </c>
      <c r="C52" t="s">
        <v>10</v>
      </c>
      <c r="D52" t="str">
        <f>IF('Master Sheet'!C53="Area 7 (Anu R)",'Master Sheet'!D53,"")</f>
        <v/>
      </c>
      <c r="E52" t="str">
        <f>IF('Master Sheet'!C53="Area 7 (Anu R)",'Master Sheet'!E53,"")</f>
        <v/>
      </c>
      <c r="F52" t="str">
        <f>IF('Master Sheet'!C53="Area 7 (Anu R)",'Master Sheet'!F53,"")</f>
        <v/>
      </c>
      <c r="G52" t="str">
        <f>IF('Master Sheet'!C53="Area 7 (Anu R)",'Master Sheet'!G53,"")</f>
        <v/>
      </c>
      <c r="H52" t="str">
        <f>IF('Master Sheet'!C53="Area 7 (Anu R)",'Master Sheet'!H53,"")</f>
        <v/>
      </c>
      <c r="I52" t="str">
        <f>IF('Master Sheet'!C53="Area 7 (Anu R)",'Master Sheet'!I53,"")</f>
        <v/>
      </c>
      <c r="J52" t="str">
        <f>IF('Master Sheet'!C53="Area 7 (Anu R)",'Master Sheet'!J53,"")</f>
        <v/>
      </c>
      <c r="K52" t="str">
        <f>IF('Master Sheet'!C53="Area 7 (Anu R)",'Master Sheet'!K53,"")</f>
        <v/>
      </c>
      <c r="L52" t="str">
        <f>IF('Master Sheet'!C53="Area 7 (Anu R)",'Master Sheet'!L53,"")</f>
        <v/>
      </c>
      <c r="M52" t="str">
        <f>IF('Master Sheet'!C53="Area 7 (Anu R)",'Master Sheet'!M53,"")</f>
        <v/>
      </c>
      <c r="N52" t="str">
        <f>IF('Master Sheet'!C53="Area 7 (Anu R)",'Master Sheet'!N53,"")</f>
        <v/>
      </c>
      <c r="O52" t="str">
        <f>IF('Master Sheet'!C53="Area 7 (Anu R)",'Master Sheet'!O53,"")</f>
        <v/>
      </c>
      <c r="P52" t="str">
        <f>IF('Master Sheet'!C53="Area 7 (Anu R)",'Master Sheet'!P53,"")</f>
        <v/>
      </c>
    </row>
    <row r="53" spans="1:16" hidden="1" x14ac:dyDescent="0.25">
      <c r="A53" t="str">
        <f>IF('Master Sheet'!C54="Area 7 (Anu R)",'Master Sheet'!A54,"")</f>
        <v/>
      </c>
      <c r="B53" t="str">
        <f>IF('Master Sheet'!C54="Area 7 (Anu R)",'Master Sheet'!B54,"")</f>
        <v/>
      </c>
      <c r="C53" t="s">
        <v>10</v>
      </c>
      <c r="D53" t="str">
        <f>IF('Master Sheet'!C54="Area 7 (Anu R)",'Master Sheet'!D54,"")</f>
        <v/>
      </c>
      <c r="E53" t="str">
        <f>IF('Master Sheet'!C54="Area 7 (Anu R)",'Master Sheet'!E54,"")</f>
        <v/>
      </c>
      <c r="F53" t="str">
        <f>IF('Master Sheet'!C54="Area 7 (Anu R)",'Master Sheet'!F54,"")</f>
        <v/>
      </c>
      <c r="G53" t="str">
        <f>IF('Master Sheet'!C54="Area 7 (Anu R)",'Master Sheet'!G54,"")</f>
        <v/>
      </c>
      <c r="H53" t="str">
        <f>IF('Master Sheet'!C54="Area 7 (Anu R)",'Master Sheet'!H54,"")</f>
        <v/>
      </c>
      <c r="I53" t="str">
        <f>IF('Master Sheet'!C54="Area 7 (Anu R)",'Master Sheet'!I54,"")</f>
        <v/>
      </c>
      <c r="J53" t="str">
        <f>IF('Master Sheet'!C54="Area 7 (Anu R)",'Master Sheet'!J54,"")</f>
        <v/>
      </c>
      <c r="K53" t="str">
        <f>IF('Master Sheet'!C54="Area 7 (Anu R)",'Master Sheet'!K54,"")</f>
        <v/>
      </c>
      <c r="L53" t="str">
        <f>IF('Master Sheet'!C54="Area 7 (Anu R)",'Master Sheet'!L54,"")</f>
        <v/>
      </c>
      <c r="M53" t="str">
        <f>IF('Master Sheet'!C54="Area 7 (Anu R)",'Master Sheet'!M54,"")</f>
        <v/>
      </c>
      <c r="N53" t="str">
        <f>IF('Master Sheet'!C54="Area 7 (Anu R)",'Master Sheet'!N54,"")</f>
        <v/>
      </c>
      <c r="O53" t="str">
        <f>IF('Master Sheet'!C54="Area 7 (Anu R)",'Master Sheet'!O54,"")</f>
        <v/>
      </c>
      <c r="P53" t="str">
        <f>IF('Master Sheet'!C54="Area 7 (Anu R)",'Master Sheet'!P54,"")</f>
        <v/>
      </c>
    </row>
    <row r="54" spans="1:16" hidden="1" x14ac:dyDescent="0.25">
      <c r="A54" t="str">
        <f>IF('Master Sheet'!C55="Area 7 (Anu R)",'Master Sheet'!A55,"")</f>
        <v/>
      </c>
      <c r="B54" t="str">
        <f>IF('Master Sheet'!C55="Area 7 (Anu R)",'Master Sheet'!B55,"")</f>
        <v/>
      </c>
      <c r="C54" t="s">
        <v>10</v>
      </c>
      <c r="D54" t="str">
        <f>IF('Master Sheet'!C55="Area 7 (Anu R)",'Master Sheet'!D55,"")</f>
        <v/>
      </c>
      <c r="E54" t="str">
        <f>IF('Master Sheet'!C55="Area 7 (Anu R)",'Master Sheet'!E55,"")</f>
        <v/>
      </c>
      <c r="F54" t="str">
        <f>IF('Master Sheet'!C55="Area 7 (Anu R)",'Master Sheet'!F55,"")</f>
        <v/>
      </c>
      <c r="G54" t="str">
        <f>IF('Master Sheet'!C55="Area 7 (Anu R)",'Master Sheet'!G55,"")</f>
        <v/>
      </c>
      <c r="H54" t="str">
        <f>IF('Master Sheet'!C55="Area 7 (Anu R)",'Master Sheet'!H55,"")</f>
        <v/>
      </c>
      <c r="I54" t="str">
        <f>IF('Master Sheet'!C55="Area 7 (Anu R)",'Master Sheet'!I55,"")</f>
        <v/>
      </c>
      <c r="J54" t="str">
        <f>IF('Master Sheet'!C55="Area 7 (Anu R)",'Master Sheet'!J55,"")</f>
        <v/>
      </c>
      <c r="K54" t="str">
        <f>IF('Master Sheet'!C55="Area 7 (Anu R)",'Master Sheet'!K55,"")</f>
        <v/>
      </c>
      <c r="L54" t="str">
        <f>IF('Master Sheet'!C55="Area 7 (Anu R)",'Master Sheet'!L55,"")</f>
        <v/>
      </c>
      <c r="M54" t="str">
        <f>IF('Master Sheet'!C55="Area 7 (Anu R)",'Master Sheet'!M55,"")</f>
        <v/>
      </c>
      <c r="N54" t="str">
        <f>IF('Master Sheet'!C55="Area 7 (Anu R)",'Master Sheet'!N55,"")</f>
        <v/>
      </c>
      <c r="O54" t="str">
        <f>IF('Master Sheet'!C55="Area 7 (Anu R)",'Master Sheet'!O55,"")</f>
        <v/>
      </c>
      <c r="P54" t="str">
        <f>IF('Master Sheet'!C55="Area 7 (Anu R)",'Master Sheet'!P55,"")</f>
        <v/>
      </c>
    </row>
    <row r="55" spans="1:16" hidden="1" x14ac:dyDescent="0.25">
      <c r="A55" t="str">
        <f>IF('Master Sheet'!C56="Area 7 (Anu R)",'Master Sheet'!A56,"")</f>
        <v/>
      </c>
      <c r="B55" t="str">
        <f>IF('Master Sheet'!C56="Area 7 (Anu R)",'Master Sheet'!B56,"")</f>
        <v/>
      </c>
      <c r="C55" t="s">
        <v>10</v>
      </c>
      <c r="D55" t="str">
        <f>IF('Master Sheet'!C56="Area 7 (Anu R)",'Master Sheet'!D56,"")</f>
        <v/>
      </c>
      <c r="E55" t="str">
        <f>IF('Master Sheet'!C56="Area 7 (Anu R)",'Master Sheet'!E56,"")</f>
        <v/>
      </c>
      <c r="F55" t="str">
        <f>IF('Master Sheet'!C56="Area 7 (Anu R)",'Master Sheet'!F56,"")</f>
        <v/>
      </c>
      <c r="G55" t="str">
        <f>IF('Master Sheet'!C56="Area 7 (Anu R)",'Master Sheet'!G56,"")</f>
        <v/>
      </c>
      <c r="H55" t="str">
        <f>IF('Master Sheet'!C56="Area 7 (Anu R)",'Master Sheet'!H56,"")</f>
        <v/>
      </c>
      <c r="I55" t="str">
        <f>IF('Master Sheet'!C56="Area 7 (Anu R)",'Master Sheet'!I56,"")</f>
        <v/>
      </c>
      <c r="J55" t="str">
        <f>IF('Master Sheet'!C56="Area 7 (Anu R)",'Master Sheet'!J56,"")</f>
        <v/>
      </c>
      <c r="K55" t="str">
        <f>IF('Master Sheet'!C56="Area 7 (Anu R)",'Master Sheet'!K56,"")</f>
        <v/>
      </c>
      <c r="L55" t="str">
        <f>IF('Master Sheet'!C56="Area 7 (Anu R)",'Master Sheet'!L56,"")</f>
        <v/>
      </c>
      <c r="M55" t="str">
        <f>IF('Master Sheet'!C56="Area 7 (Anu R)",'Master Sheet'!M56,"")</f>
        <v/>
      </c>
      <c r="N55" t="str">
        <f>IF('Master Sheet'!C56="Area 7 (Anu R)",'Master Sheet'!N56,"")</f>
        <v/>
      </c>
      <c r="O55" t="str">
        <f>IF('Master Sheet'!C56="Area 7 (Anu R)",'Master Sheet'!O56,"")</f>
        <v/>
      </c>
      <c r="P55" t="str">
        <f>IF('Master Sheet'!C56="Area 7 (Anu R)",'Master Sheet'!P56,"")</f>
        <v/>
      </c>
    </row>
    <row r="56" spans="1:16" hidden="1" x14ac:dyDescent="0.25">
      <c r="A56" t="str">
        <f>IF('Master Sheet'!C57="Area 7 (Anu R)",'Master Sheet'!A57,"")</f>
        <v/>
      </c>
      <c r="B56" t="str">
        <f>IF('Master Sheet'!C57="Area 7 (Anu R)",'Master Sheet'!B57,"")</f>
        <v/>
      </c>
      <c r="C56" t="s">
        <v>10</v>
      </c>
      <c r="D56" t="str">
        <f>IF('Master Sheet'!C57="Area 7 (Anu R)",'Master Sheet'!D57,"")</f>
        <v/>
      </c>
      <c r="E56" t="str">
        <f>IF('Master Sheet'!C57="Area 7 (Anu R)",'Master Sheet'!E57,"")</f>
        <v/>
      </c>
      <c r="F56" t="str">
        <f>IF('Master Sheet'!C57="Area 7 (Anu R)",'Master Sheet'!F57,"")</f>
        <v/>
      </c>
      <c r="G56" t="str">
        <f>IF('Master Sheet'!C57="Area 7 (Anu R)",'Master Sheet'!G57,"")</f>
        <v/>
      </c>
      <c r="H56" t="str">
        <f>IF('Master Sheet'!C57="Area 7 (Anu R)",'Master Sheet'!H57,"")</f>
        <v/>
      </c>
      <c r="I56" t="str">
        <f>IF('Master Sheet'!C57="Area 7 (Anu R)",'Master Sheet'!I57,"")</f>
        <v/>
      </c>
      <c r="J56" t="str">
        <f>IF('Master Sheet'!C57="Area 7 (Anu R)",'Master Sheet'!J57,"")</f>
        <v/>
      </c>
      <c r="K56" t="str">
        <f>IF('Master Sheet'!C57="Area 7 (Anu R)",'Master Sheet'!K57,"")</f>
        <v/>
      </c>
      <c r="L56" t="str">
        <f>IF('Master Sheet'!C57="Area 7 (Anu R)",'Master Sheet'!L57,"")</f>
        <v/>
      </c>
      <c r="M56" t="str">
        <f>IF('Master Sheet'!C57="Area 7 (Anu R)",'Master Sheet'!M57,"")</f>
        <v/>
      </c>
      <c r="N56" t="str">
        <f>IF('Master Sheet'!C57="Area 7 (Anu R)",'Master Sheet'!N57,"")</f>
        <v/>
      </c>
      <c r="O56" t="str">
        <f>IF('Master Sheet'!C57="Area 7 (Anu R)",'Master Sheet'!O57,"")</f>
        <v/>
      </c>
      <c r="P56" t="str">
        <f>IF('Master Sheet'!C57="Area 7 (Anu R)",'Master Sheet'!P57,"")</f>
        <v/>
      </c>
    </row>
    <row r="57" spans="1:16" hidden="1" x14ac:dyDescent="0.25">
      <c r="A57" t="str">
        <f>IF('Master Sheet'!C58="Area 7 (Anu R)",'Master Sheet'!A58,"")</f>
        <v/>
      </c>
      <c r="B57" t="str">
        <f>IF('Master Sheet'!C58="Area 7 (Anu R)",'Master Sheet'!B58,"")</f>
        <v/>
      </c>
      <c r="C57" t="s">
        <v>10</v>
      </c>
      <c r="D57" t="str">
        <f>IF('Master Sheet'!C58="Area 7 (Anu R)",'Master Sheet'!D58,"")</f>
        <v/>
      </c>
      <c r="E57" t="str">
        <f>IF('Master Sheet'!C58="Area 7 (Anu R)",'Master Sheet'!E58,"")</f>
        <v/>
      </c>
      <c r="F57" t="str">
        <f>IF('Master Sheet'!C58="Area 7 (Anu R)",'Master Sheet'!F58,"")</f>
        <v/>
      </c>
      <c r="G57" t="str">
        <f>IF('Master Sheet'!C58="Area 7 (Anu R)",'Master Sheet'!G58,"")</f>
        <v/>
      </c>
      <c r="H57" t="str">
        <f>IF('Master Sheet'!C58="Area 7 (Anu R)",'Master Sheet'!H58,"")</f>
        <v/>
      </c>
      <c r="I57" t="str">
        <f>IF('Master Sheet'!C58="Area 7 (Anu R)",'Master Sheet'!I58,"")</f>
        <v/>
      </c>
      <c r="J57" t="str">
        <f>IF('Master Sheet'!C58="Area 7 (Anu R)",'Master Sheet'!J58,"")</f>
        <v/>
      </c>
      <c r="K57" t="str">
        <f>IF('Master Sheet'!C58="Area 7 (Anu R)",'Master Sheet'!K58,"")</f>
        <v/>
      </c>
      <c r="L57" t="str">
        <f>IF('Master Sheet'!C58="Area 7 (Anu R)",'Master Sheet'!L58,"")</f>
        <v/>
      </c>
      <c r="M57" t="str">
        <f>IF('Master Sheet'!C58="Area 7 (Anu R)",'Master Sheet'!M58,"")</f>
        <v/>
      </c>
      <c r="N57" t="str">
        <f>IF('Master Sheet'!C58="Area 7 (Anu R)",'Master Sheet'!N58,"")</f>
        <v/>
      </c>
      <c r="O57" t="str">
        <f>IF('Master Sheet'!C58="Area 7 (Anu R)",'Master Sheet'!O58,"")</f>
        <v/>
      </c>
      <c r="P57" t="str">
        <f>IF('Master Sheet'!C58="Area 7 (Anu R)",'Master Sheet'!P58,"")</f>
        <v/>
      </c>
    </row>
    <row r="58" spans="1:16" hidden="1" x14ac:dyDescent="0.25">
      <c r="A58" t="str">
        <f>IF('Master Sheet'!C59="Area 7 (Anu R)",'Master Sheet'!A59,"")</f>
        <v/>
      </c>
      <c r="B58" t="str">
        <f>IF('Master Sheet'!C59="Area 7 (Anu R)",'Master Sheet'!B59,"")</f>
        <v/>
      </c>
      <c r="C58" t="s">
        <v>10</v>
      </c>
      <c r="D58" t="str">
        <f>IF('Master Sheet'!C59="Area 7 (Anu R)",'Master Sheet'!D59,"")</f>
        <v/>
      </c>
      <c r="E58" t="str">
        <f>IF('Master Sheet'!C59="Area 7 (Anu R)",'Master Sheet'!E59,"")</f>
        <v/>
      </c>
      <c r="F58" t="str">
        <f>IF('Master Sheet'!C59="Area 7 (Anu R)",'Master Sheet'!F59,"")</f>
        <v/>
      </c>
      <c r="G58" t="str">
        <f>IF('Master Sheet'!C59="Area 7 (Anu R)",'Master Sheet'!G59,"")</f>
        <v/>
      </c>
      <c r="H58" t="str">
        <f>IF('Master Sheet'!C59="Area 7 (Anu R)",'Master Sheet'!H59,"")</f>
        <v/>
      </c>
      <c r="I58" t="str">
        <f>IF('Master Sheet'!C59="Area 7 (Anu R)",'Master Sheet'!I59,"")</f>
        <v/>
      </c>
      <c r="J58" t="str">
        <f>IF('Master Sheet'!C59="Area 7 (Anu R)",'Master Sheet'!J59,"")</f>
        <v/>
      </c>
      <c r="K58" t="str">
        <f>IF('Master Sheet'!C59="Area 7 (Anu R)",'Master Sheet'!K59,"")</f>
        <v/>
      </c>
      <c r="L58" t="str">
        <f>IF('Master Sheet'!C59="Area 7 (Anu R)",'Master Sheet'!L59,"")</f>
        <v/>
      </c>
      <c r="M58" t="str">
        <f>IF('Master Sheet'!C59="Area 7 (Anu R)",'Master Sheet'!M59,"")</f>
        <v/>
      </c>
      <c r="N58" t="str">
        <f>IF('Master Sheet'!C59="Area 7 (Anu R)",'Master Sheet'!N59,"")</f>
        <v/>
      </c>
      <c r="O58" t="str">
        <f>IF('Master Sheet'!C59="Area 7 (Anu R)",'Master Sheet'!O59,"")</f>
        <v/>
      </c>
      <c r="P58" t="str">
        <f>IF('Master Sheet'!C59="Area 7 (Anu R)",'Master Sheet'!P59,"")</f>
        <v/>
      </c>
    </row>
    <row r="59" spans="1:16" hidden="1" x14ac:dyDescent="0.25">
      <c r="A59" t="str">
        <f>IF('Master Sheet'!C60="Area 7 (Anu R)",'Master Sheet'!A60,"")</f>
        <v/>
      </c>
      <c r="B59" t="str">
        <f>IF('Master Sheet'!C60="Area 7 (Anu R)",'Master Sheet'!B60,"")</f>
        <v/>
      </c>
      <c r="C59" t="s">
        <v>10</v>
      </c>
      <c r="D59" t="str">
        <f>IF('Master Sheet'!C60="Area 7 (Anu R)",'Master Sheet'!D60,"")</f>
        <v/>
      </c>
      <c r="E59" t="str">
        <f>IF('Master Sheet'!C60="Area 7 (Anu R)",'Master Sheet'!E60,"")</f>
        <v/>
      </c>
      <c r="F59" t="str">
        <f>IF('Master Sheet'!C60="Area 7 (Anu R)",'Master Sheet'!F60,"")</f>
        <v/>
      </c>
      <c r="G59" t="str">
        <f>IF('Master Sheet'!C60="Area 7 (Anu R)",'Master Sheet'!G60,"")</f>
        <v/>
      </c>
      <c r="H59" t="str">
        <f>IF('Master Sheet'!C60="Area 7 (Anu R)",'Master Sheet'!H60,"")</f>
        <v/>
      </c>
      <c r="I59" t="str">
        <f>IF('Master Sheet'!C60="Area 7 (Anu R)",'Master Sheet'!I60,"")</f>
        <v/>
      </c>
      <c r="J59" t="str">
        <f>IF('Master Sheet'!C60="Area 7 (Anu R)",'Master Sheet'!J60,"")</f>
        <v/>
      </c>
      <c r="K59" t="str">
        <f>IF('Master Sheet'!C60="Area 7 (Anu R)",'Master Sheet'!K60,"")</f>
        <v/>
      </c>
      <c r="L59" t="str">
        <f>IF('Master Sheet'!C60="Area 7 (Anu R)",'Master Sheet'!L60,"")</f>
        <v/>
      </c>
      <c r="M59" t="str">
        <f>IF('Master Sheet'!C60="Area 7 (Anu R)",'Master Sheet'!M60,"")</f>
        <v/>
      </c>
      <c r="N59" t="str">
        <f>IF('Master Sheet'!C60="Area 7 (Anu R)",'Master Sheet'!N60,"")</f>
        <v/>
      </c>
      <c r="O59" t="str">
        <f>IF('Master Sheet'!C60="Area 7 (Anu R)",'Master Sheet'!O60,"")</f>
        <v/>
      </c>
      <c r="P59" t="str">
        <f>IF('Master Sheet'!C60="Area 7 (Anu R)",'Master Sheet'!P60,"")</f>
        <v/>
      </c>
    </row>
    <row r="60" spans="1:16" hidden="1" x14ac:dyDescent="0.25">
      <c r="A60" t="str">
        <f>IF('Master Sheet'!C61="Area 7 (Anu R)",'Master Sheet'!A61,"")</f>
        <v/>
      </c>
      <c r="B60" t="str">
        <f>IF('Master Sheet'!C61="Area 7 (Anu R)",'Master Sheet'!B61,"")</f>
        <v/>
      </c>
      <c r="C60" t="s">
        <v>10</v>
      </c>
      <c r="D60" t="str">
        <f>IF('Master Sheet'!C61="Area 7 (Anu R)",'Master Sheet'!D61,"")</f>
        <v/>
      </c>
      <c r="E60" t="str">
        <f>IF('Master Sheet'!C61="Area 7 (Anu R)",'Master Sheet'!E61,"")</f>
        <v/>
      </c>
      <c r="F60" t="str">
        <f>IF('Master Sheet'!C61="Area 7 (Anu R)",'Master Sheet'!F61,"")</f>
        <v/>
      </c>
      <c r="G60" t="str">
        <f>IF('Master Sheet'!C61="Area 7 (Anu R)",'Master Sheet'!G61,"")</f>
        <v/>
      </c>
      <c r="H60" t="str">
        <f>IF('Master Sheet'!C61="Area 7 (Anu R)",'Master Sheet'!H61,"")</f>
        <v/>
      </c>
      <c r="I60" t="str">
        <f>IF('Master Sheet'!C61="Area 7 (Anu R)",'Master Sheet'!I61,"")</f>
        <v/>
      </c>
      <c r="J60" t="str">
        <f>IF('Master Sheet'!C61="Area 7 (Anu R)",'Master Sheet'!J61,"")</f>
        <v/>
      </c>
      <c r="K60" t="str">
        <f>IF('Master Sheet'!C61="Area 7 (Anu R)",'Master Sheet'!K61,"")</f>
        <v/>
      </c>
      <c r="L60" t="str">
        <f>IF('Master Sheet'!C61="Area 7 (Anu R)",'Master Sheet'!L61,"")</f>
        <v/>
      </c>
      <c r="M60" t="str">
        <f>IF('Master Sheet'!C61="Area 7 (Anu R)",'Master Sheet'!M61,"")</f>
        <v/>
      </c>
      <c r="N60" t="str">
        <f>IF('Master Sheet'!C61="Area 7 (Anu R)",'Master Sheet'!N61,"")</f>
        <v/>
      </c>
      <c r="O60" t="str">
        <f>IF('Master Sheet'!C61="Area 7 (Anu R)",'Master Sheet'!O61,"")</f>
        <v/>
      </c>
      <c r="P60" t="str">
        <f>IF('Master Sheet'!C61="Area 7 (Anu R)",'Master Sheet'!P61,"")</f>
        <v/>
      </c>
    </row>
    <row r="61" spans="1:16" hidden="1" x14ac:dyDescent="0.25">
      <c r="A61" t="str">
        <f>IF('Master Sheet'!C62="Area 7 (Anu R)",'Master Sheet'!A62,"")</f>
        <v/>
      </c>
      <c r="B61" t="str">
        <f>IF('Master Sheet'!C62="Area 7 (Anu R)",'Master Sheet'!B62,"")</f>
        <v/>
      </c>
      <c r="C61" t="s">
        <v>10</v>
      </c>
      <c r="D61" t="str">
        <f>IF('Master Sheet'!C62="Area 7 (Anu R)",'Master Sheet'!D62,"")</f>
        <v/>
      </c>
      <c r="E61" t="str">
        <f>IF('Master Sheet'!C62="Area 7 (Anu R)",'Master Sheet'!E62,"")</f>
        <v/>
      </c>
      <c r="F61" t="str">
        <f>IF('Master Sheet'!C62="Area 7 (Anu R)",'Master Sheet'!F62,"")</f>
        <v/>
      </c>
      <c r="G61" t="str">
        <f>IF('Master Sheet'!C62="Area 7 (Anu R)",'Master Sheet'!G62,"")</f>
        <v/>
      </c>
      <c r="H61" t="str">
        <f>IF('Master Sheet'!C62="Area 7 (Anu R)",'Master Sheet'!H62,"")</f>
        <v/>
      </c>
      <c r="I61" t="str">
        <f>IF('Master Sheet'!C62="Area 7 (Anu R)",'Master Sheet'!I62,"")</f>
        <v/>
      </c>
      <c r="J61" t="str">
        <f>IF('Master Sheet'!C62="Area 7 (Anu R)",'Master Sheet'!J62,"")</f>
        <v/>
      </c>
      <c r="K61" t="str">
        <f>IF('Master Sheet'!C62="Area 7 (Anu R)",'Master Sheet'!K62,"")</f>
        <v/>
      </c>
      <c r="L61" t="str">
        <f>IF('Master Sheet'!C62="Area 7 (Anu R)",'Master Sheet'!L62,"")</f>
        <v/>
      </c>
      <c r="M61" t="str">
        <f>IF('Master Sheet'!C62="Area 7 (Anu R)",'Master Sheet'!M62,"")</f>
        <v/>
      </c>
      <c r="N61" t="str">
        <f>IF('Master Sheet'!C62="Area 7 (Anu R)",'Master Sheet'!N62,"")</f>
        <v/>
      </c>
      <c r="O61" t="str">
        <f>IF('Master Sheet'!C62="Area 7 (Anu R)",'Master Sheet'!O62,"")</f>
        <v/>
      </c>
      <c r="P61" t="str">
        <f>IF('Master Sheet'!C62="Area 7 (Anu R)",'Master Sheet'!P62,"")</f>
        <v/>
      </c>
    </row>
    <row r="62" spans="1:16" hidden="1" x14ac:dyDescent="0.25">
      <c r="A62" t="str">
        <f>IF('Master Sheet'!C63="Area 7 (Anu R)",'Master Sheet'!A63,"")</f>
        <v/>
      </c>
      <c r="B62" t="str">
        <f>IF('Master Sheet'!C63="Area 7 (Anu R)",'Master Sheet'!B63,"")</f>
        <v/>
      </c>
      <c r="C62" t="s">
        <v>10</v>
      </c>
      <c r="D62" t="str">
        <f>IF('Master Sheet'!C63="Area 7 (Anu R)",'Master Sheet'!D63,"")</f>
        <v/>
      </c>
      <c r="E62" t="str">
        <f>IF('Master Sheet'!C63="Area 7 (Anu R)",'Master Sheet'!E63,"")</f>
        <v/>
      </c>
      <c r="F62" t="str">
        <f>IF('Master Sheet'!C63="Area 7 (Anu R)",'Master Sheet'!F63,"")</f>
        <v/>
      </c>
      <c r="G62" t="str">
        <f>IF('Master Sheet'!C63="Area 7 (Anu R)",'Master Sheet'!G63,"")</f>
        <v/>
      </c>
      <c r="H62" t="str">
        <f>IF('Master Sheet'!C63="Area 7 (Anu R)",'Master Sheet'!H63,"")</f>
        <v/>
      </c>
      <c r="I62" t="str">
        <f>IF('Master Sheet'!C63="Area 7 (Anu R)",'Master Sheet'!I63,"")</f>
        <v/>
      </c>
      <c r="J62" t="str">
        <f>IF('Master Sheet'!C63="Area 7 (Anu R)",'Master Sheet'!J63,"")</f>
        <v/>
      </c>
      <c r="K62" t="str">
        <f>IF('Master Sheet'!C63="Area 7 (Anu R)",'Master Sheet'!K63,"")</f>
        <v/>
      </c>
      <c r="L62" t="str">
        <f>IF('Master Sheet'!C63="Area 7 (Anu R)",'Master Sheet'!L63,"")</f>
        <v/>
      </c>
      <c r="M62" t="str">
        <f>IF('Master Sheet'!C63="Area 7 (Anu R)",'Master Sheet'!M63,"")</f>
        <v/>
      </c>
      <c r="N62" t="str">
        <f>IF('Master Sheet'!C63="Area 7 (Anu R)",'Master Sheet'!N63,"")</f>
        <v/>
      </c>
      <c r="O62" t="str">
        <f>IF('Master Sheet'!C63="Area 7 (Anu R)",'Master Sheet'!O63,"")</f>
        <v/>
      </c>
      <c r="P62" t="str">
        <f>IF('Master Sheet'!C63="Area 7 (Anu R)",'Master Sheet'!P63,"")</f>
        <v/>
      </c>
    </row>
    <row r="63" spans="1:16" hidden="1" x14ac:dyDescent="0.25">
      <c r="A63" t="str">
        <f>IF('Master Sheet'!C64="Area 7 (Anu R)",'Master Sheet'!A64,"")</f>
        <v/>
      </c>
      <c r="B63" t="str">
        <f>IF('Master Sheet'!C64="Area 7 (Anu R)",'Master Sheet'!B64,"")</f>
        <v/>
      </c>
      <c r="C63" t="s">
        <v>10</v>
      </c>
      <c r="D63" t="str">
        <f>IF('Master Sheet'!C64="Area 7 (Anu R)",'Master Sheet'!D64,"")</f>
        <v/>
      </c>
      <c r="E63" t="str">
        <f>IF('Master Sheet'!C64="Area 7 (Anu R)",'Master Sheet'!E64,"")</f>
        <v/>
      </c>
      <c r="F63" t="str">
        <f>IF('Master Sheet'!C64="Area 7 (Anu R)",'Master Sheet'!F64,"")</f>
        <v/>
      </c>
      <c r="G63" t="str">
        <f>IF('Master Sheet'!C64="Area 7 (Anu R)",'Master Sheet'!G64,"")</f>
        <v/>
      </c>
      <c r="H63" t="str">
        <f>IF('Master Sheet'!C64="Area 7 (Anu R)",'Master Sheet'!H64,"")</f>
        <v/>
      </c>
      <c r="I63" t="str">
        <f>IF('Master Sheet'!C64="Area 7 (Anu R)",'Master Sheet'!I64,"")</f>
        <v/>
      </c>
      <c r="J63" t="str">
        <f>IF('Master Sheet'!C64="Area 7 (Anu R)",'Master Sheet'!J64,"")</f>
        <v/>
      </c>
      <c r="K63" t="str">
        <f>IF('Master Sheet'!C64="Area 7 (Anu R)",'Master Sheet'!K64,"")</f>
        <v/>
      </c>
      <c r="L63" t="str">
        <f>IF('Master Sheet'!C64="Area 7 (Anu R)",'Master Sheet'!L64,"")</f>
        <v/>
      </c>
      <c r="M63" t="str">
        <f>IF('Master Sheet'!C64="Area 7 (Anu R)",'Master Sheet'!M64,"")</f>
        <v/>
      </c>
      <c r="N63" t="str">
        <f>IF('Master Sheet'!C64="Area 7 (Anu R)",'Master Sheet'!N64,"")</f>
        <v/>
      </c>
      <c r="O63" t="str">
        <f>IF('Master Sheet'!C64="Area 7 (Anu R)",'Master Sheet'!O64,"")</f>
        <v/>
      </c>
      <c r="P63" t="str">
        <f>IF('Master Sheet'!C64="Area 7 (Anu R)",'Master Sheet'!P64,"")</f>
        <v/>
      </c>
    </row>
    <row r="64" spans="1:16" hidden="1" x14ac:dyDescent="0.25">
      <c r="A64" t="str">
        <f>IF('Master Sheet'!C65="Area 7 (Anu R)",'Master Sheet'!A65,"")</f>
        <v/>
      </c>
      <c r="B64" t="str">
        <f>IF('Master Sheet'!C65="Area 7 (Anu R)",'Master Sheet'!B65,"")</f>
        <v/>
      </c>
      <c r="C64" t="s">
        <v>10</v>
      </c>
      <c r="D64" t="str">
        <f>IF('Master Sheet'!C65="Area 7 (Anu R)",'Master Sheet'!D65,"")</f>
        <v/>
      </c>
      <c r="E64" t="str">
        <f>IF('Master Sheet'!C65="Area 7 (Anu R)",'Master Sheet'!E65,"")</f>
        <v/>
      </c>
      <c r="F64" t="str">
        <f>IF('Master Sheet'!C65="Area 7 (Anu R)",'Master Sheet'!F65,"")</f>
        <v/>
      </c>
      <c r="G64" t="str">
        <f>IF('Master Sheet'!C65="Area 7 (Anu R)",'Master Sheet'!G65,"")</f>
        <v/>
      </c>
      <c r="H64" t="str">
        <f>IF('Master Sheet'!C65="Area 7 (Anu R)",'Master Sheet'!H65,"")</f>
        <v/>
      </c>
      <c r="I64" t="str">
        <f>IF('Master Sheet'!C65="Area 7 (Anu R)",'Master Sheet'!I65,"")</f>
        <v/>
      </c>
      <c r="J64" t="str">
        <f>IF('Master Sheet'!C65="Area 7 (Anu R)",'Master Sheet'!J65,"")</f>
        <v/>
      </c>
      <c r="K64" t="str">
        <f>IF('Master Sheet'!C65="Area 7 (Anu R)",'Master Sheet'!K65,"")</f>
        <v/>
      </c>
      <c r="L64" t="str">
        <f>IF('Master Sheet'!C65="Area 7 (Anu R)",'Master Sheet'!L65,"")</f>
        <v/>
      </c>
      <c r="M64" t="str">
        <f>IF('Master Sheet'!C65="Area 7 (Anu R)",'Master Sheet'!M65,"")</f>
        <v/>
      </c>
      <c r="N64" t="str">
        <f>IF('Master Sheet'!C65="Area 7 (Anu R)",'Master Sheet'!N65,"")</f>
        <v/>
      </c>
      <c r="O64" t="str">
        <f>IF('Master Sheet'!C65="Area 7 (Anu R)",'Master Sheet'!O65,"")</f>
        <v/>
      </c>
      <c r="P64" t="str">
        <f>IF('Master Sheet'!C65="Area 7 (Anu R)",'Master Sheet'!P65,"")</f>
        <v/>
      </c>
    </row>
    <row r="65" spans="1:16" hidden="1" x14ac:dyDescent="0.25">
      <c r="A65" t="str">
        <f>IF('Master Sheet'!C66="Area 7 (Anu R)",'Master Sheet'!A66,"")</f>
        <v/>
      </c>
      <c r="B65" t="str">
        <f>IF('Master Sheet'!C66="Area 7 (Anu R)",'Master Sheet'!B66,"")</f>
        <v/>
      </c>
      <c r="C65" t="s">
        <v>10</v>
      </c>
      <c r="D65" t="str">
        <f>IF('Master Sheet'!C66="Area 7 (Anu R)",'Master Sheet'!D66,"")</f>
        <v/>
      </c>
      <c r="E65" t="str">
        <f>IF('Master Sheet'!C66="Area 7 (Anu R)",'Master Sheet'!E66,"")</f>
        <v/>
      </c>
      <c r="F65" t="str">
        <f>IF('Master Sheet'!C66="Area 7 (Anu R)",'Master Sheet'!F66,"")</f>
        <v/>
      </c>
      <c r="G65" t="str">
        <f>IF('Master Sheet'!C66="Area 7 (Anu R)",'Master Sheet'!G66,"")</f>
        <v/>
      </c>
      <c r="H65" t="str">
        <f>IF('Master Sheet'!C66="Area 7 (Anu R)",'Master Sheet'!H66,"")</f>
        <v/>
      </c>
      <c r="I65" t="str">
        <f>IF('Master Sheet'!C66="Area 7 (Anu R)",'Master Sheet'!I66,"")</f>
        <v/>
      </c>
      <c r="J65" t="str">
        <f>IF('Master Sheet'!C66="Area 7 (Anu R)",'Master Sheet'!J66,"")</f>
        <v/>
      </c>
      <c r="K65" t="str">
        <f>IF('Master Sheet'!C66="Area 7 (Anu R)",'Master Sheet'!K66,"")</f>
        <v/>
      </c>
      <c r="L65" t="str">
        <f>IF('Master Sheet'!C66="Area 7 (Anu R)",'Master Sheet'!L66,"")</f>
        <v/>
      </c>
      <c r="M65" t="str">
        <f>IF('Master Sheet'!C66="Area 7 (Anu R)",'Master Sheet'!M66,"")</f>
        <v/>
      </c>
      <c r="N65" t="str">
        <f>IF('Master Sheet'!C66="Area 7 (Anu R)",'Master Sheet'!N66,"")</f>
        <v/>
      </c>
      <c r="O65" t="str">
        <f>IF('Master Sheet'!C66="Area 7 (Anu R)",'Master Sheet'!O66,"")</f>
        <v/>
      </c>
      <c r="P65" t="str">
        <f>IF('Master Sheet'!C66="Area 7 (Anu R)",'Master Sheet'!P66,"")</f>
        <v/>
      </c>
    </row>
    <row r="66" spans="1:16" hidden="1" x14ac:dyDescent="0.25">
      <c r="A66" t="str">
        <f>IF('Master Sheet'!C67="Area 7 (Anu R)",'Master Sheet'!A67,"")</f>
        <v/>
      </c>
      <c r="B66" t="str">
        <f>IF('Master Sheet'!C67="Area 7 (Anu R)",'Master Sheet'!B67,"")</f>
        <v/>
      </c>
      <c r="C66" t="s">
        <v>10</v>
      </c>
      <c r="D66" t="str">
        <f>IF('Master Sheet'!C67="Area 7 (Anu R)",'Master Sheet'!D67,"")</f>
        <v/>
      </c>
      <c r="E66" t="str">
        <f>IF('Master Sheet'!C67="Area 7 (Anu R)",'Master Sheet'!E67,"")</f>
        <v/>
      </c>
      <c r="F66" t="str">
        <f>IF('Master Sheet'!C67="Area 7 (Anu R)",'Master Sheet'!F67,"")</f>
        <v/>
      </c>
      <c r="G66" t="str">
        <f>IF('Master Sheet'!C67="Area 7 (Anu R)",'Master Sheet'!G67,"")</f>
        <v/>
      </c>
      <c r="H66" t="str">
        <f>IF('Master Sheet'!C67="Area 7 (Anu R)",'Master Sheet'!H67,"")</f>
        <v/>
      </c>
      <c r="I66" t="str">
        <f>IF('Master Sheet'!C67="Area 7 (Anu R)",'Master Sheet'!I67,"")</f>
        <v/>
      </c>
      <c r="J66" t="str">
        <f>IF('Master Sheet'!C67="Area 7 (Anu R)",'Master Sheet'!J67,"")</f>
        <v/>
      </c>
      <c r="K66" t="str">
        <f>IF('Master Sheet'!C67="Area 7 (Anu R)",'Master Sheet'!K67,"")</f>
        <v/>
      </c>
      <c r="L66" t="str">
        <f>IF('Master Sheet'!C67="Area 7 (Anu R)",'Master Sheet'!L67,"")</f>
        <v/>
      </c>
      <c r="M66" t="str">
        <f>IF('Master Sheet'!C67="Area 7 (Anu R)",'Master Sheet'!M67,"")</f>
        <v/>
      </c>
      <c r="N66" t="str">
        <f>IF('Master Sheet'!C67="Area 7 (Anu R)",'Master Sheet'!N67,"")</f>
        <v/>
      </c>
      <c r="O66" t="str">
        <f>IF('Master Sheet'!C67="Area 7 (Anu R)",'Master Sheet'!O67,"")</f>
        <v/>
      </c>
      <c r="P66" t="str">
        <f>IF('Master Sheet'!C67="Area 7 (Anu R)",'Master Sheet'!P67,"")</f>
        <v/>
      </c>
    </row>
    <row r="67" spans="1:16" hidden="1" x14ac:dyDescent="0.25">
      <c r="A67" t="str">
        <f>IF('Master Sheet'!C68="Area 7 (Anu R)",'Master Sheet'!A68,"")</f>
        <v/>
      </c>
      <c r="B67" t="str">
        <f>IF('Master Sheet'!C68="Area 7 (Anu R)",'Master Sheet'!B68,"")</f>
        <v/>
      </c>
      <c r="C67" t="s">
        <v>10</v>
      </c>
      <c r="D67" t="str">
        <f>IF('Master Sheet'!C68="Area 7 (Anu R)",'Master Sheet'!D68,"")</f>
        <v/>
      </c>
      <c r="E67" t="str">
        <f>IF('Master Sheet'!C68="Area 7 (Anu R)",'Master Sheet'!E68,"")</f>
        <v/>
      </c>
      <c r="F67" t="str">
        <f>IF('Master Sheet'!C68="Area 7 (Anu R)",'Master Sheet'!F68,"")</f>
        <v/>
      </c>
      <c r="G67" t="str">
        <f>IF('Master Sheet'!C68="Area 7 (Anu R)",'Master Sheet'!G68,"")</f>
        <v/>
      </c>
      <c r="H67" t="str">
        <f>IF('Master Sheet'!C68="Area 7 (Anu R)",'Master Sheet'!H68,"")</f>
        <v/>
      </c>
      <c r="I67" t="str">
        <f>IF('Master Sheet'!C68="Area 7 (Anu R)",'Master Sheet'!I68,"")</f>
        <v/>
      </c>
      <c r="J67" t="str">
        <f>IF('Master Sheet'!C68="Area 7 (Anu R)",'Master Sheet'!J68,"")</f>
        <v/>
      </c>
      <c r="K67" t="str">
        <f>IF('Master Sheet'!C68="Area 7 (Anu R)",'Master Sheet'!K68,"")</f>
        <v/>
      </c>
      <c r="L67" t="str">
        <f>IF('Master Sheet'!C68="Area 7 (Anu R)",'Master Sheet'!L68,"")</f>
        <v/>
      </c>
      <c r="M67" t="str">
        <f>IF('Master Sheet'!C68="Area 7 (Anu R)",'Master Sheet'!M68,"")</f>
        <v/>
      </c>
      <c r="N67" t="str">
        <f>IF('Master Sheet'!C68="Area 7 (Anu R)",'Master Sheet'!N68,"")</f>
        <v/>
      </c>
      <c r="O67" t="str">
        <f>IF('Master Sheet'!C68="Area 7 (Anu R)",'Master Sheet'!O68,"")</f>
        <v/>
      </c>
      <c r="P67" t="str">
        <f>IF('Master Sheet'!C68="Area 7 (Anu R)",'Master Sheet'!P68,"")</f>
        <v/>
      </c>
    </row>
    <row r="68" spans="1:16" hidden="1" x14ac:dyDescent="0.25">
      <c r="A68" t="str">
        <f>IF('Master Sheet'!C69="Area 7 (Anu R)",'Master Sheet'!A69,"")</f>
        <v/>
      </c>
      <c r="B68" t="str">
        <f>IF('Master Sheet'!C69="Area 7 (Anu R)",'Master Sheet'!B69,"")</f>
        <v/>
      </c>
      <c r="C68" t="s">
        <v>10</v>
      </c>
      <c r="D68" t="str">
        <f>IF('Master Sheet'!C69="Area 7 (Anu R)",'Master Sheet'!D69,"")</f>
        <v/>
      </c>
      <c r="E68" t="str">
        <f>IF('Master Sheet'!C69="Area 7 (Anu R)",'Master Sheet'!E69,"")</f>
        <v/>
      </c>
      <c r="F68" t="str">
        <f>IF('Master Sheet'!C69="Area 7 (Anu R)",'Master Sheet'!F69,"")</f>
        <v/>
      </c>
      <c r="G68" t="str">
        <f>IF('Master Sheet'!C69="Area 7 (Anu R)",'Master Sheet'!G69,"")</f>
        <v/>
      </c>
      <c r="H68" t="str">
        <f>IF('Master Sheet'!C69="Area 7 (Anu R)",'Master Sheet'!H69,"")</f>
        <v/>
      </c>
      <c r="I68" t="str">
        <f>IF('Master Sheet'!C69="Area 7 (Anu R)",'Master Sheet'!I69,"")</f>
        <v/>
      </c>
      <c r="J68" t="str">
        <f>IF('Master Sheet'!C69="Area 7 (Anu R)",'Master Sheet'!J69,"")</f>
        <v/>
      </c>
      <c r="K68" t="str">
        <f>IF('Master Sheet'!C69="Area 7 (Anu R)",'Master Sheet'!K69,"")</f>
        <v/>
      </c>
      <c r="L68" t="str">
        <f>IF('Master Sheet'!C69="Area 7 (Anu R)",'Master Sheet'!L69,"")</f>
        <v/>
      </c>
      <c r="M68" t="str">
        <f>IF('Master Sheet'!C69="Area 7 (Anu R)",'Master Sheet'!M69,"")</f>
        <v/>
      </c>
      <c r="N68" t="str">
        <f>IF('Master Sheet'!C69="Area 7 (Anu R)",'Master Sheet'!N69,"")</f>
        <v/>
      </c>
      <c r="O68" t="str">
        <f>IF('Master Sheet'!C69="Area 7 (Anu R)",'Master Sheet'!O69,"")</f>
        <v/>
      </c>
      <c r="P68" t="str">
        <f>IF('Master Sheet'!C69="Area 7 (Anu R)",'Master Sheet'!P69,"")</f>
        <v/>
      </c>
    </row>
    <row r="69" spans="1:16" hidden="1" x14ac:dyDescent="0.25">
      <c r="A69" t="str">
        <f>IF('Master Sheet'!C70="Area 7 (Anu R)",'Master Sheet'!A70,"")</f>
        <v/>
      </c>
      <c r="B69" t="str">
        <f>IF('Master Sheet'!C70="Area 7 (Anu R)",'Master Sheet'!B70,"")</f>
        <v/>
      </c>
      <c r="C69" t="s">
        <v>10</v>
      </c>
      <c r="D69" t="str">
        <f>IF('Master Sheet'!C70="Area 7 (Anu R)",'Master Sheet'!D70,"")</f>
        <v/>
      </c>
      <c r="E69" t="str">
        <f>IF('Master Sheet'!C70="Area 7 (Anu R)",'Master Sheet'!E70,"")</f>
        <v/>
      </c>
      <c r="F69" t="str">
        <f>IF('Master Sheet'!C70="Area 7 (Anu R)",'Master Sheet'!F70,"")</f>
        <v/>
      </c>
      <c r="G69" t="str">
        <f>IF('Master Sheet'!C70="Area 7 (Anu R)",'Master Sheet'!G70,"")</f>
        <v/>
      </c>
      <c r="H69" t="str">
        <f>IF('Master Sheet'!C70="Area 7 (Anu R)",'Master Sheet'!H70,"")</f>
        <v/>
      </c>
      <c r="I69" t="str">
        <f>IF('Master Sheet'!C70="Area 7 (Anu R)",'Master Sheet'!I70,"")</f>
        <v/>
      </c>
      <c r="J69" t="str">
        <f>IF('Master Sheet'!C70="Area 7 (Anu R)",'Master Sheet'!J70,"")</f>
        <v/>
      </c>
      <c r="K69" t="str">
        <f>IF('Master Sheet'!C70="Area 7 (Anu R)",'Master Sheet'!K70,"")</f>
        <v/>
      </c>
      <c r="L69" t="str">
        <f>IF('Master Sheet'!C70="Area 7 (Anu R)",'Master Sheet'!L70,"")</f>
        <v/>
      </c>
      <c r="M69" t="str">
        <f>IF('Master Sheet'!C70="Area 7 (Anu R)",'Master Sheet'!M70,"")</f>
        <v/>
      </c>
      <c r="N69" t="str">
        <f>IF('Master Sheet'!C70="Area 7 (Anu R)",'Master Sheet'!N70,"")</f>
        <v/>
      </c>
      <c r="O69" t="str">
        <f>IF('Master Sheet'!C70="Area 7 (Anu R)",'Master Sheet'!O70,"")</f>
        <v/>
      </c>
      <c r="P69" t="str">
        <f>IF('Master Sheet'!C70="Area 7 (Anu R)",'Master Sheet'!P70,"")</f>
        <v/>
      </c>
    </row>
    <row r="70" spans="1:16" hidden="1" x14ac:dyDescent="0.25">
      <c r="A70" t="str">
        <f>IF('Master Sheet'!C71="Area 7 (Anu R)",'Master Sheet'!A71,"")</f>
        <v/>
      </c>
      <c r="B70" t="str">
        <f>IF('Master Sheet'!C71="Area 7 (Anu R)",'Master Sheet'!B71,"")</f>
        <v/>
      </c>
      <c r="C70" t="s">
        <v>10</v>
      </c>
      <c r="D70" t="str">
        <f>IF('Master Sheet'!C71="Area 7 (Anu R)",'Master Sheet'!D71,"")</f>
        <v/>
      </c>
      <c r="E70" t="str">
        <f>IF('Master Sheet'!C71="Area 7 (Anu R)",'Master Sheet'!E71,"")</f>
        <v/>
      </c>
      <c r="F70" t="str">
        <f>IF('Master Sheet'!C71="Area 7 (Anu R)",'Master Sheet'!F71,"")</f>
        <v/>
      </c>
      <c r="G70" t="str">
        <f>IF('Master Sheet'!C71="Area 7 (Anu R)",'Master Sheet'!G71,"")</f>
        <v/>
      </c>
      <c r="H70" t="str">
        <f>IF('Master Sheet'!C71="Area 7 (Anu R)",'Master Sheet'!H71,"")</f>
        <v/>
      </c>
      <c r="I70" t="str">
        <f>IF('Master Sheet'!C71="Area 7 (Anu R)",'Master Sheet'!I71,"")</f>
        <v/>
      </c>
      <c r="J70" t="str">
        <f>IF('Master Sheet'!C71="Area 7 (Anu R)",'Master Sheet'!J71,"")</f>
        <v/>
      </c>
      <c r="K70" t="str">
        <f>IF('Master Sheet'!C71="Area 7 (Anu R)",'Master Sheet'!K71,"")</f>
        <v/>
      </c>
      <c r="L70" t="str">
        <f>IF('Master Sheet'!C71="Area 7 (Anu R)",'Master Sheet'!L71,"")</f>
        <v/>
      </c>
      <c r="M70" t="str">
        <f>IF('Master Sheet'!C71="Area 7 (Anu R)",'Master Sheet'!M71,"")</f>
        <v/>
      </c>
      <c r="N70" t="str">
        <f>IF('Master Sheet'!C71="Area 7 (Anu R)",'Master Sheet'!N71,"")</f>
        <v/>
      </c>
      <c r="O70" t="str">
        <f>IF('Master Sheet'!C71="Area 7 (Anu R)",'Master Sheet'!O71,"")</f>
        <v/>
      </c>
      <c r="P70" t="str">
        <f>IF('Master Sheet'!C71="Area 7 (Anu R)",'Master Sheet'!P71,"")</f>
        <v/>
      </c>
    </row>
    <row r="71" spans="1:16" hidden="1" x14ac:dyDescent="0.25">
      <c r="A71" t="str">
        <f>IF('Master Sheet'!C72="Area 7 (Anu R)",'Master Sheet'!A72,"")</f>
        <v/>
      </c>
      <c r="B71" t="str">
        <f>IF('Master Sheet'!C72="Area 7 (Anu R)",'Master Sheet'!B72,"")</f>
        <v/>
      </c>
      <c r="C71" t="s">
        <v>10</v>
      </c>
      <c r="D71" t="str">
        <f>IF('Master Sheet'!C72="Area 7 (Anu R)",'Master Sheet'!D72,"")</f>
        <v/>
      </c>
      <c r="E71" t="str">
        <f>IF('Master Sheet'!C72="Area 7 (Anu R)",'Master Sheet'!E72,"")</f>
        <v/>
      </c>
      <c r="F71" t="str">
        <f>IF('Master Sheet'!C72="Area 7 (Anu R)",'Master Sheet'!F72,"")</f>
        <v/>
      </c>
      <c r="G71" t="str">
        <f>IF('Master Sheet'!C72="Area 7 (Anu R)",'Master Sheet'!G72,"")</f>
        <v/>
      </c>
      <c r="H71" t="str">
        <f>IF('Master Sheet'!C72="Area 7 (Anu R)",'Master Sheet'!H72,"")</f>
        <v/>
      </c>
      <c r="I71" t="str">
        <f>IF('Master Sheet'!C72="Area 7 (Anu R)",'Master Sheet'!I72,"")</f>
        <v/>
      </c>
      <c r="J71" t="str">
        <f>IF('Master Sheet'!C72="Area 7 (Anu R)",'Master Sheet'!J72,"")</f>
        <v/>
      </c>
      <c r="K71" t="str">
        <f>IF('Master Sheet'!C72="Area 7 (Anu R)",'Master Sheet'!K72,"")</f>
        <v/>
      </c>
      <c r="L71" t="str">
        <f>IF('Master Sheet'!C72="Area 7 (Anu R)",'Master Sheet'!L72,"")</f>
        <v/>
      </c>
      <c r="M71" t="str">
        <f>IF('Master Sheet'!C72="Area 7 (Anu R)",'Master Sheet'!M72,"")</f>
        <v/>
      </c>
      <c r="N71" t="str">
        <f>IF('Master Sheet'!C72="Area 7 (Anu R)",'Master Sheet'!N72,"")</f>
        <v/>
      </c>
      <c r="O71" t="str">
        <f>IF('Master Sheet'!C72="Area 7 (Anu R)",'Master Sheet'!O72,"")</f>
        <v/>
      </c>
      <c r="P71" t="str">
        <f>IF('Master Sheet'!C72="Area 7 (Anu R)",'Master Sheet'!P72,"")</f>
        <v/>
      </c>
    </row>
    <row r="72" spans="1:16" hidden="1" x14ac:dyDescent="0.25">
      <c r="A72" t="str">
        <f>IF('Master Sheet'!C73="Area 7 (Anu R)",'Master Sheet'!A73,"")</f>
        <v/>
      </c>
      <c r="B72" t="str">
        <f>IF('Master Sheet'!C73="Area 7 (Anu R)",'Master Sheet'!B73,"")</f>
        <v/>
      </c>
      <c r="C72" t="s">
        <v>10</v>
      </c>
      <c r="D72" t="str">
        <f>IF('Master Sheet'!C73="Area 7 (Anu R)",'Master Sheet'!D73,"")</f>
        <v/>
      </c>
      <c r="E72" t="str">
        <f>IF('Master Sheet'!C73="Area 7 (Anu R)",'Master Sheet'!E73,"")</f>
        <v/>
      </c>
      <c r="F72" t="str">
        <f>IF('Master Sheet'!C73="Area 7 (Anu R)",'Master Sheet'!F73,"")</f>
        <v/>
      </c>
      <c r="G72" t="str">
        <f>IF('Master Sheet'!C73="Area 7 (Anu R)",'Master Sheet'!G73,"")</f>
        <v/>
      </c>
      <c r="H72" t="str">
        <f>IF('Master Sheet'!C73="Area 7 (Anu R)",'Master Sheet'!H73,"")</f>
        <v/>
      </c>
      <c r="I72" t="str">
        <f>IF('Master Sheet'!C73="Area 7 (Anu R)",'Master Sheet'!I73,"")</f>
        <v/>
      </c>
      <c r="J72" t="str">
        <f>IF('Master Sheet'!C73="Area 7 (Anu R)",'Master Sheet'!J73,"")</f>
        <v/>
      </c>
      <c r="K72" t="str">
        <f>IF('Master Sheet'!C73="Area 7 (Anu R)",'Master Sheet'!K73,"")</f>
        <v/>
      </c>
      <c r="L72" t="str">
        <f>IF('Master Sheet'!C73="Area 7 (Anu R)",'Master Sheet'!L73,"")</f>
        <v/>
      </c>
      <c r="M72" t="str">
        <f>IF('Master Sheet'!C73="Area 7 (Anu R)",'Master Sheet'!M73,"")</f>
        <v/>
      </c>
      <c r="N72" t="str">
        <f>IF('Master Sheet'!C73="Area 7 (Anu R)",'Master Sheet'!N73,"")</f>
        <v/>
      </c>
      <c r="O72" t="str">
        <f>IF('Master Sheet'!C73="Area 7 (Anu R)",'Master Sheet'!O73,"")</f>
        <v/>
      </c>
      <c r="P72" t="str">
        <f>IF('Master Sheet'!C73="Area 7 (Anu R)",'Master Sheet'!P73,"")</f>
        <v/>
      </c>
    </row>
    <row r="73" spans="1:16" hidden="1" x14ac:dyDescent="0.25">
      <c r="A73" t="str">
        <f>IF('Master Sheet'!C74="Area 7 (Anu R)",'Master Sheet'!A74,"")</f>
        <v/>
      </c>
      <c r="B73" t="str">
        <f>IF('Master Sheet'!C74="Area 7 (Anu R)",'Master Sheet'!B74,"")</f>
        <v/>
      </c>
      <c r="C73" t="s">
        <v>10</v>
      </c>
      <c r="D73" t="str">
        <f>IF('Master Sheet'!C74="Area 7 (Anu R)",'Master Sheet'!D74,"")</f>
        <v/>
      </c>
      <c r="E73" t="str">
        <f>IF('Master Sheet'!C74="Area 7 (Anu R)",'Master Sheet'!E74,"")</f>
        <v/>
      </c>
      <c r="F73" t="str">
        <f>IF('Master Sheet'!C74="Area 7 (Anu R)",'Master Sheet'!F74,"")</f>
        <v/>
      </c>
      <c r="G73" t="str">
        <f>IF('Master Sheet'!C74="Area 7 (Anu R)",'Master Sheet'!G74,"")</f>
        <v/>
      </c>
      <c r="H73" t="str">
        <f>IF('Master Sheet'!C74="Area 7 (Anu R)",'Master Sheet'!H74,"")</f>
        <v/>
      </c>
      <c r="I73" t="str">
        <f>IF('Master Sheet'!C74="Area 7 (Anu R)",'Master Sheet'!I74,"")</f>
        <v/>
      </c>
      <c r="J73" t="str">
        <f>IF('Master Sheet'!C74="Area 7 (Anu R)",'Master Sheet'!J74,"")</f>
        <v/>
      </c>
      <c r="K73" t="str">
        <f>IF('Master Sheet'!C74="Area 7 (Anu R)",'Master Sheet'!K74,"")</f>
        <v/>
      </c>
      <c r="L73" t="str">
        <f>IF('Master Sheet'!C74="Area 7 (Anu R)",'Master Sheet'!L74,"")</f>
        <v/>
      </c>
      <c r="M73" t="str">
        <f>IF('Master Sheet'!C74="Area 7 (Anu R)",'Master Sheet'!M74,"")</f>
        <v/>
      </c>
      <c r="N73" t="str">
        <f>IF('Master Sheet'!C74="Area 7 (Anu R)",'Master Sheet'!N74,"")</f>
        <v/>
      </c>
      <c r="O73" t="str">
        <f>IF('Master Sheet'!C74="Area 7 (Anu R)",'Master Sheet'!O74,"")</f>
        <v/>
      </c>
      <c r="P73" t="str">
        <f>IF('Master Sheet'!C74="Area 7 (Anu R)",'Master Sheet'!P74,"")</f>
        <v/>
      </c>
    </row>
    <row r="74" spans="1:16" hidden="1" x14ac:dyDescent="0.25">
      <c r="A74" t="str">
        <f>IF('Master Sheet'!C75="Area 7 (Anu R)",'Master Sheet'!A75,"")</f>
        <v/>
      </c>
      <c r="B74" t="str">
        <f>IF('Master Sheet'!C75="Area 7 (Anu R)",'Master Sheet'!B75,"")</f>
        <v/>
      </c>
      <c r="C74" t="s">
        <v>10</v>
      </c>
      <c r="D74" t="str">
        <f>IF('Master Sheet'!C75="Area 7 (Anu R)",'Master Sheet'!D75,"")</f>
        <v/>
      </c>
      <c r="E74" t="str">
        <f>IF('Master Sheet'!C75="Area 7 (Anu R)",'Master Sheet'!E75,"")</f>
        <v/>
      </c>
      <c r="F74" t="str">
        <f>IF('Master Sheet'!C75="Area 7 (Anu R)",'Master Sheet'!F75,"")</f>
        <v/>
      </c>
      <c r="G74" t="str">
        <f>IF('Master Sheet'!C75="Area 7 (Anu R)",'Master Sheet'!G75,"")</f>
        <v/>
      </c>
      <c r="H74" t="str">
        <f>IF('Master Sheet'!C75="Area 7 (Anu R)",'Master Sheet'!H75,"")</f>
        <v/>
      </c>
      <c r="I74" t="str">
        <f>IF('Master Sheet'!C75="Area 7 (Anu R)",'Master Sheet'!I75,"")</f>
        <v/>
      </c>
      <c r="J74" t="str">
        <f>IF('Master Sheet'!C75="Area 7 (Anu R)",'Master Sheet'!J75,"")</f>
        <v/>
      </c>
      <c r="K74" t="str">
        <f>IF('Master Sheet'!C75="Area 7 (Anu R)",'Master Sheet'!K75,"")</f>
        <v/>
      </c>
      <c r="L74" t="str">
        <f>IF('Master Sheet'!C75="Area 7 (Anu R)",'Master Sheet'!L75,"")</f>
        <v/>
      </c>
      <c r="M74" t="str">
        <f>IF('Master Sheet'!C75="Area 7 (Anu R)",'Master Sheet'!M75,"")</f>
        <v/>
      </c>
      <c r="N74" t="str">
        <f>IF('Master Sheet'!C75="Area 7 (Anu R)",'Master Sheet'!N75,"")</f>
        <v/>
      </c>
      <c r="O74" t="str">
        <f>IF('Master Sheet'!C75="Area 7 (Anu R)",'Master Sheet'!O75,"")</f>
        <v/>
      </c>
      <c r="P74" t="str">
        <f>IF('Master Sheet'!C75="Area 7 (Anu R)",'Master Sheet'!P75,"")</f>
        <v/>
      </c>
    </row>
    <row r="75" spans="1:16" hidden="1" x14ac:dyDescent="0.25">
      <c r="A75" t="str">
        <f>IF('Master Sheet'!C76="Area 7 (Anu R)",'Master Sheet'!A76,"")</f>
        <v/>
      </c>
      <c r="B75" t="str">
        <f>IF('Master Sheet'!C76="Area 7 (Anu R)",'Master Sheet'!B76,"")</f>
        <v/>
      </c>
      <c r="C75" t="s">
        <v>10</v>
      </c>
      <c r="D75" t="str">
        <f>IF('Master Sheet'!C76="Area 7 (Anu R)",'Master Sheet'!D76,"")</f>
        <v/>
      </c>
      <c r="E75" t="str">
        <f>IF('Master Sheet'!C76="Area 7 (Anu R)",'Master Sheet'!E76,"")</f>
        <v/>
      </c>
      <c r="F75" t="str">
        <f>IF('Master Sheet'!C76="Area 7 (Anu R)",'Master Sheet'!F76,"")</f>
        <v/>
      </c>
      <c r="G75" t="str">
        <f>IF('Master Sheet'!C76="Area 7 (Anu R)",'Master Sheet'!G76,"")</f>
        <v/>
      </c>
      <c r="H75" t="str">
        <f>IF('Master Sheet'!C76="Area 7 (Anu R)",'Master Sheet'!H76,"")</f>
        <v/>
      </c>
      <c r="I75" t="str">
        <f>IF('Master Sheet'!C76="Area 7 (Anu R)",'Master Sheet'!I76,"")</f>
        <v/>
      </c>
      <c r="J75" t="str">
        <f>IF('Master Sheet'!C76="Area 7 (Anu R)",'Master Sheet'!J76,"")</f>
        <v/>
      </c>
      <c r="K75" t="str">
        <f>IF('Master Sheet'!C76="Area 7 (Anu R)",'Master Sheet'!K76,"")</f>
        <v/>
      </c>
      <c r="L75" t="str">
        <f>IF('Master Sheet'!C76="Area 7 (Anu R)",'Master Sheet'!L76,"")</f>
        <v/>
      </c>
      <c r="M75" t="str">
        <f>IF('Master Sheet'!C76="Area 7 (Anu R)",'Master Sheet'!M76,"")</f>
        <v/>
      </c>
      <c r="N75" t="str">
        <f>IF('Master Sheet'!C76="Area 7 (Anu R)",'Master Sheet'!N76,"")</f>
        <v/>
      </c>
      <c r="O75" t="str">
        <f>IF('Master Sheet'!C76="Area 7 (Anu R)",'Master Sheet'!O76,"")</f>
        <v/>
      </c>
      <c r="P75" t="str">
        <f>IF('Master Sheet'!C76="Area 7 (Anu R)",'Master Sheet'!P76,"")</f>
        <v/>
      </c>
    </row>
    <row r="76" spans="1:16" hidden="1" x14ac:dyDescent="0.25">
      <c r="A76" t="str">
        <f>IF('Master Sheet'!C77="Area 7 (Anu R)",'Master Sheet'!A77,"")</f>
        <v/>
      </c>
      <c r="B76" t="str">
        <f>IF('Master Sheet'!C77="Area 7 (Anu R)",'Master Sheet'!B77,"")</f>
        <v/>
      </c>
      <c r="C76" t="s">
        <v>10</v>
      </c>
      <c r="D76" t="str">
        <f>IF('Master Sheet'!C77="Area 7 (Anu R)",'Master Sheet'!D77,"")</f>
        <v/>
      </c>
      <c r="E76" t="str">
        <f>IF('Master Sheet'!C77="Area 7 (Anu R)",'Master Sheet'!E77,"")</f>
        <v/>
      </c>
      <c r="F76" t="str">
        <f>IF('Master Sheet'!C77="Area 7 (Anu R)",'Master Sheet'!F77,"")</f>
        <v/>
      </c>
      <c r="G76" t="str">
        <f>IF('Master Sheet'!C77="Area 7 (Anu R)",'Master Sheet'!G77,"")</f>
        <v/>
      </c>
      <c r="H76" t="str">
        <f>IF('Master Sheet'!C77="Area 7 (Anu R)",'Master Sheet'!H77,"")</f>
        <v/>
      </c>
      <c r="I76" t="str">
        <f>IF('Master Sheet'!C77="Area 7 (Anu R)",'Master Sheet'!I77,"")</f>
        <v/>
      </c>
      <c r="J76" t="str">
        <f>IF('Master Sheet'!C77="Area 7 (Anu R)",'Master Sheet'!J77,"")</f>
        <v/>
      </c>
      <c r="K76" t="str">
        <f>IF('Master Sheet'!C77="Area 7 (Anu R)",'Master Sheet'!K77,"")</f>
        <v/>
      </c>
      <c r="L76" t="str">
        <f>IF('Master Sheet'!C77="Area 7 (Anu R)",'Master Sheet'!L77,"")</f>
        <v/>
      </c>
      <c r="M76" t="str">
        <f>IF('Master Sheet'!C77="Area 7 (Anu R)",'Master Sheet'!M77,"")</f>
        <v/>
      </c>
      <c r="N76" t="str">
        <f>IF('Master Sheet'!C77="Area 7 (Anu R)",'Master Sheet'!N77,"")</f>
        <v/>
      </c>
      <c r="O76" t="str">
        <f>IF('Master Sheet'!C77="Area 7 (Anu R)",'Master Sheet'!O77,"")</f>
        <v/>
      </c>
      <c r="P76" t="str">
        <f>IF('Master Sheet'!C77="Area 7 (Anu R)",'Master Sheet'!P77,"")</f>
        <v/>
      </c>
    </row>
    <row r="77" spans="1:16" hidden="1" x14ac:dyDescent="0.25">
      <c r="A77" t="str">
        <f>IF('Master Sheet'!C78="Area 7 (Anu R)",'Master Sheet'!A78,"")</f>
        <v/>
      </c>
      <c r="B77" t="str">
        <f>IF('Master Sheet'!C78="Area 7 (Anu R)",'Master Sheet'!B78,"")</f>
        <v/>
      </c>
      <c r="C77" t="s">
        <v>10</v>
      </c>
      <c r="D77" t="str">
        <f>IF('Master Sheet'!C78="Area 7 (Anu R)",'Master Sheet'!D78,"")</f>
        <v/>
      </c>
      <c r="E77" t="str">
        <f>IF('Master Sheet'!C78="Area 7 (Anu R)",'Master Sheet'!E78,"")</f>
        <v/>
      </c>
      <c r="F77" t="str">
        <f>IF('Master Sheet'!C78="Area 7 (Anu R)",'Master Sheet'!F78,"")</f>
        <v/>
      </c>
      <c r="G77" t="str">
        <f>IF('Master Sheet'!C78="Area 7 (Anu R)",'Master Sheet'!G78,"")</f>
        <v/>
      </c>
      <c r="H77" t="str">
        <f>IF('Master Sheet'!C78="Area 7 (Anu R)",'Master Sheet'!H78,"")</f>
        <v/>
      </c>
      <c r="I77" t="str">
        <f>IF('Master Sheet'!C78="Area 7 (Anu R)",'Master Sheet'!I78,"")</f>
        <v/>
      </c>
      <c r="J77" t="str">
        <f>IF('Master Sheet'!C78="Area 7 (Anu R)",'Master Sheet'!J78,"")</f>
        <v/>
      </c>
      <c r="K77" t="str">
        <f>IF('Master Sheet'!C78="Area 7 (Anu R)",'Master Sheet'!K78,"")</f>
        <v/>
      </c>
      <c r="L77" t="str">
        <f>IF('Master Sheet'!C78="Area 7 (Anu R)",'Master Sheet'!L78,"")</f>
        <v/>
      </c>
      <c r="M77" t="str">
        <f>IF('Master Sheet'!C78="Area 7 (Anu R)",'Master Sheet'!M78,"")</f>
        <v/>
      </c>
      <c r="N77" t="str">
        <f>IF('Master Sheet'!C78="Area 7 (Anu R)",'Master Sheet'!N78,"")</f>
        <v/>
      </c>
      <c r="O77" t="str">
        <f>IF('Master Sheet'!C78="Area 7 (Anu R)",'Master Sheet'!O78,"")</f>
        <v/>
      </c>
      <c r="P77" t="str">
        <f>IF('Master Sheet'!C78="Area 7 (Anu R)",'Master Sheet'!P78,"")</f>
        <v/>
      </c>
    </row>
    <row r="78" spans="1:16" hidden="1" x14ac:dyDescent="0.25">
      <c r="A78" t="str">
        <f>IF('Master Sheet'!C79="Area 7 (Anu R)",'Master Sheet'!A79,"")</f>
        <v/>
      </c>
      <c r="B78" t="str">
        <f>IF('Master Sheet'!C79="Area 7 (Anu R)",'Master Sheet'!B79,"")</f>
        <v/>
      </c>
      <c r="C78" t="s">
        <v>10</v>
      </c>
      <c r="D78" t="str">
        <f>IF('Master Sheet'!C79="Area 7 (Anu R)",'Master Sheet'!D79,"")</f>
        <v/>
      </c>
      <c r="E78" t="str">
        <f>IF('Master Sheet'!C79="Area 7 (Anu R)",'Master Sheet'!E79,"")</f>
        <v/>
      </c>
      <c r="F78" t="str">
        <f>IF('Master Sheet'!C79="Area 7 (Anu R)",'Master Sheet'!F79,"")</f>
        <v/>
      </c>
      <c r="G78" t="str">
        <f>IF('Master Sheet'!C79="Area 7 (Anu R)",'Master Sheet'!G79,"")</f>
        <v/>
      </c>
      <c r="H78" t="str">
        <f>IF('Master Sheet'!C79="Area 7 (Anu R)",'Master Sheet'!H79,"")</f>
        <v/>
      </c>
      <c r="I78" t="str">
        <f>IF('Master Sheet'!C79="Area 7 (Anu R)",'Master Sheet'!I79,"")</f>
        <v/>
      </c>
      <c r="J78" t="str">
        <f>IF('Master Sheet'!C79="Area 7 (Anu R)",'Master Sheet'!J79,"")</f>
        <v/>
      </c>
      <c r="K78" t="str">
        <f>IF('Master Sheet'!C79="Area 7 (Anu R)",'Master Sheet'!K79,"")</f>
        <v/>
      </c>
      <c r="L78" t="str">
        <f>IF('Master Sheet'!C79="Area 7 (Anu R)",'Master Sheet'!L79,"")</f>
        <v/>
      </c>
      <c r="M78" t="str">
        <f>IF('Master Sheet'!C79="Area 7 (Anu R)",'Master Sheet'!M79,"")</f>
        <v/>
      </c>
      <c r="N78" t="str">
        <f>IF('Master Sheet'!C79="Area 7 (Anu R)",'Master Sheet'!N79,"")</f>
        <v/>
      </c>
      <c r="O78" t="str">
        <f>IF('Master Sheet'!C79="Area 7 (Anu R)",'Master Sheet'!O79,"")</f>
        <v/>
      </c>
      <c r="P78" t="str">
        <f>IF('Master Sheet'!C79="Area 7 (Anu R)",'Master Sheet'!P79,"")</f>
        <v/>
      </c>
    </row>
    <row r="79" spans="1:16" hidden="1" x14ac:dyDescent="0.25">
      <c r="A79" t="str">
        <f>IF('Master Sheet'!C80="Area 7 (Anu R)",'Master Sheet'!A80,"")</f>
        <v/>
      </c>
      <c r="B79" t="str">
        <f>IF('Master Sheet'!C80="Area 7 (Anu R)",'Master Sheet'!B80,"")</f>
        <v/>
      </c>
      <c r="C79" t="s">
        <v>10</v>
      </c>
      <c r="D79" t="str">
        <f>IF('Master Sheet'!C80="Area 7 (Anu R)",'Master Sheet'!D80,"")</f>
        <v/>
      </c>
      <c r="E79" t="str">
        <f>IF('Master Sheet'!C80="Area 7 (Anu R)",'Master Sheet'!E80,"")</f>
        <v/>
      </c>
      <c r="F79" t="str">
        <f>IF('Master Sheet'!C80="Area 7 (Anu R)",'Master Sheet'!F80,"")</f>
        <v/>
      </c>
      <c r="G79" t="str">
        <f>IF('Master Sheet'!C80="Area 7 (Anu R)",'Master Sheet'!G80,"")</f>
        <v/>
      </c>
      <c r="H79" t="str">
        <f>IF('Master Sheet'!C80="Area 7 (Anu R)",'Master Sheet'!H80,"")</f>
        <v/>
      </c>
      <c r="I79" t="str">
        <f>IF('Master Sheet'!C80="Area 7 (Anu R)",'Master Sheet'!I80,"")</f>
        <v/>
      </c>
      <c r="J79" t="str">
        <f>IF('Master Sheet'!C80="Area 7 (Anu R)",'Master Sheet'!J80,"")</f>
        <v/>
      </c>
      <c r="K79" t="str">
        <f>IF('Master Sheet'!C80="Area 7 (Anu R)",'Master Sheet'!K80,"")</f>
        <v/>
      </c>
      <c r="L79" t="str">
        <f>IF('Master Sheet'!C80="Area 7 (Anu R)",'Master Sheet'!L80,"")</f>
        <v/>
      </c>
      <c r="M79" t="str">
        <f>IF('Master Sheet'!C80="Area 7 (Anu R)",'Master Sheet'!M80,"")</f>
        <v/>
      </c>
      <c r="N79" t="str">
        <f>IF('Master Sheet'!C80="Area 7 (Anu R)",'Master Sheet'!N80,"")</f>
        <v/>
      </c>
      <c r="O79" t="str">
        <f>IF('Master Sheet'!C80="Area 7 (Anu R)",'Master Sheet'!O80,"")</f>
        <v/>
      </c>
      <c r="P79" t="str">
        <f>IF('Master Sheet'!C80="Area 7 (Anu R)",'Master Sheet'!P80,"")</f>
        <v/>
      </c>
    </row>
    <row r="80" spans="1:16" hidden="1" x14ac:dyDescent="0.25">
      <c r="A80" t="str">
        <f>IF('Master Sheet'!C81="Area 7 (Anu R)",'Master Sheet'!A81,"")</f>
        <v/>
      </c>
      <c r="B80" t="str">
        <f>IF('Master Sheet'!C81="Area 7 (Anu R)",'Master Sheet'!B81,"")</f>
        <v/>
      </c>
      <c r="C80" t="s">
        <v>10</v>
      </c>
      <c r="D80" t="str">
        <f>IF('Master Sheet'!C81="Area 7 (Anu R)",'Master Sheet'!D81,"")</f>
        <v/>
      </c>
      <c r="E80" t="str">
        <f>IF('Master Sheet'!C81="Area 7 (Anu R)",'Master Sheet'!E81,"")</f>
        <v/>
      </c>
      <c r="F80" t="str">
        <f>IF('Master Sheet'!C81="Area 7 (Anu R)",'Master Sheet'!F81,"")</f>
        <v/>
      </c>
      <c r="G80" t="str">
        <f>IF('Master Sheet'!C81="Area 7 (Anu R)",'Master Sheet'!G81,"")</f>
        <v/>
      </c>
      <c r="H80" t="str">
        <f>IF('Master Sheet'!C81="Area 7 (Anu R)",'Master Sheet'!H81,"")</f>
        <v/>
      </c>
      <c r="I80" t="str">
        <f>IF('Master Sheet'!C81="Area 7 (Anu R)",'Master Sheet'!I81,"")</f>
        <v/>
      </c>
      <c r="J80" t="str">
        <f>IF('Master Sheet'!C81="Area 7 (Anu R)",'Master Sheet'!J81,"")</f>
        <v/>
      </c>
      <c r="K80" t="str">
        <f>IF('Master Sheet'!C81="Area 7 (Anu R)",'Master Sheet'!K81,"")</f>
        <v/>
      </c>
      <c r="L80" t="str">
        <f>IF('Master Sheet'!C81="Area 7 (Anu R)",'Master Sheet'!L81,"")</f>
        <v/>
      </c>
      <c r="M80" t="str">
        <f>IF('Master Sheet'!C81="Area 7 (Anu R)",'Master Sheet'!M81,"")</f>
        <v/>
      </c>
      <c r="N80" t="str">
        <f>IF('Master Sheet'!C81="Area 7 (Anu R)",'Master Sheet'!N81,"")</f>
        <v/>
      </c>
      <c r="O80" t="str">
        <f>IF('Master Sheet'!C81="Area 7 (Anu R)",'Master Sheet'!O81,"")</f>
        <v/>
      </c>
      <c r="P80" t="str">
        <f>IF('Master Sheet'!C81="Area 7 (Anu R)",'Master Sheet'!P81,"")</f>
        <v/>
      </c>
    </row>
    <row r="81" spans="1:16" hidden="1" x14ac:dyDescent="0.25">
      <c r="A81" t="str">
        <f>IF('Master Sheet'!C82="Area 7 (Anu R)",'Master Sheet'!A82,"")</f>
        <v/>
      </c>
      <c r="B81" t="str">
        <f>IF('Master Sheet'!C82="Area 7 (Anu R)",'Master Sheet'!B82,"")</f>
        <v/>
      </c>
      <c r="C81" t="s">
        <v>10</v>
      </c>
      <c r="D81" t="str">
        <f>IF('Master Sheet'!C82="Area 7 (Anu R)",'Master Sheet'!D82,"")</f>
        <v/>
      </c>
      <c r="E81" t="str">
        <f>IF('Master Sheet'!C82="Area 7 (Anu R)",'Master Sheet'!E82,"")</f>
        <v/>
      </c>
      <c r="F81" t="str">
        <f>IF('Master Sheet'!C82="Area 7 (Anu R)",'Master Sheet'!F82,"")</f>
        <v/>
      </c>
      <c r="G81" t="str">
        <f>IF('Master Sheet'!C82="Area 7 (Anu R)",'Master Sheet'!G82,"")</f>
        <v/>
      </c>
      <c r="H81" t="str">
        <f>IF('Master Sheet'!C82="Area 7 (Anu R)",'Master Sheet'!H82,"")</f>
        <v/>
      </c>
      <c r="I81" t="str">
        <f>IF('Master Sheet'!C82="Area 7 (Anu R)",'Master Sheet'!I82,"")</f>
        <v/>
      </c>
      <c r="J81" t="str">
        <f>IF('Master Sheet'!C82="Area 7 (Anu R)",'Master Sheet'!J82,"")</f>
        <v/>
      </c>
      <c r="K81" t="str">
        <f>IF('Master Sheet'!C82="Area 7 (Anu R)",'Master Sheet'!K82,"")</f>
        <v/>
      </c>
      <c r="L81" t="str">
        <f>IF('Master Sheet'!C82="Area 7 (Anu R)",'Master Sheet'!L82,"")</f>
        <v/>
      </c>
      <c r="M81" t="str">
        <f>IF('Master Sheet'!C82="Area 7 (Anu R)",'Master Sheet'!M82,"")</f>
        <v/>
      </c>
      <c r="N81" t="str">
        <f>IF('Master Sheet'!C82="Area 7 (Anu R)",'Master Sheet'!N82,"")</f>
        <v/>
      </c>
      <c r="O81" t="str">
        <f>IF('Master Sheet'!C82="Area 7 (Anu R)",'Master Sheet'!O82,"")</f>
        <v/>
      </c>
      <c r="P81" t="str">
        <f>IF('Master Sheet'!C82="Area 7 (Anu R)",'Master Sheet'!P82,"")</f>
        <v/>
      </c>
    </row>
    <row r="82" spans="1:16" hidden="1" x14ac:dyDescent="0.25">
      <c r="A82" t="str">
        <f>IF('Master Sheet'!C83="Area 7 (Anu R)",'Master Sheet'!A83,"")</f>
        <v/>
      </c>
      <c r="B82" t="str">
        <f>IF('Master Sheet'!C83="Area 7 (Anu R)",'Master Sheet'!B83,"")</f>
        <v/>
      </c>
      <c r="C82" t="s">
        <v>10</v>
      </c>
      <c r="D82" t="str">
        <f>IF('Master Sheet'!C83="Area 7 (Anu R)",'Master Sheet'!D83,"")</f>
        <v/>
      </c>
      <c r="E82" t="str">
        <f>IF('Master Sheet'!C83="Area 7 (Anu R)",'Master Sheet'!E83,"")</f>
        <v/>
      </c>
      <c r="F82" t="str">
        <f>IF('Master Sheet'!C83="Area 7 (Anu R)",'Master Sheet'!F83,"")</f>
        <v/>
      </c>
      <c r="G82" t="str">
        <f>IF('Master Sheet'!C83="Area 7 (Anu R)",'Master Sheet'!G83,"")</f>
        <v/>
      </c>
      <c r="H82" t="str">
        <f>IF('Master Sheet'!C83="Area 7 (Anu R)",'Master Sheet'!H83,"")</f>
        <v/>
      </c>
      <c r="I82" t="str">
        <f>IF('Master Sheet'!C83="Area 7 (Anu R)",'Master Sheet'!I83,"")</f>
        <v/>
      </c>
      <c r="J82" t="str">
        <f>IF('Master Sheet'!C83="Area 7 (Anu R)",'Master Sheet'!J83,"")</f>
        <v/>
      </c>
      <c r="K82" t="str">
        <f>IF('Master Sheet'!C83="Area 7 (Anu R)",'Master Sheet'!K83,"")</f>
        <v/>
      </c>
      <c r="L82" t="str">
        <f>IF('Master Sheet'!C83="Area 7 (Anu R)",'Master Sheet'!L83,"")</f>
        <v/>
      </c>
      <c r="M82" t="str">
        <f>IF('Master Sheet'!C83="Area 7 (Anu R)",'Master Sheet'!M83,"")</f>
        <v/>
      </c>
      <c r="N82" t="str">
        <f>IF('Master Sheet'!C83="Area 7 (Anu R)",'Master Sheet'!N83,"")</f>
        <v/>
      </c>
      <c r="O82" t="str">
        <f>IF('Master Sheet'!C83="Area 7 (Anu R)",'Master Sheet'!O83,"")</f>
        <v/>
      </c>
      <c r="P82" t="str">
        <f>IF('Master Sheet'!C83="Area 7 (Anu R)",'Master Sheet'!P83,"")</f>
        <v/>
      </c>
    </row>
    <row r="83" spans="1:16" hidden="1" x14ac:dyDescent="0.25">
      <c r="A83" t="str">
        <f>IF('Master Sheet'!C84="Area 7 (Anu R)",'Master Sheet'!A84,"")</f>
        <v/>
      </c>
      <c r="B83" t="str">
        <f>IF('Master Sheet'!C84="Area 7 (Anu R)",'Master Sheet'!B84,"")</f>
        <v/>
      </c>
      <c r="C83" t="s">
        <v>10</v>
      </c>
      <c r="D83" t="str">
        <f>IF('Master Sheet'!C84="Area 7 (Anu R)",'Master Sheet'!D84,"")</f>
        <v/>
      </c>
      <c r="E83" t="str">
        <f>IF('Master Sheet'!C84="Area 7 (Anu R)",'Master Sheet'!E84,"")</f>
        <v/>
      </c>
      <c r="F83" t="str">
        <f>IF('Master Sheet'!C84="Area 7 (Anu R)",'Master Sheet'!F84,"")</f>
        <v/>
      </c>
      <c r="G83" t="str">
        <f>IF('Master Sheet'!C84="Area 7 (Anu R)",'Master Sheet'!G84,"")</f>
        <v/>
      </c>
      <c r="H83" t="str">
        <f>IF('Master Sheet'!C84="Area 7 (Anu R)",'Master Sheet'!H84,"")</f>
        <v/>
      </c>
      <c r="I83" t="str">
        <f>IF('Master Sheet'!C84="Area 7 (Anu R)",'Master Sheet'!I84,"")</f>
        <v/>
      </c>
      <c r="J83" t="str">
        <f>IF('Master Sheet'!C84="Area 7 (Anu R)",'Master Sheet'!J84,"")</f>
        <v/>
      </c>
      <c r="K83" t="str">
        <f>IF('Master Sheet'!C84="Area 7 (Anu R)",'Master Sheet'!K84,"")</f>
        <v/>
      </c>
      <c r="L83" t="str">
        <f>IF('Master Sheet'!C84="Area 7 (Anu R)",'Master Sheet'!L84,"")</f>
        <v/>
      </c>
      <c r="M83" t="str">
        <f>IF('Master Sheet'!C84="Area 7 (Anu R)",'Master Sheet'!M84,"")</f>
        <v/>
      </c>
      <c r="N83" t="str">
        <f>IF('Master Sheet'!C84="Area 7 (Anu R)",'Master Sheet'!N84,"")</f>
        <v/>
      </c>
      <c r="O83" t="str">
        <f>IF('Master Sheet'!C84="Area 7 (Anu R)",'Master Sheet'!O84,"")</f>
        <v/>
      </c>
      <c r="P83" t="str">
        <f>IF('Master Sheet'!C84="Area 7 (Anu R)",'Master Sheet'!P84,"")</f>
        <v/>
      </c>
    </row>
    <row r="84" spans="1:16" hidden="1" x14ac:dyDescent="0.25">
      <c r="A84" t="str">
        <f>IF('Master Sheet'!C85="Area 7 (Anu R)",'Master Sheet'!A85,"")</f>
        <v/>
      </c>
      <c r="B84" t="str">
        <f>IF('Master Sheet'!C85="Area 7 (Anu R)",'Master Sheet'!B85,"")</f>
        <v/>
      </c>
      <c r="C84" t="s">
        <v>10</v>
      </c>
      <c r="D84" t="str">
        <f>IF('Master Sheet'!C85="Area 7 (Anu R)",'Master Sheet'!D85,"")</f>
        <v/>
      </c>
      <c r="E84" t="str">
        <f>IF('Master Sheet'!C85="Area 7 (Anu R)",'Master Sheet'!E85,"")</f>
        <v/>
      </c>
      <c r="F84" t="str">
        <f>IF('Master Sheet'!C85="Area 7 (Anu R)",'Master Sheet'!F85,"")</f>
        <v/>
      </c>
      <c r="G84" t="str">
        <f>IF('Master Sheet'!C85="Area 7 (Anu R)",'Master Sheet'!G85,"")</f>
        <v/>
      </c>
      <c r="H84" t="str">
        <f>IF('Master Sheet'!C85="Area 7 (Anu R)",'Master Sheet'!H85,"")</f>
        <v/>
      </c>
      <c r="I84" t="str">
        <f>IF('Master Sheet'!C85="Area 7 (Anu R)",'Master Sheet'!I85,"")</f>
        <v/>
      </c>
      <c r="J84" t="str">
        <f>IF('Master Sheet'!C85="Area 7 (Anu R)",'Master Sheet'!J85,"")</f>
        <v/>
      </c>
      <c r="K84" t="str">
        <f>IF('Master Sheet'!C85="Area 7 (Anu R)",'Master Sheet'!K85,"")</f>
        <v/>
      </c>
      <c r="L84" t="str">
        <f>IF('Master Sheet'!C85="Area 7 (Anu R)",'Master Sheet'!L85,"")</f>
        <v/>
      </c>
      <c r="M84" t="str">
        <f>IF('Master Sheet'!C85="Area 7 (Anu R)",'Master Sheet'!M85,"")</f>
        <v/>
      </c>
      <c r="N84" t="str">
        <f>IF('Master Sheet'!C85="Area 7 (Anu R)",'Master Sheet'!N85,"")</f>
        <v/>
      </c>
      <c r="O84" t="str">
        <f>IF('Master Sheet'!C85="Area 7 (Anu R)",'Master Sheet'!O85,"")</f>
        <v/>
      </c>
      <c r="P84" t="str">
        <f>IF('Master Sheet'!C85="Area 7 (Anu R)",'Master Sheet'!P85,"")</f>
        <v/>
      </c>
    </row>
    <row r="85" spans="1:16" hidden="1" x14ac:dyDescent="0.25">
      <c r="A85" t="str">
        <f>IF('Master Sheet'!C86="Area 7 (Anu R)",'Master Sheet'!A86,"")</f>
        <v/>
      </c>
      <c r="B85" t="str">
        <f>IF('Master Sheet'!C86="Area 7 (Anu R)",'Master Sheet'!B86,"")</f>
        <v/>
      </c>
      <c r="C85" t="s">
        <v>10</v>
      </c>
      <c r="D85" t="str">
        <f>IF('Master Sheet'!C86="Area 7 (Anu R)",'Master Sheet'!D86,"")</f>
        <v/>
      </c>
      <c r="E85" t="str">
        <f>IF('Master Sheet'!C86="Area 7 (Anu R)",'Master Sheet'!E86,"")</f>
        <v/>
      </c>
      <c r="F85" t="str">
        <f>IF('Master Sheet'!C86="Area 7 (Anu R)",'Master Sheet'!F86,"")</f>
        <v/>
      </c>
      <c r="G85" t="str">
        <f>IF('Master Sheet'!C86="Area 7 (Anu R)",'Master Sheet'!G86,"")</f>
        <v/>
      </c>
      <c r="H85" t="str">
        <f>IF('Master Sheet'!C86="Area 7 (Anu R)",'Master Sheet'!H86,"")</f>
        <v/>
      </c>
      <c r="I85" t="str">
        <f>IF('Master Sheet'!C86="Area 7 (Anu R)",'Master Sheet'!I86,"")</f>
        <v/>
      </c>
      <c r="J85" t="str">
        <f>IF('Master Sheet'!C86="Area 7 (Anu R)",'Master Sheet'!J86,"")</f>
        <v/>
      </c>
      <c r="K85" t="str">
        <f>IF('Master Sheet'!C86="Area 7 (Anu R)",'Master Sheet'!K86,"")</f>
        <v/>
      </c>
      <c r="L85" t="str">
        <f>IF('Master Sheet'!C86="Area 7 (Anu R)",'Master Sheet'!L86,"")</f>
        <v/>
      </c>
      <c r="M85" t="str">
        <f>IF('Master Sheet'!C86="Area 7 (Anu R)",'Master Sheet'!M86,"")</f>
        <v/>
      </c>
      <c r="N85" t="str">
        <f>IF('Master Sheet'!C86="Area 7 (Anu R)",'Master Sheet'!N86,"")</f>
        <v/>
      </c>
      <c r="O85" t="str">
        <f>IF('Master Sheet'!C86="Area 7 (Anu R)",'Master Sheet'!O86,"")</f>
        <v/>
      </c>
      <c r="P85" t="str">
        <f>IF('Master Sheet'!C86="Area 7 (Anu R)",'Master Sheet'!P86,"")</f>
        <v/>
      </c>
    </row>
    <row r="86" spans="1:16" hidden="1" x14ac:dyDescent="0.25">
      <c r="A86" t="str">
        <f>IF('Master Sheet'!C87="Area 7 (Anu R)",'Master Sheet'!A87,"")</f>
        <v/>
      </c>
      <c r="B86" t="str">
        <f>IF('Master Sheet'!C87="Area 7 (Anu R)",'Master Sheet'!B87,"")</f>
        <v/>
      </c>
      <c r="C86" t="s">
        <v>10</v>
      </c>
      <c r="D86" t="str">
        <f>IF('Master Sheet'!C87="Area 7 (Anu R)",'Master Sheet'!D87,"")</f>
        <v/>
      </c>
      <c r="E86" t="str">
        <f>IF('Master Sheet'!C87="Area 7 (Anu R)",'Master Sheet'!E87,"")</f>
        <v/>
      </c>
      <c r="F86" t="str">
        <f>IF('Master Sheet'!C87="Area 7 (Anu R)",'Master Sheet'!F87,"")</f>
        <v/>
      </c>
      <c r="G86" t="str">
        <f>IF('Master Sheet'!C87="Area 7 (Anu R)",'Master Sheet'!G87,"")</f>
        <v/>
      </c>
      <c r="H86" t="str">
        <f>IF('Master Sheet'!C87="Area 7 (Anu R)",'Master Sheet'!H87,"")</f>
        <v/>
      </c>
      <c r="I86" t="str">
        <f>IF('Master Sheet'!C87="Area 7 (Anu R)",'Master Sheet'!I87,"")</f>
        <v/>
      </c>
      <c r="J86" t="str">
        <f>IF('Master Sheet'!C87="Area 7 (Anu R)",'Master Sheet'!J87,"")</f>
        <v/>
      </c>
      <c r="K86" t="str">
        <f>IF('Master Sheet'!C87="Area 7 (Anu R)",'Master Sheet'!K87,"")</f>
        <v/>
      </c>
      <c r="L86" t="str">
        <f>IF('Master Sheet'!C87="Area 7 (Anu R)",'Master Sheet'!L87,"")</f>
        <v/>
      </c>
      <c r="M86" t="str">
        <f>IF('Master Sheet'!C87="Area 7 (Anu R)",'Master Sheet'!M87,"")</f>
        <v/>
      </c>
      <c r="N86" t="str">
        <f>IF('Master Sheet'!C87="Area 7 (Anu R)",'Master Sheet'!N87,"")</f>
        <v/>
      </c>
      <c r="O86" t="str">
        <f>IF('Master Sheet'!C87="Area 7 (Anu R)",'Master Sheet'!O87,"")</f>
        <v/>
      </c>
      <c r="P86" t="str">
        <f>IF('Master Sheet'!C87="Area 7 (Anu R)",'Master Sheet'!P87,"")</f>
        <v/>
      </c>
    </row>
    <row r="87" spans="1:16" hidden="1" x14ac:dyDescent="0.25">
      <c r="A87" t="str">
        <f>IF('Master Sheet'!C88="Area 7 (Anu R)",'Master Sheet'!A88,"")</f>
        <v/>
      </c>
      <c r="B87" t="str">
        <f>IF('Master Sheet'!C88="Area 7 (Anu R)",'Master Sheet'!B88,"")</f>
        <v/>
      </c>
      <c r="C87" t="s">
        <v>10</v>
      </c>
      <c r="D87" t="str">
        <f>IF('Master Sheet'!C88="Area 7 (Anu R)",'Master Sheet'!D88,"")</f>
        <v/>
      </c>
      <c r="E87" t="str">
        <f>IF('Master Sheet'!C88="Area 7 (Anu R)",'Master Sheet'!E88,"")</f>
        <v/>
      </c>
      <c r="F87" t="str">
        <f>IF('Master Sheet'!C88="Area 7 (Anu R)",'Master Sheet'!F88,"")</f>
        <v/>
      </c>
      <c r="G87" t="str">
        <f>IF('Master Sheet'!C88="Area 7 (Anu R)",'Master Sheet'!G88,"")</f>
        <v/>
      </c>
      <c r="H87" t="str">
        <f>IF('Master Sheet'!C88="Area 7 (Anu R)",'Master Sheet'!H88,"")</f>
        <v/>
      </c>
      <c r="I87" t="str">
        <f>IF('Master Sheet'!C88="Area 7 (Anu R)",'Master Sheet'!I88,"")</f>
        <v/>
      </c>
      <c r="J87" t="str">
        <f>IF('Master Sheet'!C88="Area 7 (Anu R)",'Master Sheet'!J88,"")</f>
        <v/>
      </c>
      <c r="K87" t="str">
        <f>IF('Master Sheet'!C88="Area 7 (Anu R)",'Master Sheet'!K88,"")</f>
        <v/>
      </c>
      <c r="L87" t="str">
        <f>IF('Master Sheet'!C88="Area 7 (Anu R)",'Master Sheet'!L88,"")</f>
        <v/>
      </c>
      <c r="M87" t="str">
        <f>IF('Master Sheet'!C88="Area 7 (Anu R)",'Master Sheet'!M88,"")</f>
        <v/>
      </c>
      <c r="N87" t="str">
        <f>IF('Master Sheet'!C88="Area 7 (Anu R)",'Master Sheet'!N88,"")</f>
        <v/>
      </c>
      <c r="O87" t="str">
        <f>IF('Master Sheet'!C88="Area 7 (Anu R)",'Master Sheet'!O88,"")</f>
        <v/>
      </c>
      <c r="P87" t="str">
        <f>IF('Master Sheet'!C88="Area 7 (Anu R)",'Master Sheet'!P88,"")</f>
        <v/>
      </c>
    </row>
    <row r="88" spans="1:16" hidden="1" x14ac:dyDescent="0.25">
      <c r="A88" t="str">
        <f>IF('Master Sheet'!C89="Area 7 (Anu R)",'Master Sheet'!A89,"")</f>
        <v/>
      </c>
      <c r="B88" t="str">
        <f>IF('Master Sheet'!C89="Area 7 (Anu R)",'Master Sheet'!B89,"")</f>
        <v/>
      </c>
      <c r="C88" t="s">
        <v>10</v>
      </c>
      <c r="D88" t="str">
        <f>IF('Master Sheet'!C89="Area 7 (Anu R)",'Master Sheet'!D89,"")</f>
        <v/>
      </c>
      <c r="E88" t="str">
        <f>IF('Master Sheet'!C89="Area 7 (Anu R)",'Master Sheet'!E89,"")</f>
        <v/>
      </c>
      <c r="F88" t="str">
        <f>IF('Master Sheet'!C89="Area 7 (Anu R)",'Master Sheet'!F89,"")</f>
        <v/>
      </c>
      <c r="G88" t="str">
        <f>IF('Master Sheet'!C89="Area 7 (Anu R)",'Master Sheet'!G89,"")</f>
        <v/>
      </c>
      <c r="H88" t="str">
        <f>IF('Master Sheet'!C89="Area 7 (Anu R)",'Master Sheet'!H89,"")</f>
        <v/>
      </c>
      <c r="I88" t="str">
        <f>IF('Master Sheet'!C89="Area 7 (Anu R)",'Master Sheet'!I89,"")</f>
        <v/>
      </c>
      <c r="J88" t="str">
        <f>IF('Master Sheet'!C89="Area 7 (Anu R)",'Master Sheet'!J89,"")</f>
        <v/>
      </c>
      <c r="K88" t="str">
        <f>IF('Master Sheet'!C89="Area 7 (Anu R)",'Master Sheet'!K89,"")</f>
        <v/>
      </c>
      <c r="L88" t="str">
        <f>IF('Master Sheet'!C89="Area 7 (Anu R)",'Master Sheet'!L89,"")</f>
        <v/>
      </c>
      <c r="M88" t="str">
        <f>IF('Master Sheet'!C89="Area 7 (Anu R)",'Master Sheet'!M89,"")</f>
        <v/>
      </c>
      <c r="N88" t="str">
        <f>IF('Master Sheet'!C89="Area 7 (Anu R)",'Master Sheet'!N89,"")</f>
        <v/>
      </c>
      <c r="O88" t="str">
        <f>IF('Master Sheet'!C89="Area 7 (Anu R)",'Master Sheet'!O89,"")</f>
        <v/>
      </c>
      <c r="P88" t="str">
        <f>IF('Master Sheet'!C89="Area 7 (Anu R)",'Master Sheet'!P89,"")</f>
        <v/>
      </c>
    </row>
    <row r="89" spans="1:16" hidden="1" x14ac:dyDescent="0.25">
      <c r="A89" t="str">
        <f>IF('Master Sheet'!C90="Area 7 (Anu R)",'Master Sheet'!A90,"")</f>
        <v/>
      </c>
      <c r="B89" t="str">
        <f>IF('Master Sheet'!C90="Area 7 (Anu R)",'Master Sheet'!B90,"")</f>
        <v/>
      </c>
      <c r="C89" t="s">
        <v>10</v>
      </c>
      <c r="D89" t="str">
        <f>IF('Master Sheet'!C90="Area 7 (Anu R)",'Master Sheet'!D90,"")</f>
        <v/>
      </c>
      <c r="E89" t="str">
        <f>IF('Master Sheet'!C90="Area 7 (Anu R)",'Master Sheet'!E90,"")</f>
        <v/>
      </c>
      <c r="F89" t="str">
        <f>IF('Master Sheet'!C90="Area 7 (Anu R)",'Master Sheet'!F90,"")</f>
        <v/>
      </c>
      <c r="G89" t="str">
        <f>IF('Master Sheet'!C90="Area 7 (Anu R)",'Master Sheet'!G90,"")</f>
        <v/>
      </c>
      <c r="H89" t="str">
        <f>IF('Master Sheet'!C90="Area 7 (Anu R)",'Master Sheet'!H90,"")</f>
        <v/>
      </c>
      <c r="I89" t="str">
        <f>IF('Master Sheet'!C90="Area 7 (Anu R)",'Master Sheet'!I90,"")</f>
        <v/>
      </c>
      <c r="J89" t="str">
        <f>IF('Master Sheet'!C90="Area 7 (Anu R)",'Master Sheet'!J90,"")</f>
        <v/>
      </c>
      <c r="K89" t="str">
        <f>IF('Master Sheet'!C90="Area 7 (Anu R)",'Master Sheet'!K90,"")</f>
        <v/>
      </c>
      <c r="L89" t="str">
        <f>IF('Master Sheet'!C90="Area 7 (Anu R)",'Master Sheet'!L90,"")</f>
        <v/>
      </c>
      <c r="M89" t="str">
        <f>IF('Master Sheet'!C90="Area 7 (Anu R)",'Master Sheet'!M90,"")</f>
        <v/>
      </c>
      <c r="N89" t="str">
        <f>IF('Master Sheet'!C90="Area 7 (Anu R)",'Master Sheet'!N90,"")</f>
        <v/>
      </c>
      <c r="O89" t="str">
        <f>IF('Master Sheet'!C90="Area 7 (Anu R)",'Master Sheet'!O90,"")</f>
        <v/>
      </c>
      <c r="P89" t="str">
        <f>IF('Master Sheet'!C90="Area 7 (Anu R)",'Master Sheet'!P90,"")</f>
        <v/>
      </c>
    </row>
    <row r="90" spans="1:16" hidden="1" x14ac:dyDescent="0.25">
      <c r="A90" t="str">
        <f>IF('Master Sheet'!C91="Area 7 (Anu R)",'Master Sheet'!A91,"")</f>
        <v/>
      </c>
      <c r="B90" t="str">
        <f>IF('Master Sheet'!C91="Area 7 (Anu R)",'Master Sheet'!B91,"")</f>
        <v/>
      </c>
      <c r="C90" t="s">
        <v>10</v>
      </c>
      <c r="D90" t="str">
        <f>IF('Master Sheet'!C91="Area 7 (Anu R)",'Master Sheet'!D91,"")</f>
        <v/>
      </c>
      <c r="E90" t="str">
        <f>IF('Master Sheet'!C91="Area 7 (Anu R)",'Master Sheet'!E91,"")</f>
        <v/>
      </c>
      <c r="F90" t="str">
        <f>IF('Master Sheet'!C91="Area 7 (Anu R)",'Master Sheet'!F91,"")</f>
        <v/>
      </c>
      <c r="G90" t="str">
        <f>IF('Master Sheet'!C91="Area 7 (Anu R)",'Master Sheet'!G91,"")</f>
        <v/>
      </c>
      <c r="H90" t="str">
        <f>IF('Master Sheet'!C91="Area 7 (Anu R)",'Master Sheet'!H91,"")</f>
        <v/>
      </c>
      <c r="I90" t="str">
        <f>IF('Master Sheet'!C91="Area 7 (Anu R)",'Master Sheet'!I91,"")</f>
        <v/>
      </c>
      <c r="J90" t="str">
        <f>IF('Master Sheet'!C91="Area 7 (Anu R)",'Master Sheet'!J91,"")</f>
        <v/>
      </c>
      <c r="K90" t="str">
        <f>IF('Master Sheet'!C91="Area 7 (Anu R)",'Master Sheet'!K91,"")</f>
        <v/>
      </c>
      <c r="L90" t="str">
        <f>IF('Master Sheet'!C91="Area 7 (Anu R)",'Master Sheet'!L91,"")</f>
        <v/>
      </c>
      <c r="M90" t="str">
        <f>IF('Master Sheet'!C91="Area 7 (Anu R)",'Master Sheet'!M91,"")</f>
        <v/>
      </c>
      <c r="N90" t="str">
        <f>IF('Master Sheet'!C91="Area 7 (Anu R)",'Master Sheet'!N91,"")</f>
        <v/>
      </c>
      <c r="O90" t="str">
        <f>IF('Master Sheet'!C91="Area 7 (Anu R)",'Master Sheet'!O91,"")</f>
        <v/>
      </c>
      <c r="P90" t="str">
        <f>IF('Master Sheet'!C91="Area 7 (Anu R)",'Master Sheet'!P91,"")</f>
        <v/>
      </c>
    </row>
    <row r="91" spans="1:16" hidden="1" x14ac:dyDescent="0.25">
      <c r="A91" t="str">
        <f>IF('Master Sheet'!C92="Area 7 (Anu R)",'Master Sheet'!A92,"")</f>
        <v/>
      </c>
      <c r="B91" t="str">
        <f>IF('Master Sheet'!C92="Area 7 (Anu R)",'Master Sheet'!B92,"")</f>
        <v/>
      </c>
      <c r="C91" t="s">
        <v>10</v>
      </c>
      <c r="D91" t="str">
        <f>IF('Master Sheet'!C92="Area 7 (Anu R)",'Master Sheet'!D92,"")</f>
        <v/>
      </c>
      <c r="E91" t="str">
        <f>IF('Master Sheet'!C92="Area 7 (Anu R)",'Master Sheet'!E92,"")</f>
        <v/>
      </c>
      <c r="F91" t="str">
        <f>IF('Master Sheet'!C92="Area 7 (Anu R)",'Master Sheet'!F92,"")</f>
        <v/>
      </c>
      <c r="G91" t="str">
        <f>IF('Master Sheet'!C92="Area 7 (Anu R)",'Master Sheet'!G92,"")</f>
        <v/>
      </c>
      <c r="H91" t="str">
        <f>IF('Master Sheet'!C92="Area 7 (Anu R)",'Master Sheet'!H92,"")</f>
        <v/>
      </c>
      <c r="I91" t="str">
        <f>IF('Master Sheet'!C92="Area 7 (Anu R)",'Master Sheet'!I92,"")</f>
        <v/>
      </c>
      <c r="J91" t="str">
        <f>IF('Master Sheet'!C92="Area 7 (Anu R)",'Master Sheet'!J92,"")</f>
        <v/>
      </c>
      <c r="K91" t="str">
        <f>IF('Master Sheet'!C92="Area 7 (Anu R)",'Master Sheet'!K92,"")</f>
        <v/>
      </c>
      <c r="L91" t="str">
        <f>IF('Master Sheet'!C92="Area 7 (Anu R)",'Master Sheet'!L92,"")</f>
        <v/>
      </c>
      <c r="M91" t="str">
        <f>IF('Master Sheet'!C92="Area 7 (Anu R)",'Master Sheet'!M92,"")</f>
        <v/>
      </c>
      <c r="N91" t="str">
        <f>IF('Master Sheet'!C92="Area 7 (Anu R)",'Master Sheet'!N92,"")</f>
        <v/>
      </c>
      <c r="O91" t="str">
        <f>IF('Master Sheet'!C92="Area 7 (Anu R)",'Master Sheet'!O92,"")</f>
        <v/>
      </c>
      <c r="P91" t="str">
        <f>IF('Master Sheet'!C92="Area 7 (Anu R)",'Master Sheet'!P92,"")</f>
        <v/>
      </c>
    </row>
    <row r="92" spans="1:16" hidden="1" x14ac:dyDescent="0.25">
      <c r="A92" t="str">
        <f>IF('Master Sheet'!C93="Area 7 (Anu R)",'Master Sheet'!A93,"")</f>
        <v/>
      </c>
      <c r="B92" t="str">
        <f>IF('Master Sheet'!C93="Area 7 (Anu R)",'Master Sheet'!B93,"")</f>
        <v/>
      </c>
      <c r="C92" t="s">
        <v>10</v>
      </c>
      <c r="D92" t="str">
        <f>IF('Master Sheet'!C93="Area 7 (Anu R)",'Master Sheet'!D93,"")</f>
        <v/>
      </c>
      <c r="E92" t="str">
        <f>IF('Master Sheet'!C93="Area 7 (Anu R)",'Master Sheet'!E93,"")</f>
        <v/>
      </c>
      <c r="F92" t="str">
        <f>IF('Master Sheet'!C93="Area 7 (Anu R)",'Master Sheet'!F93,"")</f>
        <v/>
      </c>
      <c r="G92" t="str">
        <f>IF('Master Sheet'!C93="Area 7 (Anu R)",'Master Sheet'!G93,"")</f>
        <v/>
      </c>
      <c r="H92" t="str">
        <f>IF('Master Sheet'!C93="Area 7 (Anu R)",'Master Sheet'!H93,"")</f>
        <v/>
      </c>
      <c r="I92" t="str">
        <f>IF('Master Sheet'!C93="Area 7 (Anu R)",'Master Sheet'!I93,"")</f>
        <v/>
      </c>
      <c r="J92" t="str">
        <f>IF('Master Sheet'!C93="Area 7 (Anu R)",'Master Sheet'!J93,"")</f>
        <v/>
      </c>
      <c r="K92" t="str">
        <f>IF('Master Sheet'!C93="Area 7 (Anu R)",'Master Sheet'!K93,"")</f>
        <v/>
      </c>
      <c r="L92" t="str">
        <f>IF('Master Sheet'!C93="Area 7 (Anu R)",'Master Sheet'!L93,"")</f>
        <v/>
      </c>
      <c r="M92" t="str">
        <f>IF('Master Sheet'!C93="Area 7 (Anu R)",'Master Sheet'!M93,"")</f>
        <v/>
      </c>
      <c r="N92" t="str">
        <f>IF('Master Sheet'!C93="Area 7 (Anu R)",'Master Sheet'!N93,"")</f>
        <v/>
      </c>
      <c r="O92" t="str">
        <f>IF('Master Sheet'!C93="Area 7 (Anu R)",'Master Sheet'!O93,"")</f>
        <v/>
      </c>
      <c r="P92" t="str">
        <f>IF('Master Sheet'!C93="Area 7 (Anu R)",'Master Sheet'!P93,"")</f>
        <v/>
      </c>
    </row>
    <row r="93" spans="1:16" hidden="1" x14ac:dyDescent="0.25">
      <c r="A93" t="str">
        <f>IF('Master Sheet'!C94="Area 7 (Anu R)",'Master Sheet'!A94,"")</f>
        <v/>
      </c>
      <c r="B93" t="str">
        <f>IF('Master Sheet'!C94="Area 7 (Anu R)",'Master Sheet'!B94,"")</f>
        <v/>
      </c>
      <c r="C93" t="s">
        <v>10</v>
      </c>
      <c r="D93" t="str">
        <f>IF('Master Sheet'!C94="Area 7 (Anu R)",'Master Sheet'!D94,"")</f>
        <v/>
      </c>
      <c r="E93" t="str">
        <f>IF('Master Sheet'!C94="Area 7 (Anu R)",'Master Sheet'!E94,"")</f>
        <v/>
      </c>
      <c r="F93" t="str">
        <f>IF('Master Sheet'!C94="Area 7 (Anu R)",'Master Sheet'!F94,"")</f>
        <v/>
      </c>
      <c r="G93" t="str">
        <f>IF('Master Sheet'!C94="Area 7 (Anu R)",'Master Sheet'!G94,"")</f>
        <v/>
      </c>
      <c r="H93" t="str">
        <f>IF('Master Sheet'!C94="Area 7 (Anu R)",'Master Sheet'!H94,"")</f>
        <v/>
      </c>
      <c r="I93" t="str">
        <f>IF('Master Sheet'!C94="Area 7 (Anu R)",'Master Sheet'!I94,"")</f>
        <v/>
      </c>
      <c r="J93" t="str">
        <f>IF('Master Sheet'!C94="Area 7 (Anu R)",'Master Sheet'!J94,"")</f>
        <v/>
      </c>
      <c r="K93" t="str">
        <f>IF('Master Sheet'!C94="Area 7 (Anu R)",'Master Sheet'!K94,"")</f>
        <v/>
      </c>
      <c r="L93" t="str">
        <f>IF('Master Sheet'!C94="Area 7 (Anu R)",'Master Sheet'!L94,"")</f>
        <v/>
      </c>
      <c r="M93" t="str">
        <f>IF('Master Sheet'!C94="Area 7 (Anu R)",'Master Sheet'!M94,"")</f>
        <v/>
      </c>
      <c r="N93" t="str">
        <f>IF('Master Sheet'!C94="Area 7 (Anu R)",'Master Sheet'!N94,"")</f>
        <v/>
      </c>
      <c r="O93" t="str">
        <f>IF('Master Sheet'!C94="Area 7 (Anu R)",'Master Sheet'!O94,"")</f>
        <v/>
      </c>
      <c r="P93" t="str">
        <f>IF('Master Sheet'!C94="Area 7 (Anu R)",'Master Sheet'!P94,"")</f>
        <v/>
      </c>
    </row>
    <row r="94" spans="1:16" hidden="1" x14ac:dyDescent="0.25">
      <c r="A94" t="str">
        <f>IF('Master Sheet'!C95="Area 7 (Anu R)",'Master Sheet'!A95,"")</f>
        <v/>
      </c>
      <c r="B94" t="str">
        <f>IF('Master Sheet'!C95="Area 7 (Anu R)",'Master Sheet'!B95,"")</f>
        <v/>
      </c>
      <c r="C94" t="s">
        <v>10</v>
      </c>
      <c r="D94" t="str">
        <f>IF('Master Sheet'!C95="Area 7 (Anu R)",'Master Sheet'!D95,"")</f>
        <v/>
      </c>
      <c r="E94" t="str">
        <f>IF('Master Sheet'!C95="Area 7 (Anu R)",'Master Sheet'!E95,"")</f>
        <v/>
      </c>
      <c r="F94" t="str">
        <f>IF('Master Sheet'!C95="Area 7 (Anu R)",'Master Sheet'!F95,"")</f>
        <v/>
      </c>
      <c r="G94" t="str">
        <f>IF('Master Sheet'!C95="Area 7 (Anu R)",'Master Sheet'!G95,"")</f>
        <v/>
      </c>
      <c r="H94" t="str">
        <f>IF('Master Sheet'!C95="Area 7 (Anu R)",'Master Sheet'!H95,"")</f>
        <v/>
      </c>
      <c r="I94" t="str">
        <f>IF('Master Sheet'!C95="Area 7 (Anu R)",'Master Sheet'!I95,"")</f>
        <v/>
      </c>
      <c r="J94" t="str">
        <f>IF('Master Sheet'!C95="Area 7 (Anu R)",'Master Sheet'!J95,"")</f>
        <v/>
      </c>
      <c r="K94" t="str">
        <f>IF('Master Sheet'!C95="Area 7 (Anu R)",'Master Sheet'!K95,"")</f>
        <v/>
      </c>
      <c r="L94" t="str">
        <f>IF('Master Sheet'!C95="Area 7 (Anu R)",'Master Sheet'!L95,"")</f>
        <v/>
      </c>
      <c r="M94" t="str">
        <f>IF('Master Sheet'!C95="Area 7 (Anu R)",'Master Sheet'!M95,"")</f>
        <v/>
      </c>
      <c r="N94" t="str">
        <f>IF('Master Sheet'!C95="Area 7 (Anu R)",'Master Sheet'!N95,"")</f>
        <v/>
      </c>
      <c r="O94" t="str">
        <f>IF('Master Sheet'!C95="Area 7 (Anu R)",'Master Sheet'!O95,"")</f>
        <v/>
      </c>
      <c r="P94" t="str">
        <f>IF('Master Sheet'!C95="Area 7 (Anu R)",'Master Sheet'!P95,"")</f>
        <v/>
      </c>
    </row>
    <row r="95" spans="1:16" hidden="1" x14ac:dyDescent="0.25">
      <c r="A95" t="str">
        <f>IF('Master Sheet'!C96="Area 7 (Anu R)",'Master Sheet'!A96,"")</f>
        <v/>
      </c>
      <c r="B95" t="str">
        <f>IF('Master Sheet'!C96="Area 7 (Anu R)",'Master Sheet'!B96,"")</f>
        <v/>
      </c>
      <c r="C95" t="s">
        <v>10</v>
      </c>
      <c r="D95" t="str">
        <f>IF('Master Sheet'!C96="Area 7 (Anu R)",'Master Sheet'!D96,"")</f>
        <v/>
      </c>
      <c r="E95" t="str">
        <f>IF('Master Sheet'!C96="Area 7 (Anu R)",'Master Sheet'!E96,"")</f>
        <v/>
      </c>
      <c r="F95" t="str">
        <f>IF('Master Sheet'!C96="Area 7 (Anu R)",'Master Sheet'!F96,"")</f>
        <v/>
      </c>
      <c r="G95" t="str">
        <f>IF('Master Sheet'!C96="Area 7 (Anu R)",'Master Sheet'!G96,"")</f>
        <v/>
      </c>
      <c r="H95" t="str">
        <f>IF('Master Sheet'!C96="Area 7 (Anu R)",'Master Sheet'!H96,"")</f>
        <v/>
      </c>
      <c r="I95" t="str">
        <f>IF('Master Sheet'!C96="Area 7 (Anu R)",'Master Sheet'!I96,"")</f>
        <v/>
      </c>
      <c r="J95" t="str">
        <f>IF('Master Sheet'!C96="Area 7 (Anu R)",'Master Sheet'!J96,"")</f>
        <v/>
      </c>
      <c r="K95" t="str">
        <f>IF('Master Sheet'!C96="Area 7 (Anu R)",'Master Sheet'!K96,"")</f>
        <v/>
      </c>
      <c r="L95" t="str">
        <f>IF('Master Sheet'!C96="Area 7 (Anu R)",'Master Sheet'!L96,"")</f>
        <v/>
      </c>
      <c r="M95" t="str">
        <f>IF('Master Sheet'!C96="Area 7 (Anu R)",'Master Sheet'!M96,"")</f>
        <v/>
      </c>
      <c r="N95" t="str">
        <f>IF('Master Sheet'!C96="Area 7 (Anu R)",'Master Sheet'!N96,"")</f>
        <v/>
      </c>
      <c r="O95" t="str">
        <f>IF('Master Sheet'!C96="Area 7 (Anu R)",'Master Sheet'!O96,"")</f>
        <v/>
      </c>
      <c r="P95" t="str">
        <f>IF('Master Sheet'!C96="Area 7 (Anu R)",'Master Sheet'!P96,"")</f>
        <v/>
      </c>
    </row>
    <row r="96" spans="1:16" hidden="1" x14ac:dyDescent="0.25">
      <c r="A96" t="str">
        <f>IF('Master Sheet'!C97="Area 7 (Anu R)",'Master Sheet'!A97,"")</f>
        <v/>
      </c>
      <c r="B96" t="str">
        <f>IF('Master Sheet'!C97="Area 7 (Anu R)",'Master Sheet'!B97,"")</f>
        <v/>
      </c>
      <c r="C96" t="s">
        <v>10</v>
      </c>
      <c r="D96" t="str">
        <f>IF('Master Sheet'!C97="Area 7 (Anu R)",'Master Sheet'!D97,"")</f>
        <v/>
      </c>
      <c r="E96" t="str">
        <f>IF('Master Sheet'!C97="Area 7 (Anu R)",'Master Sheet'!E97,"")</f>
        <v/>
      </c>
      <c r="F96" t="str">
        <f>IF('Master Sheet'!C97="Area 7 (Anu R)",'Master Sheet'!F97,"")</f>
        <v/>
      </c>
      <c r="G96" t="str">
        <f>IF('Master Sheet'!C97="Area 7 (Anu R)",'Master Sheet'!G97,"")</f>
        <v/>
      </c>
      <c r="H96" t="str">
        <f>IF('Master Sheet'!C97="Area 7 (Anu R)",'Master Sheet'!H97,"")</f>
        <v/>
      </c>
      <c r="I96" t="str">
        <f>IF('Master Sheet'!C97="Area 7 (Anu R)",'Master Sheet'!I97,"")</f>
        <v/>
      </c>
      <c r="J96" t="str">
        <f>IF('Master Sheet'!C97="Area 7 (Anu R)",'Master Sheet'!J97,"")</f>
        <v/>
      </c>
      <c r="K96" t="str">
        <f>IF('Master Sheet'!C97="Area 7 (Anu R)",'Master Sheet'!K97,"")</f>
        <v/>
      </c>
      <c r="L96" t="str">
        <f>IF('Master Sheet'!C97="Area 7 (Anu R)",'Master Sheet'!L97,"")</f>
        <v/>
      </c>
      <c r="M96" t="str">
        <f>IF('Master Sheet'!C97="Area 7 (Anu R)",'Master Sheet'!M97,"")</f>
        <v/>
      </c>
      <c r="N96" t="str">
        <f>IF('Master Sheet'!C97="Area 7 (Anu R)",'Master Sheet'!N97,"")</f>
        <v/>
      </c>
      <c r="O96" t="str">
        <f>IF('Master Sheet'!C97="Area 7 (Anu R)",'Master Sheet'!O97,"")</f>
        <v/>
      </c>
      <c r="P96" t="str">
        <f>IF('Master Sheet'!C97="Area 7 (Anu R)",'Master Sheet'!P97,"")</f>
        <v/>
      </c>
    </row>
    <row r="97" spans="1:16" hidden="1" x14ac:dyDescent="0.25">
      <c r="A97" t="str">
        <f>IF('Master Sheet'!C98="Area 7 (Anu R)",'Master Sheet'!A98,"")</f>
        <v/>
      </c>
      <c r="B97" t="str">
        <f>IF('Master Sheet'!C98="Area 7 (Anu R)",'Master Sheet'!B98,"")</f>
        <v/>
      </c>
      <c r="C97" t="s">
        <v>10</v>
      </c>
      <c r="D97" t="str">
        <f>IF('Master Sheet'!C98="Area 7 (Anu R)",'Master Sheet'!D98,"")</f>
        <v/>
      </c>
      <c r="E97" t="str">
        <f>IF('Master Sheet'!C98="Area 7 (Anu R)",'Master Sheet'!E98,"")</f>
        <v/>
      </c>
      <c r="F97" t="str">
        <f>IF('Master Sheet'!C98="Area 7 (Anu R)",'Master Sheet'!F98,"")</f>
        <v/>
      </c>
      <c r="G97" t="str">
        <f>IF('Master Sheet'!C98="Area 7 (Anu R)",'Master Sheet'!G98,"")</f>
        <v/>
      </c>
      <c r="H97" t="str">
        <f>IF('Master Sheet'!C98="Area 7 (Anu R)",'Master Sheet'!H98,"")</f>
        <v/>
      </c>
      <c r="I97" t="str">
        <f>IF('Master Sheet'!C98="Area 7 (Anu R)",'Master Sheet'!I98,"")</f>
        <v/>
      </c>
      <c r="J97" t="str">
        <f>IF('Master Sheet'!C98="Area 7 (Anu R)",'Master Sheet'!J98,"")</f>
        <v/>
      </c>
      <c r="K97" t="str">
        <f>IF('Master Sheet'!C98="Area 7 (Anu R)",'Master Sheet'!K98,"")</f>
        <v/>
      </c>
      <c r="L97" t="str">
        <f>IF('Master Sheet'!C98="Area 7 (Anu R)",'Master Sheet'!L98,"")</f>
        <v/>
      </c>
      <c r="M97" t="str">
        <f>IF('Master Sheet'!C98="Area 7 (Anu R)",'Master Sheet'!M98,"")</f>
        <v/>
      </c>
      <c r="N97" t="str">
        <f>IF('Master Sheet'!C98="Area 7 (Anu R)",'Master Sheet'!N98,"")</f>
        <v/>
      </c>
      <c r="O97" t="str">
        <f>IF('Master Sheet'!C98="Area 7 (Anu R)",'Master Sheet'!O98,"")</f>
        <v/>
      </c>
      <c r="P97" t="str">
        <f>IF('Master Sheet'!C98="Area 7 (Anu R)",'Master Sheet'!P98,"")</f>
        <v/>
      </c>
    </row>
    <row r="98" spans="1:16" hidden="1" x14ac:dyDescent="0.25">
      <c r="A98" t="str">
        <f>IF('Master Sheet'!C99="Area 7 (Anu R)",'Master Sheet'!A99,"")</f>
        <v/>
      </c>
      <c r="B98" t="str">
        <f>IF('Master Sheet'!C99="Area 7 (Anu R)",'Master Sheet'!B99,"")</f>
        <v/>
      </c>
      <c r="C98" t="s">
        <v>10</v>
      </c>
      <c r="D98" t="str">
        <f>IF('Master Sheet'!C99="Area 7 (Anu R)",'Master Sheet'!D99,"")</f>
        <v/>
      </c>
      <c r="E98" t="str">
        <f>IF('Master Sheet'!C99="Area 7 (Anu R)",'Master Sheet'!E99,"")</f>
        <v/>
      </c>
      <c r="F98" t="str">
        <f>IF('Master Sheet'!C99="Area 7 (Anu R)",'Master Sheet'!F99,"")</f>
        <v/>
      </c>
      <c r="G98" t="str">
        <f>IF('Master Sheet'!C99="Area 7 (Anu R)",'Master Sheet'!G99,"")</f>
        <v/>
      </c>
      <c r="H98" t="str">
        <f>IF('Master Sheet'!C99="Area 7 (Anu R)",'Master Sheet'!H99,"")</f>
        <v/>
      </c>
      <c r="I98" t="str">
        <f>IF('Master Sheet'!C99="Area 7 (Anu R)",'Master Sheet'!I99,"")</f>
        <v/>
      </c>
      <c r="J98" t="str">
        <f>IF('Master Sheet'!C99="Area 7 (Anu R)",'Master Sheet'!J99,"")</f>
        <v/>
      </c>
      <c r="K98" t="str">
        <f>IF('Master Sheet'!C99="Area 7 (Anu R)",'Master Sheet'!K99,"")</f>
        <v/>
      </c>
      <c r="L98" t="str">
        <f>IF('Master Sheet'!C99="Area 7 (Anu R)",'Master Sheet'!L99,"")</f>
        <v/>
      </c>
      <c r="M98" t="str">
        <f>IF('Master Sheet'!C99="Area 7 (Anu R)",'Master Sheet'!M99,"")</f>
        <v/>
      </c>
      <c r="N98" t="str">
        <f>IF('Master Sheet'!C99="Area 7 (Anu R)",'Master Sheet'!N99,"")</f>
        <v/>
      </c>
      <c r="O98" t="str">
        <f>IF('Master Sheet'!C99="Area 7 (Anu R)",'Master Sheet'!O99,"")</f>
        <v/>
      </c>
      <c r="P98" t="str">
        <f>IF('Master Sheet'!C99="Area 7 (Anu R)",'Master Sheet'!P99,"")</f>
        <v/>
      </c>
    </row>
    <row r="99" spans="1:16" hidden="1" x14ac:dyDescent="0.25">
      <c r="A99" t="str">
        <f>IF('Master Sheet'!C100="Area 7 (Anu R)",'Master Sheet'!A100,"")</f>
        <v/>
      </c>
      <c r="B99" t="str">
        <f>IF('Master Sheet'!C100="Area 7 (Anu R)",'Master Sheet'!B100,"")</f>
        <v/>
      </c>
      <c r="C99" t="s">
        <v>10</v>
      </c>
      <c r="D99" t="str">
        <f>IF('Master Sheet'!C100="Area 7 (Anu R)",'Master Sheet'!D100,"")</f>
        <v/>
      </c>
      <c r="E99" t="str">
        <f>IF('Master Sheet'!C100="Area 7 (Anu R)",'Master Sheet'!E100,"")</f>
        <v/>
      </c>
      <c r="F99" t="str">
        <f>IF('Master Sheet'!C100="Area 7 (Anu R)",'Master Sheet'!F100,"")</f>
        <v/>
      </c>
      <c r="G99" t="str">
        <f>IF('Master Sheet'!C100="Area 7 (Anu R)",'Master Sheet'!G100,"")</f>
        <v/>
      </c>
      <c r="H99" t="str">
        <f>IF('Master Sheet'!C100="Area 7 (Anu R)",'Master Sheet'!H100,"")</f>
        <v/>
      </c>
      <c r="I99" t="str">
        <f>IF('Master Sheet'!C100="Area 7 (Anu R)",'Master Sheet'!I100,"")</f>
        <v/>
      </c>
      <c r="J99" t="str">
        <f>IF('Master Sheet'!C100="Area 7 (Anu R)",'Master Sheet'!J100,"")</f>
        <v/>
      </c>
      <c r="K99" t="str">
        <f>IF('Master Sheet'!C100="Area 7 (Anu R)",'Master Sheet'!K100,"")</f>
        <v/>
      </c>
      <c r="L99" t="str">
        <f>IF('Master Sheet'!C100="Area 7 (Anu R)",'Master Sheet'!L100,"")</f>
        <v/>
      </c>
      <c r="M99" t="str">
        <f>IF('Master Sheet'!C100="Area 7 (Anu R)",'Master Sheet'!M100,"")</f>
        <v/>
      </c>
      <c r="N99" t="str">
        <f>IF('Master Sheet'!C100="Area 7 (Anu R)",'Master Sheet'!N100,"")</f>
        <v/>
      </c>
      <c r="O99" t="str">
        <f>IF('Master Sheet'!C100="Area 7 (Anu R)",'Master Sheet'!O100,"")</f>
        <v/>
      </c>
      <c r="P99" t="str">
        <f>IF('Master Sheet'!C100="Area 7 (Anu R)",'Master Sheet'!P100,"")</f>
        <v/>
      </c>
    </row>
    <row r="100" spans="1:16" hidden="1" x14ac:dyDescent="0.25">
      <c r="A100" t="str">
        <f>IF('Master Sheet'!C101="Area 7 (Anu R)",'Master Sheet'!A101,"")</f>
        <v/>
      </c>
      <c r="B100" t="str">
        <f>IF('Master Sheet'!C101="Area 7 (Anu R)",'Master Sheet'!B101,"")</f>
        <v/>
      </c>
      <c r="C100" t="s">
        <v>10</v>
      </c>
      <c r="D100" t="str">
        <f>IF('Master Sheet'!C101="Area 7 (Anu R)",'Master Sheet'!D101,"")</f>
        <v/>
      </c>
      <c r="E100" t="str">
        <f>IF('Master Sheet'!C101="Area 7 (Anu R)",'Master Sheet'!E101,"")</f>
        <v/>
      </c>
      <c r="F100" t="str">
        <f>IF('Master Sheet'!C101="Area 7 (Anu R)",'Master Sheet'!F101,"")</f>
        <v/>
      </c>
      <c r="G100" t="str">
        <f>IF('Master Sheet'!C101="Area 7 (Anu R)",'Master Sheet'!G101,"")</f>
        <v/>
      </c>
      <c r="H100" t="str">
        <f>IF('Master Sheet'!C101="Area 7 (Anu R)",'Master Sheet'!H101,"")</f>
        <v/>
      </c>
      <c r="I100" t="str">
        <f>IF('Master Sheet'!C101="Area 7 (Anu R)",'Master Sheet'!I101,"")</f>
        <v/>
      </c>
      <c r="J100" t="str">
        <f>IF('Master Sheet'!C101="Area 7 (Anu R)",'Master Sheet'!J101,"")</f>
        <v/>
      </c>
      <c r="K100" t="str">
        <f>IF('Master Sheet'!C101="Area 7 (Anu R)",'Master Sheet'!K101,"")</f>
        <v/>
      </c>
      <c r="L100" t="str">
        <f>IF('Master Sheet'!C101="Area 7 (Anu R)",'Master Sheet'!L101,"")</f>
        <v/>
      </c>
      <c r="M100" t="str">
        <f>IF('Master Sheet'!C101="Area 7 (Anu R)",'Master Sheet'!M101,"")</f>
        <v/>
      </c>
      <c r="N100" t="str">
        <f>IF('Master Sheet'!C101="Area 7 (Anu R)",'Master Sheet'!N101,"")</f>
        <v/>
      </c>
      <c r="O100" t="str">
        <f>IF('Master Sheet'!C101="Area 7 (Anu R)",'Master Sheet'!O101,"")</f>
        <v/>
      </c>
      <c r="P100" t="str">
        <f>IF('Master Sheet'!C101="Area 7 (Anu R)",'Master Sheet'!P101,"")</f>
        <v/>
      </c>
    </row>
    <row r="101" spans="1:16" hidden="1" x14ac:dyDescent="0.25">
      <c r="A101" t="str">
        <f>IF('Master Sheet'!C102="Area 7 (Anu R)",'Master Sheet'!A102,"")</f>
        <v/>
      </c>
      <c r="B101" t="str">
        <f>IF('Master Sheet'!C102="Area 7 (Anu R)",'Master Sheet'!B102,"")</f>
        <v/>
      </c>
      <c r="C101" t="s">
        <v>10</v>
      </c>
      <c r="D101" t="str">
        <f>IF('Master Sheet'!C102="Area 7 (Anu R)",'Master Sheet'!D102,"")</f>
        <v/>
      </c>
      <c r="E101" t="str">
        <f>IF('Master Sheet'!C102="Area 7 (Anu R)",'Master Sheet'!E102,"")</f>
        <v/>
      </c>
      <c r="F101" t="str">
        <f>IF('Master Sheet'!C102="Area 7 (Anu R)",'Master Sheet'!F102,"")</f>
        <v/>
      </c>
      <c r="G101" t="str">
        <f>IF('Master Sheet'!C102="Area 7 (Anu R)",'Master Sheet'!G102,"")</f>
        <v/>
      </c>
      <c r="H101" t="str">
        <f>IF('Master Sheet'!C102="Area 7 (Anu R)",'Master Sheet'!H102,"")</f>
        <v/>
      </c>
      <c r="I101" t="str">
        <f>IF('Master Sheet'!C102="Area 7 (Anu R)",'Master Sheet'!I102,"")</f>
        <v/>
      </c>
      <c r="J101" t="str">
        <f>IF('Master Sheet'!C102="Area 7 (Anu R)",'Master Sheet'!J102,"")</f>
        <v/>
      </c>
      <c r="K101" t="str">
        <f>IF('Master Sheet'!C102="Area 7 (Anu R)",'Master Sheet'!K102,"")</f>
        <v/>
      </c>
      <c r="L101" t="str">
        <f>IF('Master Sheet'!C102="Area 7 (Anu R)",'Master Sheet'!L102,"")</f>
        <v/>
      </c>
      <c r="M101" t="str">
        <f>IF('Master Sheet'!C102="Area 7 (Anu R)",'Master Sheet'!M102,"")</f>
        <v/>
      </c>
      <c r="N101" t="str">
        <f>IF('Master Sheet'!C102="Area 7 (Anu R)",'Master Sheet'!N102,"")</f>
        <v/>
      </c>
      <c r="O101" t="str">
        <f>IF('Master Sheet'!C102="Area 7 (Anu R)",'Master Sheet'!O102,"")</f>
        <v/>
      </c>
      <c r="P101" t="str">
        <f>IF('Master Sheet'!C102="Area 7 (Anu R)",'Master Sheet'!P102,"")</f>
        <v/>
      </c>
    </row>
    <row r="102" spans="1:16" s="8" customFormat="1" ht="19.899999999999999" customHeight="1" x14ac:dyDescent="0.25">
      <c r="A102" s="10" t="str">
        <f>IF('Master Sheet'!C103="Area 7 (Anu R)",'Master Sheet'!A103,"")</f>
        <v>P101</v>
      </c>
      <c r="B102" s="10" t="str">
        <f>IF('Master Sheet'!C103="Area 7 (Anu R)",'Master Sheet'!B103,"")</f>
        <v>Jaysree Suresh</v>
      </c>
      <c r="C102" t="s">
        <v>10</v>
      </c>
      <c r="D102" s="9">
        <f>IF('Master Sheet'!C103="Area 7 (Anu R)",'Master Sheet'!D103,"")</f>
        <v>350</v>
      </c>
      <c r="E102" s="9">
        <f>IF('Master Sheet'!C103="Area 7 (Anu R)",'Master Sheet'!E103,"")</f>
        <v>350</v>
      </c>
      <c r="F102" s="9">
        <f>IF('Master Sheet'!C103="Area 7 (Anu R)",'Master Sheet'!F103,"")</f>
        <v>0</v>
      </c>
      <c r="G102" s="9">
        <f>IF('Master Sheet'!C103="Area 7 (Anu R)",'Master Sheet'!G103,"")</f>
        <v>0</v>
      </c>
      <c r="H102" s="9">
        <f>IF('Master Sheet'!C103="Area 7 (Anu R)",'Master Sheet'!H103,"")</f>
        <v>0</v>
      </c>
      <c r="I102" s="9">
        <f>IF('Master Sheet'!C103="Area 7 (Anu R)",'Master Sheet'!I103,"")</f>
        <v>0</v>
      </c>
      <c r="J102" s="9">
        <f>IF('Master Sheet'!C103="Area 7 (Anu R)",'Master Sheet'!J103,"")</f>
        <v>0</v>
      </c>
      <c r="K102" s="9">
        <f>IF('Master Sheet'!C103="Area 7 (Anu R)",'Master Sheet'!K103,"")</f>
        <v>0</v>
      </c>
      <c r="L102" s="9">
        <f>IF('Master Sheet'!C103="Area 7 (Anu R)",'Master Sheet'!L103,"")</f>
        <v>0</v>
      </c>
      <c r="M102" s="9">
        <f>IF('Master Sheet'!C103="Area 7 (Anu R)",'Master Sheet'!M103,"")</f>
        <v>0</v>
      </c>
      <c r="N102" s="9">
        <f>IF('Master Sheet'!C103="Area 7 (Anu R)",'Master Sheet'!N103,"")</f>
        <v>700</v>
      </c>
      <c r="O102" s="23">
        <f>IF('Master Sheet'!C103="Area 7 (Anu R)",'Master Sheet'!O103,"")</f>
        <v>2800</v>
      </c>
      <c r="P102" s="7" t="str">
        <f>IF('Master Sheet'!C103="Area 7 (Anu R)",'Master Sheet'!P103,"")</f>
        <v>Pending</v>
      </c>
    </row>
    <row r="103" spans="1:16" s="8" customFormat="1" ht="19.899999999999999" customHeight="1" x14ac:dyDescent="0.25">
      <c r="A103" s="10" t="str">
        <f>IF('Master Sheet'!C104="Area 7 (Anu R)",'Master Sheet'!A104,"")</f>
        <v>P102</v>
      </c>
      <c r="B103" s="10" t="str">
        <f>IF('Master Sheet'!C104="Area 7 (Anu R)",'Master Sheet'!B104,"")</f>
        <v>Sathyan Thadiyoor</v>
      </c>
      <c r="C103" t="s">
        <v>10</v>
      </c>
      <c r="D103" s="9">
        <f>IF('Master Sheet'!C104="Area 7 (Anu R)",'Master Sheet'!D104,"")</f>
        <v>0</v>
      </c>
      <c r="E103" s="9">
        <f>IF('Master Sheet'!C104="Area 7 (Anu R)",'Master Sheet'!E104,"")</f>
        <v>0</v>
      </c>
      <c r="F103" s="9">
        <f>IF('Master Sheet'!C104="Area 7 (Anu R)",'Master Sheet'!F104,"")</f>
        <v>0</v>
      </c>
      <c r="G103" s="9">
        <f>IF('Master Sheet'!C104="Area 7 (Anu R)",'Master Sheet'!G104,"")</f>
        <v>0</v>
      </c>
      <c r="H103" s="9">
        <f>IF('Master Sheet'!C104="Area 7 (Anu R)",'Master Sheet'!H104,"")</f>
        <v>0</v>
      </c>
      <c r="I103" s="9">
        <f>IF('Master Sheet'!C104="Area 7 (Anu R)",'Master Sheet'!I104,"")</f>
        <v>0</v>
      </c>
      <c r="J103" s="9">
        <f>IF('Master Sheet'!C104="Area 7 (Anu R)",'Master Sheet'!J104,"")</f>
        <v>0</v>
      </c>
      <c r="K103" s="9">
        <f>IF('Master Sheet'!C104="Area 7 (Anu R)",'Master Sheet'!K104,"")</f>
        <v>0</v>
      </c>
      <c r="L103" s="9">
        <f>IF('Master Sheet'!C104="Area 7 (Anu R)",'Master Sheet'!L104,"")</f>
        <v>0</v>
      </c>
      <c r="M103" s="9">
        <f>IF('Master Sheet'!C104="Area 7 (Anu R)",'Master Sheet'!M104,"")</f>
        <v>0</v>
      </c>
      <c r="N103" s="9">
        <f>IF('Master Sheet'!C104="Area 7 (Anu R)",'Master Sheet'!N104,"")</f>
        <v>0</v>
      </c>
      <c r="O103" s="23">
        <f>IF('Master Sheet'!C104="Area 7 (Anu R)",'Master Sheet'!O104,"")</f>
        <v>3500</v>
      </c>
      <c r="P103" s="7" t="str">
        <f>IF('Master Sheet'!C104="Area 7 (Anu R)",'Master Sheet'!P104,"")</f>
        <v>Pending</v>
      </c>
    </row>
    <row r="104" spans="1:16" s="8" customFormat="1" ht="19.899999999999999" customHeight="1" x14ac:dyDescent="0.25">
      <c r="A104" s="10" t="str">
        <f>IF('Master Sheet'!C105="Area 7 (Anu R)",'Master Sheet'!A105,"")</f>
        <v>P103</v>
      </c>
      <c r="B104" s="10" t="str">
        <f>IF('Master Sheet'!C105="Area 7 (Anu R)",'Master Sheet'!B105,"")</f>
        <v>Leelamani Shaji</v>
      </c>
      <c r="C104" t="s">
        <v>10</v>
      </c>
      <c r="D104" s="9">
        <f>IF('Master Sheet'!C105="Area 7 (Anu R)",'Master Sheet'!D105,"")</f>
        <v>350</v>
      </c>
      <c r="E104" s="9">
        <f>IF('Master Sheet'!C105="Area 7 (Anu R)",'Master Sheet'!E105,"")</f>
        <v>500</v>
      </c>
      <c r="F104" s="9">
        <f>IF('Master Sheet'!C105="Area 7 (Anu R)",'Master Sheet'!F105,"")</f>
        <v>500</v>
      </c>
      <c r="G104" s="9">
        <f>IF('Master Sheet'!C105="Area 7 (Anu R)",'Master Sheet'!G105,"")</f>
        <v>0</v>
      </c>
      <c r="H104" s="9">
        <f>IF('Master Sheet'!C105="Area 7 (Anu R)",'Master Sheet'!H105,"")</f>
        <v>0</v>
      </c>
      <c r="I104" s="9">
        <f>IF('Master Sheet'!C105="Area 7 (Anu R)",'Master Sheet'!I105,"")</f>
        <v>0</v>
      </c>
      <c r="J104" s="9">
        <f>IF('Master Sheet'!C105="Area 7 (Anu R)",'Master Sheet'!J105,"")</f>
        <v>0</v>
      </c>
      <c r="K104" s="9">
        <f>IF('Master Sheet'!C105="Area 7 (Anu R)",'Master Sheet'!K105,"")</f>
        <v>0</v>
      </c>
      <c r="L104" s="9">
        <f>IF('Master Sheet'!C105="Area 7 (Anu R)",'Master Sheet'!L105,"")</f>
        <v>0</v>
      </c>
      <c r="M104" s="9">
        <f>IF('Master Sheet'!C105="Area 7 (Anu R)",'Master Sheet'!M105,"")</f>
        <v>0</v>
      </c>
      <c r="N104" s="9">
        <f>IF('Master Sheet'!C105="Area 7 (Anu R)",'Master Sheet'!N105,"")</f>
        <v>1350</v>
      </c>
      <c r="O104" s="23">
        <f>IF('Master Sheet'!C105="Area 7 (Anu R)",'Master Sheet'!O105,"")</f>
        <v>2150</v>
      </c>
      <c r="P104" s="7" t="str">
        <f>IF('Master Sheet'!C105="Area 7 (Anu R)",'Master Sheet'!P105,"")</f>
        <v>Pending</v>
      </c>
    </row>
    <row r="105" spans="1:16" s="8" customFormat="1" ht="19.899999999999999" customHeight="1" x14ac:dyDescent="0.25">
      <c r="A105" s="10" t="str">
        <f>IF('Master Sheet'!C106="Area 7 (Anu R)",'Master Sheet'!A106,"")</f>
        <v>P104</v>
      </c>
      <c r="B105" s="10" t="str">
        <f>IF('Master Sheet'!C106="Area 7 (Anu R)",'Master Sheet'!B106,"")</f>
        <v>Prasanna Muttumon</v>
      </c>
      <c r="C105" t="s">
        <v>10</v>
      </c>
      <c r="D105" s="9">
        <f>IF('Master Sheet'!C106="Area 7 (Anu R)",'Master Sheet'!D106,"")</f>
        <v>350</v>
      </c>
      <c r="E105" s="9">
        <f>IF('Master Sheet'!C106="Area 7 (Anu R)",'Master Sheet'!E106,"")</f>
        <v>350</v>
      </c>
      <c r="F105" s="9">
        <f>IF('Master Sheet'!C106="Area 7 (Anu R)",'Master Sheet'!F106,"")</f>
        <v>0</v>
      </c>
      <c r="G105" s="9">
        <f>IF('Master Sheet'!C106="Area 7 (Anu R)",'Master Sheet'!G106,"")</f>
        <v>500</v>
      </c>
      <c r="H105" s="9">
        <f>IF('Master Sheet'!C106="Area 7 (Anu R)",'Master Sheet'!H106,"")</f>
        <v>0</v>
      </c>
      <c r="I105" s="9">
        <f>IF('Master Sheet'!C106="Area 7 (Anu R)",'Master Sheet'!I106,"")</f>
        <v>0</v>
      </c>
      <c r="J105" s="9">
        <f>IF('Master Sheet'!C106="Area 7 (Anu R)",'Master Sheet'!J106,"")</f>
        <v>0</v>
      </c>
      <c r="K105" s="9">
        <f>IF('Master Sheet'!C106="Area 7 (Anu R)",'Master Sheet'!K106,"")</f>
        <v>0</v>
      </c>
      <c r="L105" s="9">
        <f>IF('Master Sheet'!C106="Area 7 (Anu R)",'Master Sheet'!L106,"")</f>
        <v>0</v>
      </c>
      <c r="M105" s="9">
        <f>IF('Master Sheet'!C106="Area 7 (Anu R)",'Master Sheet'!M106,"")</f>
        <v>0</v>
      </c>
      <c r="N105" s="9">
        <f>IF('Master Sheet'!C106="Area 7 (Anu R)",'Master Sheet'!N106,"")</f>
        <v>1200</v>
      </c>
      <c r="O105" s="23">
        <f>IF('Master Sheet'!C106="Area 7 (Anu R)",'Master Sheet'!O106,"")</f>
        <v>2300</v>
      </c>
      <c r="P105" s="7" t="str">
        <f>IF('Master Sheet'!C106="Area 7 (Anu R)",'Master Sheet'!P106,"")</f>
        <v>Pending</v>
      </c>
    </row>
    <row r="106" spans="1:16" s="8" customFormat="1" ht="19.899999999999999" customHeight="1" x14ac:dyDescent="0.25">
      <c r="A106" s="10" t="str">
        <f>IF('Master Sheet'!C107="Area 7 (Anu R)",'Master Sheet'!A107,"")</f>
        <v>P105</v>
      </c>
      <c r="B106" s="10" t="str">
        <f>IF('Master Sheet'!C107="Area 7 (Anu R)",'Master Sheet'!B107,"")</f>
        <v>Jayan Adoor</v>
      </c>
      <c r="C106" t="s">
        <v>10</v>
      </c>
      <c r="D106" s="9">
        <f>IF('Master Sheet'!C107="Area 7 (Anu R)",'Master Sheet'!D107,"")</f>
        <v>0</v>
      </c>
      <c r="E106" s="9">
        <f>IF('Master Sheet'!C107="Area 7 (Anu R)",'Master Sheet'!E107,"")</f>
        <v>0</v>
      </c>
      <c r="F106" s="9">
        <f>IF('Master Sheet'!C107="Area 7 (Anu R)",'Master Sheet'!F107,"")</f>
        <v>0</v>
      </c>
      <c r="G106" s="9">
        <f>IF('Master Sheet'!C107="Area 7 (Anu R)",'Master Sheet'!G107,"")</f>
        <v>0</v>
      </c>
      <c r="H106" s="9">
        <f>IF('Master Sheet'!C107="Area 7 (Anu R)",'Master Sheet'!H107,"")</f>
        <v>0</v>
      </c>
      <c r="I106" s="9">
        <f>IF('Master Sheet'!C107="Area 7 (Anu R)",'Master Sheet'!I107,"")</f>
        <v>0</v>
      </c>
      <c r="J106" s="9">
        <f>IF('Master Sheet'!C107="Area 7 (Anu R)",'Master Sheet'!J107,"")</f>
        <v>0</v>
      </c>
      <c r="K106" s="9">
        <f>IF('Master Sheet'!C107="Area 7 (Anu R)",'Master Sheet'!K107,"")</f>
        <v>0</v>
      </c>
      <c r="L106" s="9">
        <f>IF('Master Sheet'!C107="Area 7 (Anu R)",'Master Sheet'!L107,"")</f>
        <v>0</v>
      </c>
      <c r="M106" s="9">
        <f>IF('Master Sheet'!C107="Area 7 (Anu R)",'Master Sheet'!M107,"")</f>
        <v>0</v>
      </c>
      <c r="N106" s="9">
        <f>IF('Master Sheet'!C107="Area 7 (Anu R)",'Master Sheet'!N107,"")</f>
        <v>0</v>
      </c>
      <c r="O106" s="23">
        <f>IF('Master Sheet'!C107="Area 7 (Anu R)",'Master Sheet'!O107,"")</f>
        <v>3500</v>
      </c>
      <c r="P106" s="7" t="str">
        <f>IF('Master Sheet'!C107="Area 7 (Anu R)",'Master Sheet'!P107,"")</f>
        <v>Pending</v>
      </c>
    </row>
    <row r="107" spans="1:16" s="8" customFormat="1" ht="19.899999999999999" customHeight="1" x14ac:dyDescent="0.25">
      <c r="A107" s="10" t="str">
        <f>IF('Master Sheet'!C108="Area 7 (Anu R)",'Master Sheet'!A108,"")</f>
        <v>P106</v>
      </c>
      <c r="B107" s="10" t="str">
        <f>IF('Master Sheet'!C108="Area 7 (Anu R)",'Master Sheet'!B108,"")</f>
        <v>Rejani Cherukolpuzha</v>
      </c>
      <c r="C107" t="s">
        <v>10</v>
      </c>
      <c r="D107" s="9">
        <f>IF('Master Sheet'!C108="Area 7 (Anu R)",'Master Sheet'!D108,"")</f>
        <v>350</v>
      </c>
      <c r="E107" s="9">
        <f>IF('Master Sheet'!C108="Area 7 (Anu R)",'Master Sheet'!E108,"")</f>
        <v>350</v>
      </c>
      <c r="F107" s="9">
        <f>IF('Master Sheet'!C108="Area 7 (Anu R)",'Master Sheet'!F108,"")</f>
        <v>350</v>
      </c>
      <c r="G107" s="9">
        <f>IF('Master Sheet'!C108="Area 7 (Anu R)",'Master Sheet'!G108,"")</f>
        <v>0</v>
      </c>
      <c r="H107" s="9">
        <f>IF('Master Sheet'!C108="Area 7 (Anu R)",'Master Sheet'!H108,"")</f>
        <v>0</v>
      </c>
      <c r="I107" s="9">
        <f>IF('Master Sheet'!C108="Area 7 (Anu R)",'Master Sheet'!I108,"")</f>
        <v>0</v>
      </c>
      <c r="J107" s="9">
        <f>IF('Master Sheet'!C108="Area 7 (Anu R)",'Master Sheet'!J108,"")</f>
        <v>0</v>
      </c>
      <c r="K107" s="9">
        <f>IF('Master Sheet'!C108="Area 7 (Anu R)",'Master Sheet'!K108,"")</f>
        <v>0</v>
      </c>
      <c r="L107" s="9">
        <f>IF('Master Sheet'!C108="Area 7 (Anu R)",'Master Sheet'!L108,"")</f>
        <v>0</v>
      </c>
      <c r="M107" s="9">
        <f>IF('Master Sheet'!C108="Area 7 (Anu R)",'Master Sheet'!M108,"")</f>
        <v>0</v>
      </c>
      <c r="N107" s="9">
        <f>IF('Master Sheet'!C108="Area 7 (Anu R)",'Master Sheet'!N108,"")</f>
        <v>1050</v>
      </c>
      <c r="O107" s="23">
        <f>IF('Master Sheet'!C108="Area 7 (Anu R)",'Master Sheet'!O108,"")</f>
        <v>2450</v>
      </c>
      <c r="P107" s="7" t="str">
        <f>IF('Master Sheet'!C108="Area 7 (Anu R)",'Master Sheet'!P108,"")</f>
        <v>Pending</v>
      </c>
    </row>
    <row r="108" spans="1:16" s="8" customFormat="1" ht="19.899999999999999" customHeight="1" x14ac:dyDescent="0.25">
      <c r="A108" s="10" t="str">
        <f>IF('Master Sheet'!C109="Area 7 (Anu R)",'Master Sheet'!A109,"")</f>
        <v>P107</v>
      </c>
      <c r="B108" s="10" t="str">
        <f>IF('Master Sheet'!C109="Area 7 (Anu R)",'Master Sheet'!B109,"")</f>
        <v>Saleena Nellickal</v>
      </c>
      <c r="C108" t="s">
        <v>10</v>
      </c>
      <c r="D108" s="9">
        <f>IF('Master Sheet'!C109="Area 7 (Anu R)",'Master Sheet'!D109,"")</f>
        <v>0</v>
      </c>
      <c r="E108" s="9">
        <f>IF('Master Sheet'!C109="Area 7 (Anu R)",'Master Sheet'!E109,"")</f>
        <v>0</v>
      </c>
      <c r="F108" s="9">
        <f>IF('Master Sheet'!C109="Area 7 (Anu R)",'Master Sheet'!F109,"")</f>
        <v>0</v>
      </c>
      <c r="G108" s="9">
        <f>IF('Master Sheet'!C109="Area 7 (Anu R)",'Master Sheet'!G109,"")</f>
        <v>0</v>
      </c>
      <c r="H108" s="9">
        <f>IF('Master Sheet'!C109="Area 7 (Anu R)",'Master Sheet'!H109,"")</f>
        <v>0</v>
      </c>
      <c r="I108" s="9">
        <f>IF('Master Sheet'!C109="Area 7 (Anu R)",'Master Sheet'!I109,"")</f>
        <v>0</v>
      </c>
      <c r="J108" s="9">
        <f>IF('Master Sheet'!C109="Area 7 (Anu R)",'Master Sheet'!J109,"")</f>
        <v>0</v>
      </c>
      <c r="K108" s="9">
        <f>IF('Master Sheet'!C109="Area 7 (Anu R)",'Master Sheet'!K109,"")</f>
        <v>0</v>
      </c>
      <c r="L108" s="9">
        <f>IF('Master Sheet'!C109="Area 7 (Anu R)",'Master Sheet'!L109,"")</f>
        <v>0</v>
      </c>
      <c r="M108" s="9">
        <f>IF('Master Sheet'!C109="Area 7 (Anu R)",'Master Sheet'!M109,"")</f>
        <v>0</v>
      </c>
      <c r="N108" s="9">
        <f>IF('Master Sheet'!C109="Area 7 (Anu R)",'Master Sheet'!N109,"")</f>
        <v>0</v>
      </c>
      <c r="O108" s="23">
        <f>IF('Master Sheet'!C109="Area 7 (Anu R)",'Master Sheet'!O109,"")</f>
        <v>3500</v>
      </c>
      <c r="P108" s="7" t="str">
        <f>IF('Master Sheet'!C109="Area 7 (Anu R)",'Master Sheet'!P109,"")</f>
        <v>Pending</v>
      </c>
    </row>
    <row r="109" spans="1:16" s="8" customFormat="1" ht="19.899999999999999" customHeight="1" x14ac:dyDescent="0.25">
      <c r="A109" s="10" t="str">
        <f>IF('Master Sheet'!C110="Area 7 (Anu R)",'Master Sheet'!A110,"")</f>
        <v>P108</v>
      </c>
      <c r="B109" s="10" t="str">
        <f>IF('Master Sheet'!C110="Area 7 (Anu R)",'Master Sheet'!B110,"")</f>
        <v>Sheeja Nellickal</v>
      </c>
      <c r="C109" t="s">
        <v>10</v>
      </c>
      <c r="D109" s="9">
        <f>IF('Master Sheet'!C110="Area 7 (Anu R)",'Master Sheet'!D110,"")</f>
        <v>350</v>
      </c>
      <c r="E109" s="9">
        <f>IF('Master Sheet'!C110="Area 7 (Anu R)",'Master Sheet'!E110,"")</f>
        <v>350</v>
      </c>
      <c r="F109" s="9">
        <f>IF('Master Sheet'!C110="Area 7 (Anu R)",'Master Sheet'!F110,"")</f>
        <v>350</v>
      </c>
      <c r="G109" s="9">
        <f>IF('Master Sheet'!C110="Area 7 (Anu R)",'Master Sheet'!G110,"")</f>
        <v>350</v>
      </c>
      <c r="H109" s="9">
        <f>IF('Master Sheet'!C110="Area 7 (Anu R)",'Master Sheet'!H110,"")</f>
        <v>0</v>
      </c>
      <c r="I109" s="9">
        <f>IF('Master Sheet'!C110="Area 7 (Anu R)",'Master Sheet'!I110,"")</f>
        <v>0</v>
      </c>
      <c r="J109" s="9">
        <f>IF('Master Sheet'!C110="Area 7 (Anu R)",'Master Sheet'!J110,"")</f>
        <v>0</v>
      </c>
      <c r="K109" s="9">
        <f>IF('Master Sheet'!C110="Area 7 (Anu R)",'Master Sheet'!K110,"")</f>
        <v>0</v>
      </c>
      <c r="L109" s="9">
        <f>IF('Master Sheet'!C110="Area 7 (Anu R)",'Master Sheet'!L110,"")</f>
        <v>0</v>
      </c>
      <c r="M109" s="9">
        <f>IF('Master Sheet'!C110="Area 7 (Anu R)",'Master Sheet'!M110,"")</f>
        <v>0</v>
      </c>
      <c r="N109" s="9">
        <f>IF('Master Sheet'!C110="Area 7 (Anu R)",'Master Sheet'!N110,"")</f>
        <v>1400</v>
      </c>
      <c r="O109" s="23">
        <f>IF('Master Sheet'!C110="Area 7 (Anu R)",'Master Sheet'!O110,"")</f>
        <v>2100</v>
      </c>
      <c r="P109" s="7" t="str">
        <f>IF('Master Sheet'!C110="Area 7 (Anu R)",'Master Sheet'!P110,"")</f>
        <v>Pending</v>
      </c>
    </row>
    <row r="110" spans="1:16" s="8" customFormat="1" ht="19.899999999999999" customHeight="1" x14ac:dyDescent="0.25">
      <c r="A110" s="10" t="str">
        <f>IF('Master Sheet'!C111="Area 7 (Anu R)",'Master Sheet'!A111,"")</f>
        <v>P109</v>
      </c>
      <c r="B110" s="10" t="str">
        <f>IF('Master Sheet'!C111="Area 7 (Anu R)",'Master Sheet'!B111,"")</f>
        <v>Subin Muttumon</v>
      </c>
      <c r="C110" t="s">
        <v>10</v>
      </c>
      <c r="D110" s="9">
        <f>IF('Master Sheet'!C111="Area 7 (Anu R)",'Master Sheet'!D111,"")</f>
        <v>350</v>
      </c>
      <c r="E110" s="9">
        <f>IF('Master Sheet'!C111="Area 7 (Anu R)",'Master Sheet'!E111,"")</f>
        <v>350</v>
      </c>
      <c r="F110" s="9">
        <f>IF('Master Sheet'!C111="Area 7 (Anu R)",'Master Sheet'!F111,"")</f>
        <v>350</v>
      </c>
      <c r="G110" s="9">
        <f>IF('Master Sheet'!C111="Area 7 (Anu R)",'Master Sheet'!G111,"")</f>
        <v>0</v>
      </c>
      <c r="H110" s="9">
        <f>IF('Master Sheet'!C111="Area 7 (Anu R)",'Master Sheet'!H111,"")</f>
        <v>0</v>
      </c>
      <c r="I110" s="9">
        <f>IF('Master Sheet'!C111="Area 7 (Anu R)",'Master Sheet'!I111,"")</f>
        <v>0</v>
      </c>
      <c r="J110" s="9">
        <f>IF('Master Sheet'!C111="Area 7 (Anu R)",'Master Sheet'!J111,"")</f>
        <v>0</v>
      </c>
      <c r="K110" s="9">
        <f>IF('Master Sheet'!C111="Area 7 (Anu R)",'Master Sheet'!K111,"")</f>
        <v>0</v>
      </c>
      <c r="L110" s="9">
        <f>IF('Master Sheet'!C111="Area 7 (Anu R)",'Master Sheet'!L111,"")</f>
        <v>0</v>
      </c>
      <c r="M110" s="9">
        <f>IF('Master Sheet'!C111="Area 7 (Anu R)",'Master Sheet'!M111,"")</f>
        <v>0</v>
      </c>
      <c r="N110" s="9">
        <f>IF('Master Sheet'!C111="Area 7 (Anu R)",'Master Sheet'!N111,"")</f>
        <v>1050</v>
      </c>
      <c r="O110" s="23">
        <f>IF('Master Sheet'!C111="Area 7 (Anu R)",'Master Sheet'!O111,"")</f>
        <v>2450</v>
      </c>
      <c r="P110" s="7" t="str">
        <f>IF('Master Sheet'!C111="Area 7 (Anu R)",'Master Sheet'!P111,"")</f>
        <v>Pending</v>
      </c>
    </row>
    <row r="111" spans="1:16" s="8" customFormat="1" ht="19.899999999999999" customHeight="1" x14ac:dyDescent="0.25">
      <c r="A111" s="10" t="str">
        <f>IF('Master Sheet'!C112="Area 7 (Anu R)",'Master Sheet'!A112,"")</f>
        <v>P110</v>
      </c>
      <c r="B111" s="10" t="str">
        <f>IF('Master Sheet'!C112="Area 7 (Anu R)",'Master Sheet'!B112,"")</f>
        <v>Ajay Muttumon</v>
      </c>
      <c r="C111" t="s">
        <v>10</v>
      </c>
      <c r="D111" s="9">
        <f>IF('Master Sheet'!C112="Area 7 (Anu R)",'Master Sheet'!D112,"")</f>
        <v>350</v>
      </c>
      <c r="E111" s="9">
        <f>IF('Master Sheet'!C112="Area 7 (Anu R)",'Master Sheet'!E112,"")</f>
        <v>350</v>
      </c>
      <c r="F111" s="9">
        <f>IF('Master Sheet'!C112="Area 7 (Anu R)",'Master Sheet'!F112,"")</f>
        <v>350</v>
      </c>
      <c r="G111" s="9">
        <f>IF('Master Sheet'!C112="Area 7 (Anu R)",'Master Sheet'!G112,"")</f>
        <v>0</v>
      </c>
      <c r="H111" s="9">
        <f>IF('Master Sheet'!C112="Area 7 (Anu R)",'Master Sheet'!H112,"")</f>
        <v>0</v>
      </c>
      <c r="I111" s="9">
        <f>IF('Master Sheet'!C112="Area 7 (Anu R)",'Master Sheet'!I112,"")</f>
        <v>0</v>
      </c>
      <c r="J111" s="9">
        <f>IF('Master Sheet'!C112="Area 7 (Anu R)",'Master Sheet'!J112,"")</f>
        <v>0</v>
      </c>
      <c r="K111" s="9">
        <f>IF('Master Sheet'!C112="Area 7 (Anu R)",'Master Sheet'!K112,"")</f>
        <v>0</v>
      </c>
      <c r="L111" s="9">
        <f>IF('Master Sheet'!C112="Area 7 (Anu R)",'Master Sheet'!L112,"")</f>
        <v>0</v>
      </c>
      <c r="M111" s="9">
        <f>IF('Master Sheet'!C112="Area 7 (Anu R)",'Master Sheet'!M112,"")</f>
        <v>0</v>
      </c>
      <c r="N111" s="9">
        <f>IF('Master Sheet'!C112="Area 7 (Anu R)",'Master Sheet'!N112,"")</f>
        <v>1050</v>
      </c>
      <c r="O111" s="23">
        <f>IF('Master Sheet'!C112="Area 7 (Anu R)",'Master Sheet'!O112,"")</f>
        <v>2450</v>
      </c>
      <c r="P111" s="7" t="str">
        <f>IF('Master Sheet'!C112="Area 7 (Anu R)",'Master Sheet'!P112,"")</f>
        <v>Pending</v>
      </c>
    </row>
    <row r="112" spans="1:16" s="8" customFormat="1" ht="19.899999999999999" customHeight="1" x14ac:dyDescent="0.25">
      <c r="A112" s="10" t="str">
        <f>IF('Master Sheet'!C113="Area 7 (Anu R)",'Master Sheet'!A113,"")</f>
        <v>P111</v>
      </c>
      <c r="B112" s="10" t="str">
        <f>IF('Master Sheet'!C113="Area 7 (Anu R)",'Master Sheet'!B113,"")</f>
        <v>Surya  P.S Nedumprayar</v>
      </c>
      <c r="C112" t="s">
        <v>10</v>
      </c>
      <c r="D112" s="9">
        <f>IF('Master Sheet'!C113="Area 7 (Anu R)",'Master Sheet'!D113,"")</f>
        <v>350</v>
      </c>
      <c r="E112" s="9">
        <f>IF('Master Sheet'!C113="Area 7 (Anu R)",'Master Sheet'!E113,"")</f>
        <v>350</v>
      </c>
      <c r="F112" s="9">
        <f>IF('Master Sheet'!C113="Area 7 (Anu R)",'Master Sheet'!F113,"")</f>
        <v>350</v>
      </c>
      <c r="G112" s="9">
        <f>IF('Master Sheet'!C113="Area 7 (Anu R)",'Master Sheet'!G113,"")</f>
        <v>0</v>
      </c>
      <c r="H112" s="9">
        <f>IF('Master Sheet'!C113="Area 7 (Anu R)",'Master Sheet'!H113,"")</f>
        <v>0</v>
      </c>
      <c r="I112" s="9">
        <f>IF('Master Sheet'!C113="Area 7 (Anu R)",'Master Sheet'!I113,"")</f>
        <v>0</v>
      </c>
      <c r="J112" s="9">
        <f>IF('Master Sheet'!C113="Area 7 (Anu R)",'Master Sheet'!J113,"")</f>
        <v>0</v>
      </c>
      <c r="K112" s="9">
        <f>IF('Master Sheet'!C113="Area 7 (Anu R)",'Master Sheet'!K113,"")</f>
        <v>0</v>
      </c>
      <c r="L112" s="9">
        <f>IF('Master Sheet'!C113="Area 7 (Anu R)",'Master Sheet'!L113,"")</f>
        <v>0</v>
      </c>
      <c r="M112" s="9">
        <f>IF('Master Sheet'!C113="Area 7 (Anu R)",'Master Sheet'!M113,"")</f>
        <v>0</v>
      </c>
      <c r="N112" s="9">
        <f>IF('Master Sheet'!C113="Area 7 (Anu R)",'Master Sheet'!N113,"")</f>
        <v>1050</v>
      </c>
      <c r="O112" s="23">
        <f>IF('Master Sheet'!C113="Area 7 (Anu R)",'Master Sheet'!O113,"")</f>
        <v>2450</v>
      </c>
      <c r="P112" s="7" t="str">
        <f>IF('Master Sheet'!C113="Area 7 (Anu R)",'Master Sheet'!P113,"")</f>
        <v>Pending</v>
      </c>
    </row>
    <row r="113" spans="1:16" s="8" customFormat="1" ht="19.899999999999999" customHeight="1" x14ac:dyDescent="0.25">
      <c r="A113" s="10" t="str">
        <f>IF('Master Sheet'!C114="Area 7 (Anu R)",'Master Sheet'!A114,"")</f>
        <v>P112</v>
      </c>
      <c r="B113" s="10" t="str">
        <f>IF('Master Sheet'!C114="Area 7 (Anu R)",'Master Sheet'!B114,"")</f>
        <v>Sreeja Thadiyoor</v>
      </c>
      <c r="C113" t="s">
        <v>10</v>
      </c>
      <c r="D113" s="9">
        <f>IF('Master Sheet'!C114="Area 7 (Anu R)",'Master Sheet'!D114,"")</f>
        <v>350</v>
      </c>
      <c r="E113" s="9">
        <f>IF('Master Sheet'!C114="Area 7 (Anu R)",'Master Sheet'!E114,"")</f>
        <v>350</v>
      </c>
      <c r="F113" s="9">
        <f>IF('Master Sheet'!C114="Area 7 (Anu R)",'Master Sheet'!F114,"")</f>
        <v>350</v>
      </c>
      <c r="G113" s="9">
        <f>IF('Master Sheet'!C114="Area 7 (Anu R)",'Master Sheet'!G114,"")</f>
        <v>0</v>
      </c>
      <c r="H113" s="9">
        <f>IF('Master Sheet'!C114="Area 7 (Anu R)",'Master Sheet'!H114,"")</f>
        <v>0</v>
      </c>
      <c r="I113" s="9">
        <f>IF('Master Sheet'!C114="Area 7 (Anu R)",'Master Sheet'!I114,"")</f>
        <v>0</v>
      </c>
      <c r="J113" s="9">
        <f>IF('Master Sheet'!C114="Area 7 (Anu R)",'Master Sheet'!J114,"")</f>
        <v>0</v>
      </c>
      <c r="K113" s="9">
        <f>IF('Master Sheet'!C114="Area 7 (Anu R)",'Master Sheet'!K114,"")</f>
        <v>0</v>
      </c>
      <c r="L113" s="9">
        <f>IF('Master Sheet'!C114="Area 7 (Anu R)",'Master Sheet'!L114,"")</f>
        <v>0</v>
      </c>
      <c r="M113" s="9">
        <f>IF('Master Sheet'!C114="Area 7 (Anu R)",'Master Sheet'!M114,"")</f>
        <v>0</v>
      </c>
      <c r="N113" s="9">
        <f>IF('Master Sheet'!C114="Area 7 (Anu R)",'Master Sheet'!N114,"")</f>
        <v>1050</v>
      </c>
      <c r="O113" s="23">
        <f>IF('Master Sheet'!C114="Area 7 (Anu R)",'Master Sheet'!O114,"")</f>
        <v>2450</v>
      </c>
      <c r="P113" s="7" t="str">
        <f>IF('Master Sheet'!C114="Area 7 (Anu R)",'Master Sheet'!P114,"")</f>
        <v>Pending</v>
      </c>
    </row>
    <row r="114" spans="1:16" s="8" customFormat="1" ht="19.899999999999999" customHeight="1" x14ac:dyDescent="0.25">
      <c r="A114" s="10" t="str">
        <f>IF('Master Sheet'!C115="Area 7 (Anu R)",'Master Sheet'!A115,"")</f>
        <v>P113</v>
      </c>
      <c r="B114" s="10" t="str">
        <f>IF('Master Sheet'!C115="Area 7 (Anu R)",'Master Sheet'!B115,"")</f>
        <v>Liji Thomas Nedumprayar</v>
      </c>
      <c r="C114" t="s">
        <v>10</v>
      </c>
      <c r="D114" s="9">
        <f>IF('Master Sheet'!C115="Area 7 (Anu R)",'Master Sheet'!D115,"")</f>
        <v>350</v>
      </c>
      <c r="E114" s="9">
        <f>IF('Master Sheet'!C115="Area 7 (Anu R)",'Master Sheet'!E115,"")</f>
        <v>0</v>
      </c>
      <c r="F114" s="9">
        <f>IF('Master Sheet'!C115="Area 7 (Anu R)",'Master Sheet'!F115,"")</f>
        <v>0</v>
      </c>
      <c r="G114" s="9">
        <f>IF('Master Sheet'!C115="Area 7 (Anu R)",'Master Sheet'!G115,"")</f>
        <v>0</v>
      </c>
      <c r="H114" s="9">
        <f>IF('Master Sheet'!C115="Area 7 (Anu R)",'Master Sheet'!H115,"")</f>
        <v>0</v>
      </c>
      <c r="I114" s="9">
        <f>IF('Master Sheet'!C115="Area 7 (Anu R)",'Master Sheet'!I115,"")</f>
        <v>0</v>
      </c>
      <c r="J114" s="9">
        <f>IF('Master Sheet'!C115="Area 7 (Anu R)",'Master Sheet'!J115,"")</f>
        <v>0</v>
      </c>
      <c r="K114" s="9">
        <f>IF('Master Sheet'!C115="Area 7 (Anu R)",'Master Sheet'!K115,"")</f>
        <v>0</v>
      </c>
      <c r="L114" s="9">
        <f>IF('Master Sheet'!C115="Area 7 (Anu R)",'Master Sheet'!L115,"")</f>
        <v>0</v>
      </c>
      <c r="M114" s="9">
        <f>IF('Master Sheet'!C115="Area 7 (Anu R)",'Master Sheet'!M115,"")</f>
        <v>0</v>
      </c>
      <c r="N114" s="9">
        <f>IF('Master Sheet'!C115="Area 7 (Anu R)",'Master Sheet'!N115,"")</f>
        <v>350</v>
      </c>
      <c r="O114" s="23">
        <f>IF('Master Sheet'!C115="Area 7 (Anu R)",'Master Sheet'!O115,"")</f>
        <v>3150</v>
      </c>
      <c r="P114" s="7" t="str">
        <f>IF('Master Sheet'!C115="Area 7 (Anu R)",'Master Sheet'!P115,"")</f>
        <v>Pending</v>
      </c>
    </row>
    <row r="115" spans="1:16" s="8" customFormat="1" ht="19.899999999999999" customHeight="1" x14ac:dyDescent="0.25">
      <c r="A115" s="10" t="str">
        <f>IF('Master Sheet'!C116="Area 7 (Anu R)",'Master Sheet'!A116,"")</f>
        <v>P114</v>
      </c>
      <c r="B115" s="10" t="str">
        <f>IF('Master Sheet'!C116="Area 7 (Anu R)",'Master Sheet'!B116,"")</f>
        <v>Jayasree Suresh Chennithala</v>
      </c>
      <c r="C115" t="s">
        <v>10</v>
      </c>
      <c r="D115" s="9">
        <f>IF('Master Sheet'!C116="Area 7 (Anu R)",'Master Sheet'!D116,"")</f>
        <v>350</v>
      </c>
      <c r="E115" s="9">
        <f>IF('Master Sheet'!C116="Area 7 (Anu R)",'Master Sheet'!E116,"")</f>
        <v>0</v>
      </c>
      <c r="F115" s="9">
        <f>IF('Master Sheet'!C116="Area 7 (Anu R)",'Master Sheet'!F116,"")</f>
        <v>0</v>
      </c>
      <c r="G115" s="9">
        <f>IF('Master Sheet'!C116="Area 7 (Anu R)",'Master Sheet'!G116,"")</f>
        <v>0</v>
      </c>
      <c r="H115" s="9">
        <f>IF('Master Sheet'!C116="Area 7 (Anu R)",'Master Sheet'!H116,"")</f>
        <v>0</v>
      </c>
      <c r="I115" s="9">
        <f>IF('Master Sheet'!C116="Area 7 (Anu R)",'Master Sheet'!I116,"")</f>
        <v>0</v>
      </c>
      <c r="J115" s="9">
        <f>IF('Master Sheet'!C116="Area 7 (Anu R)",'Master Sheet'!J116,"")</f>
        <v>0</v>
      </c>
      <c r="K115" s="9">
        <f>IF('Master Sheet'!C116="Area 7 (Anu R)",'Master Sheet'!K116,"")</f>
        <v>0</v>
      </c>
      <c r="L115" s="9">
        <f>IF('Master Sheet'!C116="Area 7 (Anu R)",'Master Sheet'!L116,"")</f>
        <v>0</v>
      </c>
      <c r="M115" s="9">
        <f>IF('Master Sheet'!C116="Area 7 (Anu R)",'Master Sheet'!M116,"")</f>
        <v>0</v>
      </c>
      <c r="N115" s="9">
        <f>IF('Master Sheet'!C116="Area 7 (Anu R)",'Master Sheet'!N116,"")</f>
        <v>350</v>
      </c>
      <c r="O115" s="23">
        <f>IF('Master Sheet'!C116="Area 7 (Anu R)",'Master Sheet'!O116,"")</f>
        <v>3150</v>
      </c>
      <c r="P115" s="7" t="str">
        <f>IF('Master Sheet'!C116="Area 7 (Anu R)",'Master Sheet'!P116,"")</f>
        <v>Pending</v>
      </c>
    </row>
    <row r="116" spans="1:16" s="8" customFormat="1" ht="19.899999999999999" customHeight="1" x14ac:dyDescent="0.25">
      <c r="A116" s="10" t="str">
        <f>IF('Master Sheet'!C117="Area 7 (Anu R)",'Master Sheet'!A117,"")</f>
        <v>P115</v>
      </c>
      <c r="B116" s="10" t="str">
        <f>IF('Master Sheet'!C117="Area 7 (Anu R)",'Master Sheet'!B117,"")</f>
        <v>Latha Mannar</v>
      </c>
      <c r="C116" t="s">
        <v>10</v>
      </c>
      <c r="D116" s="9">
        <f>IF('Master Sheet'!C117="Area 7 (Anu R)",'Master Sheet'!D117,"")</f>
        <v>350</v>
      </c>
      <c r="E116" s="9">
        <f>IF('Master Sheet'!C117="Area 7 (Anu R)",'Master Sheet'!E117,"")</f>
        <v>350</v>
      </c>
      <c r="F116" s="9">
        <f>IF('Master Sheet'!C117="Area 7 (Anu R)",'Master Sheet'!F117,"")</f>
        <v>350</v>
      </c>
      <c r="G116" s="9">
        <f>IF('Master Sheet'!C117="Area 7 (Anu R)",'Master Sheet'!G117,"")</f>
        <v>350</v>
      </c>
      <c r="H116" s="9">
        <f>IF('Master Sheet'!C117="Area 7 (Anu R)",'Master Sheet'!H117,"")</f>
        <v>0</v>
      </c>
      <c r="I116" s="9">
        <f>IF('Master Sheet'!C117="Area 7 (Anu R)",'Master Sheet'!I117,"")</f>
        <v>0</v>
      </c>
      <c r="J116" s="9">
        <f>IF('Master Sheet'!C117="Area 7 (Anu R)",'Master Sheet'!J117,"")</f>
        <v>0</v>
      </c>
      <c r="K116" s="9">
        <f>IF('Master Sheet'!C117="Area 7 (Anu R)",'Master Sheet'!K117,"")</f>
        <v>0</v>
      </c>
      <c r="L116" s="9">
        <f>IF('Master Sheet'!C117="Area 7 (Anu R)",'Master Sheet'!L117,"")</f>
        <v>0</v>
      </c>
      <c r="M116" s="9">
        <f>IF('Master Sheet'!C117="Area 7 (Anu R)",'Master Sheet'!M117,"")</f>
        <v>0</v>
      </c>
      <c r="N116" s="9">
        <f>IF('Master Sheet'!C117="Area 7 (Anu R)",'Master Sheet'!N117,"")</f>
        <v>1400</v>
      </c>
      <c r="O116" s="23">
        <f>IF('Master Sheet'!C117="Area 7 (Anu R)",'Master Sheet'!O117,"")</f>
        <v>2100</v>
      </c>
      <c r="P116" s="7" t="str">
        <f>IF('Master Sheet'!C117="Area 7 (Anu R)",'Master Sheet'!P117,"")</f>
        <v>Pending</v>
      </c>
    </row>
    <row r="117" spans="1:16" s="8" customFormat="1" ht="19.899999999999999" customHeight="1" x14ac:dyDescent="0.25">
      <c r="A117" s="10" t="str">
        <f>IF('Master Sheet'!C118="Area 7 (Anu R)",'Master Sheet'!A118,"")</f>
        <v>P116</v>
      </c>
      <c r="B117" s="10" t="str">
        <f>IF('Master Sheet'!C118="Area 7 (Anu R)",'Master Sheet'!B118,"")</f>
        <v>Shaji Mannar</v>
      </c>
      <c r="C117" t="s">
        <v>10</v>
      </c>
      <c r="D117" s="9">
        <f>IF('Master Sheet'!C118="Area 7 (Anu R)",'Master Sheet'!D118,"")</f>
        <v>350</v>
      </c>
      <c r="E117" s="9">
        <f>IF('Master Sheet'!C118="Area 7 (Anu R)",'Master Sheet'!E118,"")</f>
        <v>350</v>
      </c>
      <c r="F117" s="9">
        <f>IF('Master Sheet'!C118="Area 7 (Anu R)",'Master Sheet'!F118,"")</f>
        <v>350</v>
      </c>
      <c r="G117" s="9">
        <f>IF('Master Sheet'!C118="Area 7 (Anu R)",'Master Sheet'!G118,"")</f>
        <v>350</v>
      </c>
      <c r="H117" s="9">
        <f>IF('Master Sheet'!C118="Area 7 (Anu R)",'Master Sheet'!H118,"")</f>
        <v>0</v>
      </c>
      <c r="I117" s="9">
        <f>IF('Master Sheet'!C118="Area 7 (Anu R)",'Master Sheet'!I118,"")</f>
        <v>0</v>
      </c>
      <c r="J117" s="9">
        <f>IF('Master Sheet'!C118="Area 7 (Anu R)",'Master Sheet'!J118,"")</f>
        <v>0</v>
      </c>
      <c r="K117" s="9">
        <f>IF('Master Sheet'!C118="Area 7 (Anu R)",'Master Sheet'!K118,"")</f>
        <v>0</v>
      </c>
      <c r="L117" s="9">
        <f>IF('Master Sheet'!C118="Area 7 (Anu R)",'Master Sheet'!L118,"")</f>
        <v>0</v>
      </c>
      <c r="M117" s="9">
        <f>IF('Master Sheet'!C118="Area 7 (Anu R)",'Master Sheet'!M118,"")</f>
        <v>0</v>
      </c>
      <c r="N117" s="9">
        <f>IF('Master Sheet'!C118="Area 7 (Anu R)",'Master Sheet'!N118,"")</f>
        <v>1400</v>
      </c>
      <c r="O117" s="23">
        <f>IF('Master Sheet'!C118="Area 7 (Anu R)",'Master Sheet'!O118,"")</f>
        <v>2100</v>
      </c>
      <c r="P117" s="7" t="str">
        <f>IF('Master Sheet'!C118="Area 7 (Anu R)",'Master Sheet'!P118,"")</f>
        <v>Pending</v>
      </c>
    </row>
    <row r="118" spans="1:16" s="8" customFormat="1" ht="19.899999999999999" customHeight="1" x14ac:dyDescent="0.25">
      <c r="A118" s="10" t="str">
        <f>IF('Master Sheet'!C119="Area 7 (Anu R)",'Master Sheet'!A119,"")</f>
        <v>P117</v>
      </c>
      <c r="B118" s="10" t="str">
        <f>IF('Master Sheet'!C119="Area 7 (Anu R)",'Master Sheet'!B119,"")</f>
        <v>Rahul Mannar</v>
      </c>
      <c r="C118" t="s">
        <v>10</v>
      </c>
      <c r="D118" s="9">
        <f>IF('Master Sheet'!C119="Area 7 (Anu R)",'Master Sheet'!D119,"")</f>
        <v>0</v>
      </c>
      <c r="E118" s="9">
        <f>IF('Master Sheet'!C119="Area 7 (Anu R)",'Master Sheet'!E119,"")</f>
        <v>0</v>
      </c>
      <c r="F118" s="9">
        <f>IF('Master Sheet'!C119="Area 7 (Anu R)",'Master Sheet'!F119,"")</f>
        <v>0</v>
      </c>
      <c r="G118" s="9">
        <f>IF('Master Sheet'!C119="Area 7 (Anu R)",'Master Sheet'!G119,"")</f>
        <v>0</v>
      </c>
      <c r="H118" s="9">
        <f>IF('Master Sheet'!C119="Area 7 (Anu R)",'Master Sheet'!H119,"")</f>
        <v>0</v>
      </c>
      <c r="I118" s="9">
        <f>IF('Master Sheet'!C119="Area 7 (Anu R)",'Master Sheet'!I119,"")</f>
        <v>0</v>
      </c>
      <c r="J118" s="9">
        <f>IF('Master Sheet'!C119="Area 7 (Anu R)",'Master Sheet'!J119,"")</f>
        <v>0</v>
      </c>
      <c r="K118" s="9">
        <f>IF('Master Sheet'!C119="Area 7 (Anu R)",'Master Sheet'!K119,"")</f>
        <v>0</v>
      </c>
      <c r="L118" s="9">
        <f>IF('Master Sheet'!C119="Area 7 (Anu R)",'Master Sheet'!L119,"")</f>
        <v>0</v>
      </c>
      <c r="M118" s="9">
        <f>IF('Master Sheet'!C119="Area 7 (Anu R)",'Master Sheet'!M119,"")</f>
        <v>0</v>
      </c>
      <c r="N118" s="9">
        <f>IF('Master Sheet'!C119="Area 7 (Anu R)",'Master Sheet'!N119,"")</f>
        <v>0</v>
      </c>
      <c r="O118" s="23">
        <f>IF('Master Sheet'!C119="Area 7 (Anu R)",'Master Sheet'!O119,"")</f>
        <v>3500</v>
      </c>
      <c r="P118" s="7" t="str">
        <f>IF('Master Sheet'!C119="Area 7 (Anu R)",'Master Sheet'!P119,"")</f>
        <v>Pending</v>
      </c>
    </row>
    <row r="119" spans="1:16" s="8" customFormat="1" ht="19.899999999999999" customHeight="1" x14ac:dyDescent="0.25">
      <c r="A119" s="10" t="str">
        <f>IF('Master Sheet'!C120="Area 7 (Anu R)",'Master Sheet'!A120,"")</f>
        <v>P118</v>
      </c>
      <c r="B119" s="10" t="str">
        <f>IF('Master Sheet'!C120="Area 7 (Anu R)",'Master Sheet'!B120,"")</f>
        <v>Renjith Omalloor</v>
      </c>
      <c r="C119" t="s">
        <v>10</v>
      </c>
      <c r="D119" s="9">
        <f>IF('Master Sheet'!C120="Area 7 (Anu R)",'Master Sheet'!D120,"")</f>
        <v>0</v>
      </c>
      <c r="E119" s="9">
        <f>IF('Master Sheet'!C120="Area 7 (Anu R)",'Master Sheet'!E120,"")</f>
        <v>0</v>
      </c>
      <c r="F119" s="9">
        <f>IF('Master Sheet'!C120="Area 7 (Anu R)",'Master Sheet'!F120,"")</f>
        <v>0</v>
      </c>
      <c r="G119" s="9">
        <f>IF('Master Sheet'!C120="Area 7 (Anu R)",'Master Sheet'!G120,"")</f>
        <v>0</v>
      </c>
      <c r="H119" s="9">
        <f>IF('Master Sheet'!C120="Area 7 (Anu R)",'Master Sheet'!H120,"")</f>
        <v>0</v>
      </c>
      <c r="I119" s="9">
        <f>IF('Master Sheet'!C120="Area 7 (Anu R)",'Master Sheet'!I120,"")</f>
        <v>0</v>
      </c>
      <c r="J119" s="9">
        <f>IF('Master Sheet'!C120="Area 7 (Anu R)",'Master Sheet'!J120,"")</f>
        <v>0</v>
      </c>
      <c r="K119" s="9">
        <f>IF('Master Sheet'!C120="Area 7 (Anu R)",'Master Sheet'!K120,"")</f>
        <v>0</v>
      </c>
      <c r="L119" s="9">
        <f>IF('Master Sheet'!C120="Area 7 (Anu R)",'Master Sheet'!L120,"")</f>
        <v>0</v>
      </c>
      <c r="M119" s="9">
        <f>IF('Master Sheet'!C120="Area 7 (Anu R)",'Master Sheet'!M120,"")</f>
        <v>0</v>
      </c>
      <c r="N119" s="9">
        <f>IF('Master Sheet'!C120="Area 7 (Anu R)",'Master Sheet'!N120,"")</f>
        <v>0</v>
      </c>
      <c r="O119" s="23">
        <f>IF('Master Sheet'!C120="Area 7 (Anu R)",'Master Sheet'!O120,"")</f>
        <v>3500</v>
      </c>
      <c r="P119" s="7" t="str">
        <f>IF('Master Sheet'!C120="Area 7 (Anu R)",'Master Sheet'!P120,"")</f>
        <v>Pending</v>
      </c>
    </row>
    <row r="120" spans="1:16" s="8" customFormat="1" ht="19.899999999999999" customHeight="1" x14ac:dyDescent="0.25">
      <c r="A120" s="10" t="str">
        <f>IF('Master Sheet'!C121="Area 7 (Anu R)",'Master Sheet'!A121,"")</f>
        <v>P119</v>
      </c>
      <c r="B120" s="10" t="str">
        <f>IF('Master Sheet'!C121="Area 7 (Anu R)",'Master Sheet'!B121,"")</f>
        <v>Usha Sreekumar Kazhakunnam</v>
      </c>
      <c r="C120" t="s">
        <v>10</v>
      </c>
      <c r="D120" s="9">
        <f>IF('Master Sheet'!C121="Area 7 (Anu R)",'Master Sheet'!D121,"")</f>
        <v>350</v>
      </c>
      <c r="E120" s="9">
        <f>IF('Master Sheet'!C121="Area 7 (Anu R)",'Master Sheet'!E121,"")</f>
        <v>350</v>
      </c>
      <c r="F120" s="9">
        <f>IF('Master Sheet'!C121="Area 7 (Anu R)",'Master Sheet'!F121,"")</f>
        <v>350</v>
      </c>
      <c r="G120" s="9">
        <f>IF('Master Sheet'!C121="Area 7 (Anu R)",'Master Sheet'!G121,"")</f>
        <v>0</v>
      </c>
      <c r="H120" s="9">
        <f>IF('Master Sheet'!C121="Area 7 (Anu R)",'Master Sheet'!H121,"")</f>
        <v>0</v>
      </c>
      <c r="I120" s="9">
        <f>IF('Master Sheet'!C121="Area 7 (Anu R)",'Master Sheet'!I121,"")</f>
        <v>0</v>
      </c>
      <c r="J120" s="9">
        <f>IF('Master Sheet'!C121="Area 7 (Anu R)",'Master Sheet'!J121,"")</f>
        <v>0</v>
      </c>
      <c r="K120" s="9">
        <f>IF('Master Sheet'!C121="Area 7 (Anu R)",'Master Sheet'!K121,"")</f>
        <v>0</v>
      </c>
      <c r="L120" s="9">
        <f>IF('Master Sheet'!C121="Area 7 (Anu R)",'Master Sheet'!L121,"")</f>
        <v>0</v>
      </c>
      <c r="M120" s="9">
        <f>IF('Master Sheet'!C121="Area 7 (Anu R)",'Master Sheet'!M121,"")</f>
        <v>0</v>
      </c>
      <c r="N120" s="9">
        <f>IF('Master Sheet'!C121="Area 7 (Anu R)",'Master Sheet'!N121,"")</f>
        <v>1050</v>
      </c>
      <c r="O120" s="23">
        <f>IF('Master Sheet'!C121="Area 7 (Anu R)",'Master Sheet'!O121,"")</f>
        <v>2450</v>
      </c>
      <c r="P120" s="7" t="str">
        <f>IF('Master Sheet'!C121="Area 7 (Anu R)",'Master Sheet'!P121,"")</f>
        <v>Pending</v>
      </c>
    </row>
    <row r="121" spans="1:16" s="8" customFormat="1" ht="19.899999999999999" customHeight="1" x14ac:dyDescent="0.25">
      <c r="A121" s="10" t="str">
        <f>IF('Master Sheet'!C122="Area 7 (Anu R)",'Master Sheet'!A122,"")</f>
        <v>P120</v>
      </c>
      <c r="B121" s="10" t="str">
        <f>IF('Master Sheet'!C122="Area 7 (Anu R)",'Master Sheet'!B122,"")</f>
        <v>Anish Melikara</v>
      </c>
      <c r="C121" t="s">
        <v>10</v>
      </c>
      <c r="D121" s="9">
        <f>IF('Master Sheet'!C122="Area 7 (Anu R)",'Master Sheet'!D122,"")</f>
        <v>350</v>
      </c>
      <c r="E121" s="9">
        <f>IF('Master Sheet'!C122="Area 7 (Anu R)",'Master Sheet'!E122,"")</f>
        <v>0</v>
      </c>
      <c r="F121" s="9">
        <f>IF('Master Sheet'!C122="Area 7 (Anu R)",'Master Sheet'!F122,"")</f>
        <v>0</v>
      </c>
      <c r="G121" s="9">
        <f>IF('Master Sheet'!C122="Area 7 (Anu R)",'Master Sheet'!G122,"")</f>
        <v>0</v>
      </c>
      <c r="H121" s="9">
        <f>IF('Master Sheet'!C122="Area 7 (Anu R)",'Master Sheet'!H122,"")</f>
        <v>0</v>
      </c>
      <c r="I121" s="9">
        <f>IF('Master Sheet'!C122="Area 7 (Anu R)",'Master Sheet'!I122,"")</f>
        <v>0</v>
      </c>
      <c r="J121" s="9">
        <f>IF('Master Sheet'!C122="Area 7 (Anu R)",'Master Sheet'!J122,"")</f>
        <v>0</v>
      </c>
      <c r="K121" s="9">
        <f>IF('Master Sheet'!C122="Area 7 (Anu R)",'Master Sheet'!K122,"")</f>
        <v>0</v>
      </c>
      <c r="L121" s="9">
        <f>IF('Master Sheet'!C122="Area 7 (Anu R)",'Master Sheet'!L122,"")</f>
        <v>0</v>
      </c>
      <c r="M121" s="9">
        <f>IF('Master Sheet'!C122="Area 7 (Anu R)",'Master Sheet'!M122,"")</f>
        <v>0</v>
      </c>
      <c r="N121" s="9">
        <f>IF('Master Sheet'!C122="Area 7 (Anu R)",'Master Sheet'!N122,"")</f>
        <v>350</v>
      </c>
      <c r="O121" s="23">
        <f>IF('Master Sheet'!C122="Area 7 (Anu R)",'Master Sheet'!O122,"")</f>
        <v>3150</v>
      </c>
      <c r="P121" s="7" t="str">
        <f>IF('Master Sheet'!C122="Area 7 (Anu R)",'Master Sheet'!P122,"")</f>
        <v>Pending</v>
      </c>
    </row>
    <row r="122" spans="1:16" s="8" customFormat="1" ht="19.899999999999999" customHeight="1" x14ac:dyDescent="0.25">
      <c r="A122" s="10" t="str">
        <f>IF('Master Sheet'!C123="Area 7 (Anu R)",'Master Sheet'!A123,"")</f>
        <v>P121</v>
      </c>
      <c r="B122" s="10" t="str">
        <f>IF('Master Sheet'!C123="Area 7 (Anu R)",'Master Sheet'!B123,"")</f>
        <v>Smitha Rajeev Melukara</v>
      </c>
      <c r="C122" t="s">
        <v>10</v>
      </c>
      <c r="D122" s="9">
        <f>IF('Master Sheet'!C123="Area 7 (Anu R)",'Master Sheet'!D123,"")</f>
        <v>0</v>
      </c>
      <c r="E122" s="9">
        <f>IF('Master Sheet'!C123="Area 7 (Anu R)",'Master Sheet'!E123,"")</f>
        <v>0</v>
      </c>
      <c r="F122" s="9">
        <f>IF('Master Sheet'!C123="Area 7 (Anu R)",'Master Sheet'!F123,"")</f>
        <v>0</v>
      </c>
      <c r="G122" s="9">
        <f>IF('Master Sheet'!C123="Area 7 (Anu R)",'Master Sheet'!G123,"")</f>
        <v>0</v>
      </c>
      <c r="H122" s="9">
        <f>IF('Master Sheet'!C123="Area 7 (Anu R)",'Master Sheet'!H123,"")</f>
        <v>0</v>
      </c>
      <c r="I122" s="9">
        <f>IF('Master Sheet'!C123="Area 7 (Anu R)",'Master Sheet'!I123,"")</f>
        <v>0</v>
      </c>
      <c r="J122" s="9">
        <f>IF('Master Sheet'!C123="Area 7 (Anu R)",'Master Sheet'!J123,"")</f>
        <v>0</v>
      </c>
      <c r="K122" s="9">
        <f>IF('Master Sheet'!C123="Area 7 (Anu R)",'Master Sheet'!K123,"")</f>
        <v>0</v>
      </c>
      <c r="L122" s="9">
        <f>IF('Master Sheet'!C123="Area 7 (Anu R)",'Master Sheet'!L123,"")</f>
        <v>0</v>
      </c>
      <c r="M122" s="9">
        <f>IF('Master Sheet'!C123="Area 7 (Anu R)",'Master Sheet'!M123,"")</f>
        <v>0</v>
      </c>
      <c r="N122" s="9">
        <f>IF('Master Sheet'!C123="Area 7 (Anu R)",'Master Sheet'!N123,"")</f>
        <v>0</v>
      </c>
      <c r="O122" s="23">
        <f>IF('Master Sheet'!C123="Area 7 (Anu R)",'Master Sheet'!O123,"")</f>
        <v>3500</v>
      </c>
      <c r="P122" s="7" t="str">
        <f>IF('Master Sheet'!C123="Area 7 (Anu R)",'Master Sheet'!P123,"")</f>
        <v>Pending</v>
      </c>
    </row>
    <row r="123" spans="1:16" s="8" customFormat="1" ht="19.899999999999999" customHeight="1" x14ac:dyDescent="0.25">
      <c r="A123" s="10" t="str">
        <f>IF('Master Sheet'!C124="Area 7 (Anu R)",'Master Sheet'!A124,"")</f>
        <v>P122</v>
      </c>
      <c r="B123" s="10" t="str">
        <f>IF('Master Sheet'!C124="Area 7 (Anu R)",'Master Sheet'!B124,"")</f>
        <v>Sanu Mohan Kozhanchery</v>
      </c>
      <c r="C123" t="s">
        <v>10</v>
      </c>
      <c r="D123" s="9">
        <f>IF('Master Sheet'!C124="Area 7 (Anu R)",'Master Sheet'!D124,"")</f>
        <v>500</v>
      </c>
      <c r="E123" s="9">
        <f>IF('Master Sheet'!C124="Area 7 (Anu R)",'Master Sheet'!E124,"")</f>
        <v>0</v>
      </c>
      <c r="F123" s="9">
        <f>IF('Master Sheet'!C124="Area 7 (Anu R)",'Master Sheet'!F124,"")</f>
        <v>0</v>
      </c>
      <c r="G123" s="9">
        <f>IF('Master Sheet'!C124="Area 7 (Anu R)",'Master Sheet'!G124,"")</f>
        <v>0</v>
      </c>
      <c r="H123" s="9">
        <f>IF('Master Sheet'!C124="Area 7 (Anu R)",'Master Sheet'!H124,"")</f>
        <v>0</v>
      </c>
      <c r="I123" s="9">
        <f>IF('Master Sheet'!C124="Area 7 (Anu R)",'Master Sheet'!I124,"")</f>
        <v>0</v>
      </c>
      <c r="J123" s="9">
        <f>IF('Master Sheet'!C124="Area 7 (Anu R)",'Master Sheet'!J124,"")</f>
        <v>0</v>
      </c>
      <c r="K123" s="9">
        <f>IF('Master Sheet'!C124="Area 7 (Anu R)",'Master Sheet'!K124,"")</f>
        <v>0</v>
      </c>
      <c r="L123" s="9">
        <f>IF('Master Sheet'!C124="Area 7 (Anu R)",'Master Sheet'!L124,"")</f>
        <v>0</v>
      </c>
      <c r="M123" s="9">
        <f>IF('Master Sheet'!C124="Area 7 (Anu R)",'Master Sheet'!M124,"")</f>
        <v>0</v>
      </c>
      <c r="N123" s="9">
        <f>IF('Master Sheet'!C124="Area 7 (Anu R)",'Master Sheet'!N124,"")</f>
        <v>500</v>
      </c>
      <c r="O123" s="23">
        <f>IF('Master Sheet'!C124="Area 7 (Anu R)",'Master Sheet'!O124,"")</f>
        <v>3000</v>
      </c>
      <c r="P123" s="7" t="str">
        <f>IF('Master Sheet'!C124="Area 7 (Anu R)",'Master Sheet'!P124,"")</f>
        <v>Pending</v>
      </c>
    </row>
    <row r="124" spans="1:16" s="8" customFormat="1" ht="19.899999999999999" customHeight="1" x14ac:dyDescent="0.25">
      <c r="A124" s="10" t="str">
        <f>IF('Master Sheet'!C125="Area 7 (Anu R)",'Master Sheet'!A125,"")</f>
        <v>P123</v>
      </c>
      <c r="B124" s="10" t="str">
        <f>IF('Master Sheet'!C125="Area 7 (Anu R)",'Master Sheet'!B125,"")</f>
        <v>Maya Chenganassery</v>
      </c>
      <c r="C124" t="s">
        <v>10</v>
      </c>
      <c r="D124" s="9">
        <f>IF('Master Sheet'!C125="Area 7 (Anu R)",'Master Sheet'!D125,"")</f>
        <v>350</v>
      </c>
      <c r="E124" s="9">
        <f>IF('Master Sheet'!C125="Area 7 (Anu R)",'Master Sheet'!E125,"")</f>
        <v>0</v>
      </c>
      <c r="F124" s="9">
        <f>IF('Master Sheet'!C125="Area 7 (Anu R)",'Master Sheet'!F125,"")</f>
        <v>0</v>
      </c>
      <c r="G124" s="9">
        <f>IF('Master Sheet'!C125="Area 7 (Anu R)",'Master Sheet'!G125,"")</f>
        <v>0</v>
      </c>
      <c r="H124" s="9">
        <f>IF('Master Sheet'!C125="Area 7 (Anu R)",'Master Sheet'!H125,"")</f>
        <v>0</v>
      </c>
      <c r="I124" s="9">
        <f>IF('Master Sheet'!C125="Area 7 (Anu R)",'Master Sheet'!I125,"")</f>
        <v>0</v>
      </c>
      <c r="J124" s="9">
        <f>IF('Master Sheet'!C125="Area 7 (Anu R)",'Master Sheet'!J125,"")</f>
        <v>0</v>
      </c>
      <c r="K124" s="9">
        <f>IF('Master Sheet'!C125="Area 7 (Anu R)",'Master Sheet'!K125,"")</f>
        <v>0</v>
      </c>
      <c r="L124" s="9">
        <f>IF('Master Sheet'!C125="Area 7 (Anu R)",'Master Sheet'!L125,"")</f>
        <v>0</v>
      </c>
      <c r="M124" s="9">
        <f>IF('Master Sheet'!C125="Area 7 (Anu R)",'Master Sheet'!M125,"")</f>
        <v>0</v>
      </c>
      <c r="N124" s="9">
        <f>IF('Master Sheet'!C125="Area 7 (Anu R)",'Master Sheet'!N125,"")</f>
        <v>350</v>
      </c>
      <c r="O124" s="23">
        <f>IF('Master Sheet'!C125="Area 7 (Anu R)",'Master Sheet'!O125,"")</f>
        <v>3150</v>
      </c>
      <c r="P124" s="7" t="str">
        <f>IF('Master Sheet'!C125="Area 7 (Anu R)",'Master Sheet'!P125,"")</f>
        <v>Pending</v>
      </c>
    </row>
    <row r="125" spans="1:16" s="8" customFormat="1" ht="19.899999999999999" customHeight="1" x14ac:dyDescent="0.25">
      <c r="A125" s="10" t="str">
        <f>IF('Master Sheet'!C126="Area 7 (Anu R)",'Master Sheet'!A126,"")</f>
        <v>P124</v>
      </c>
      <c r="B125" s="10" t="str">
        <f>IF('Master Sheet'!C126="Area 7 (Anu R)",'Master Sheet'!B126,"")</f>
        <v>Savithri Paippad</v>
      </c>
      <c r="C125" t="s">
        <v>10</v>
      </c>
      <c r="D125" s="9">
        <f>IF('Master Sheet'!C126="Area 7 (Anu R)",'Master Sheet'!D126,"")</f>
        <v>350</v>
      </c>
      <c r="E125" s="9">
        <f>IF('Master Sheet'!C126="Area 7 (Anu R)",'Master Sheet'!E126,"")</f>
        <v>350</v>
      </c>
      <c r="F125" s="9">
        <f>IF('Master Sheet'!C126="Area 7 (Anu R)",'Master Sheet'!F126,"")</f>
        <v>350</v>
      </c>
      <c r="G125" s="9">
        <f>IF('Master Sheet'!C126="Area 7 (Anu R)",'Master Sheet'!G126,"")</f>
        <v>0</v>
      </c>
      <c r="H125" s="9">
        <f>IF('Master Sheet'!C126="Area 7 (Anu R)",'Master Sheet'!H126,"")</f>
        <v>0</v>
      </c>
      <c r="I125" s="9">
        <f>IF('Master Sheet'!C126="Area 7 (Anu R)",'Master Sheet'!I126,"")</f>
        <v>0</v>
      </c>
      <c r="J125" s="9">
        <f>IF('Master Sheet'!C126="Area 7 (Anu R)",'Master Sheet'!J126,"")</f>
        <v>0</v>
      </c>
      <c r="K125" s="9">
        <f>IF('Master Sheet'!C126="Area 7 (Anu R)",'Master Sheet'!K126,"")</f>
        <v>0</v>
      </c>
      <c r="L125" s="9">
        <f>IF('Master Sheet'!C126="Area 7 (Anu R)",'Master Sheet'!L126,"")</f>
        <v>0</v>
      </c>
      <c r="M125" s="9">
        <f>IF('Master Sheet'!C126="Area 7 (Anu R)",'Master Sheet'!M126,"")</f>
        <v>0</v>
      </c>
      <c r="N125" s="9">
        <f>IF('Master Sheet'!C126="Area 7 (Anu R)",'Master Sheet'!N126,"")</f>
        <v>1050</v>
      </c>
      <c r="O125" s="23">
        <f>IF('Master Sheet'!C126="Area 7 (Anu R)",'Master Sheet'!O126,"")</f>
        <v>2450</v>
      </c>
      <c r="P125" s="7" t="str">
        <f>IF('Master Sheet'!C126="Area 7 (Anu R)",'Master Sheet'!P126,"")</f>
        <v>Pending</v>
      </c>
    </row>
    <row r="126" spans="1:16" s="8" customFormat="1" ht="19.899999999999999" customHeight="1" x14ac:dyDescent="0.25">
      <c r="A126" s="10" t="str">
        <f>IF('Master Sheet'!C127="Area 7 (Anu R)",'Master Sheet'!A127,"")</f>
        <v>P125</v>
      </c>
      <c r="B126" s="10" t="str">
        <f>IF('Master Sheet'!C127="Area 7 (Anu R)",'Master Sheet'!B127,"")</f>
        <v>Anu Rajeev</v>
      </c>
      <c r="C126" t="s">
        <v>10</v>
      </c>
      <c r="D126" s="9">
        <f>IF('Master Sheet'!C127="Area 7 (Anu R)",'Master Sheet'!D127,"")</f>
        <v>350</v>
      </c>
      <c r="E126" s="9">
        <f>IF('Master Sheet'!C127="Area 7 (Anu R)",'Master Sheet'!E127,"")</f>
        <v>350</v>
      </c>
      <c r="F126" s="9">
        <f>IF('Master Sheet'!C127="Area 7 (Anu R)",'Master Sheet'!F127,"")</f>
        <v>350</v>
      </c>
      <c r="G126" s="9">
        <f>IF('Master Sheet'!C127="Area 7 (Anu R)",'Master Sheet'!G127,"")</f>
        <v>0</v>
      </c>
      <c r="H126" s="9">
        <f>IF('Master Sheet'!C127="Area 7 (Anu R)",'Master Sheet'!H127,"")</f>
        <v>0</v>
      </c>
      <c r="I126" s="9">
        <f>IF('Master Sheet'!C127="Area 7 (Anu R)",'Master Sheet'!I127,"")</f>
        <v>0</v>
      </c>
      <c r="J126" s="9">
        <f>IF('Master Sheet'!C127="Area 7 (Anu R)",'Master Sheet'!J127,"")</f>
        <v>0</v>
      </c>
      <c r="K126" s="9">
        <f>IF('Master Sheet'!C127="Area 7 (Anu R)",'Master Sheet'!K127,"")</f>
        <v>0</v>
      </c>
      <c r="L126" s="9">
        <f>IF('Master Sheet'!C127="Area 7 (Anu R)",'Master Sheet'!L127,"")</f>
        <v>0</v>
      </c>
      <c r="M126" s="9">
        <f>IF('Master Sheet'!C127="Area 7 (Anu R)",'Master Sheet'!M127,"")</f>
        <v>0</v>
      </c>
      <c r="N126" s="9">
        <f>IF('Master Sheet'!C127="Area 7 (Anu R)",'Master Sheet'!N127,"")</f>
        <v>1050</v>
      </c>
      <c r="O126" s="23">
        <f>IF('Master Sheet'!C127="Area 7 (Anu R)",'Master Sheet'!O127,"")</f>
        <v>2450</v>
      </c>
      <c r="P126" s="7" t="str">
        <f>IF('Master Sheet'!C127="Area 7 (Anu R)",'Master Sheet'!P127,"")</f>
        <v>Pending</v>
      </c>
    </row>
    <row r="127" spans="1:16" s="8" customFormat="1" ht="19.899999999999999" customHeight="1" x14ac:dyDescent="0.25">
      <c r="A127" s="10" t="str">
        <f>IF('Master Sheet'!C128="Area 7 (Anu R)",'Master Sheet'!A128,"")</f>
        <v>P126</v>
      </c>
      <c r="B127" s="10" t="str">
        <f>IF('Master Sheet'!C128="Area 7 (Anu R)",'Master Sheet'!B128,"")</f>
        <v>Noby Chengannassery</v>
      </c>
      <c r="C127" t="s">
        <v>10</v>
      </c>
      <c r="D127" s="9">
        <f>IF('Master Sheet'!C128="Area 7 (Anu R)",'Master Sheet'!D128,"")</f>
        <v>350</v>
      </c>
      <c r="E127" s="9">
        <f>IF('Master Sheet'!C128="Area 7 (Anu R)",'Master Sheet'!E128,"")</f>
        <v>0</v>
      </c>
      <c r="F127" s="9">
        <f>IF('Master Sheet'!C128="Area 7 (Anu R)",'Master Sheet'!F128,"")</f>
        <v>0</v>
      </c>
      <c r="G127" s="9">
        <f>IF('Master Sheet'!C128="Area 7 (Anu R)",'Master Sheet'!G128,"")</f>
        <v>0</v>
      </c>
      <c r="H127" s="9">
        <f>IF('Master Sheet'!C128="Area 7 (Anu R)",'Master Sheet'!H128,"")</f>
        <v>0</v>
      </c>
      <c r="I127" s="9">
        <f>IF('Master Sheet'!C128="Area 7 (Anu R)",'Master Sheet'!I128,"")</f>
        <v>0</v>
      </c>
      <c r="J127" s="9">
        <f>IF('Master Sheet'!C128="Area 7 (Anu R)",'Master Sheet'!J128,"")</f>
        <v>0</v>
      </c>
      <c r="K127" s="9">
        <f>IF('Master Sheet'!C128="Area 7 (Anu R)",'Master Sheet'!K128,"")</f>
        <v>0</v>
      </c>
      <c r="L127" s="9">
        <f>IF('Master Sheet'!C128="Area 7 (Anu R)",'Master Sheet'!L128,"")</f>
        <v>0</v>
      </c>
      <c r="M127" s="9">
        <f>IF('Master Sheet'!C128="Area 7 (Anu R)",'Master Sheet'!M128,"")</f>
        <v>0</v>
      </c>
      <c r="N127" s="9">
        <f>IF('Master Sheet'!C128="Area 7 (Anu R)",'Master Sheet'!N128,"")</f>
        <v>350</v>
      </c>
      <c r="O127" s="23">
        <f>IF('Master Sheet'!C128="Area 7 (Anu R)",'Master Sheet'!O128,"")</f>
        <v>3150</v>
      </c>
      <c r="P127" s="7" t="str">
        <f>IF('Master Sheet'!C128="Area 7 (Anu R)",'Master Sheet'!P128,"")</f>
        <v>Pending</v>
      </c>
    </row>
    <row r="128" spans="1:16" s="8" customFormat="1" ht="19.899999999999999" customHeight="1" x14ac:dyDescent="0.25">
      <c r="A128" s="10" t="str">
        <f>IF('Master Sheet'!C129="Area 7 (Anu R)",'Master Sheet'!A129,"")</f>
        <v>P127</v>
      </c>
      <c r="B128" s="10" t="str">
        <f>IF('Master Sheet'!C129="Area 7 (Anu R)",'Master Sheet'!B129,"")</f>
        <v>Reshmi Suresh</v>
      </c>
      <c r="C128" t="s">
        <v>10</v>
      </c>
      <c r="D128" s="9">
        <f>IF('Master Sheet'!C129="Area 7 (Anu R)",'Master Sheet'!D129,"")</f>
        <v>350</v>
      </c>
      <c r="E128" s="9">
        <f>IF('Master Sheet'!C129="Area 7 (Anu R)",'Master Sheet'!E129,"")</f>
        <v>350</v>
      </c>
      <c r="F128" s="9">
        <f>IF('Master Sheet'!C129="Area 7 (Anu R)",'Master Sheet'!F129,"")</f>
        <v>350</v>
      </c>
      <c r="G128" s="9">
        <f>IF('Master Sheet'!C129="Area 7 (Anu R)",'Master Sheet'!G129,"")</f>
        <v>350</v>
      </c>
      <c r="H128" s="9">
        <f>IF('Master Sheet'!C129="Area 7 (Anu R)",'Master Sheet'!H129,"")</f>
        <v>0</v>
      </c>
      <c r="I128" s="9">
        <f>IF('Master Sheet'!C129="Area 7 (Anu R)",'Master Sheet'!I129,"")</f>
        <v>0</v>
      </c>
      <c r="J128" s="9">
        <f>IF('Master Sheet'!C129="Area 7 (Anu R)",'Master Sheet'!J129,"")</f>
        <v>0</v>
      </c>
      <c r="K128" s="9">
        <f>IF('Master Sheet'!C129="Area 7 (Anu R)",'Master Sheet'!K129,"")</f>
        <v>0</v>
      </c>
      <c r="L128" s="9">
        <f>IF('Master Sheet'!C129="Area 7 (Anu R)",'Master Sheet'!L129,"")</f>
        <v>0</v>
      </c>
      <c r="M128" s="9">
        <f>IF('Master Sheet'!C129="Area 7 (Anu R)",'Master Sheet'!M129,"")</f>
        <v>0</v>
      </c>
      <c r="N128" s="9">
        <f>IF('Master Sheet'!C129="Area 7 (Anu R)",'Master Sheet'!N129,"")</f>
        <v>1400</v>
      </c>
      <c r="O128" s="23">
        <f>IF('Master Sheet'!C129="Area 7 (Anu R)",'Master Sheet'!O129,"")</f>
        <v>2100</v>
      </c>
      <c r="P128" s="7" t="str">
        <f>IF('Master Sheet'!C129="Area 7 (Anu R)",'Master Sheet'!P129,"")</f>
        <v>Pending</v>
      </c>
    </row>
    <row r="129" spans="1:16" s="8" customFormat="1" ht="19.899999999999999" customHeight="1" x14ac:dyDescent="0.25">
      <c r="A129" s="10" t="str">
        <f>IF('Master Sheet'!C130="Area 7 (Anu R)",'Master Sheet'!A130,"")</f>
        <v>P128</v>
      </c>
      <c r="B129" s="10" t="str">
        <f>IF('Master Sheet'!C130="Area 7 (Anu R)",'Master Sheet'!B130,"")</f>
        <v>Asha Ajeesh</v>
      </c>
      <c r="C129" t="s">
        <v>10</v>
      </c>
      <c r="D129" s="9">
        <f>IF('Master Sheet'!C130="Area 7 (Anu R)",'Master Sheet'!D130,"")</f>
        <v>350</v>
      </c>
      <c r="E129" s="9">
        <f>IF('Master Sheet'!C130="Area 7 (Anu R)",'Master Sheet'!E130,"")</f>
        <v>0</v>
      </c>
      <c r="F129" s="9">
        <f>IF('Master Sheet'!C130="Area 7 (Anu R)",'Master Sheet'!F130,"")</f>
        <v>0</v>
      </c>
      <c r="G129" s="9">
        <f>IF('Master Sheet'!C130="Area 7 (Anu R)",'Master Sheet'!G130,"")</f>
        <v>0</v>
      </c>
      <c r="H129" s="9">
        <f>IF('Master Sheet'!C130="Area 7 (Anu R)",'Master Sheet'!H130,"")</f>
        <v>0</v>
      </c>
      <c r="I129" s="9">
        <f>IF('Master Sheet'!C130="Area 7 (Anu R)",'Master Sheet'!I130,"")</f>
        <v>0</v>
      </c>
      <c r="J129" s="9">
        <f>IF('Master Sheet'!C130="Area 7 (Anu R)",'Master Sheet'!J130,"")</f>
        <v>0</v>
      </c>
      <c r="K129" s="9">
        <f>IF('Master Sheet'!C130="Area 7 (Anu R)",'Master Sheet'!K130,"")</f>
        <v>0</v>
      </c>
      <c r="L129" s="9">
        <f>IF('Master Sheet'!C130="Area 7 (Anu R)",'Master Sheet'!L130,"")</f>
        <v>0</v>
      </c>
      <c r="M129" s="9">
        <f>IF('Master Sheet'!C130="Area 7 (Anu R)",'Master Sheet'!M130,"")</f>
        <v>0</v>
      </c>
      <c r="N129" s="9">
        <f>IF('Master Sheet'!C130="Area 7 (Anu R)",'Master Sheet'!N130,"")</f>
        <v>350</v>
      </c>
      <c r="O129" s="23">
        <f>IF('Master Sheet'!C130="Area 7 (Anu R)",'Master Sheet'!O130,"")</f>
        <v>3150</v>
      </c>
      <c r="P129" s="7" t="str">
        <f>IF('Master Sheet'!C130="Area 7 (Anu R)",'Master Sheet'!P130,"")</f>
        <v>Pending</v>
      </c>
    </row>
    <row r="130" spans="1:16" s="8" customFormat="1" ht="19.899999999999999" customHeight="1" x14ac:dyDescent="0.25">
      <c r="A130" s="10" t="str">
        <f>IF('Master Sheet'!C131="Area 7 (Anu R)",'Master Sheet'!A131,"")</f>
        <v>P129</v>
      </c>
      <c r="B130" s="10" t="str">
        <f>IF('Master Sheet'!C131="Area 7 (Anu R)",'Master Sheet'!B131,"")</f>
        <v>Ambili Nellickal</v>
      </c>
      <c r="C130" t="s">
        <v>10</v>
      </c>
      <c r="D130" s="9">
        <f>IF('Master Sheet'!C131="Area 7 (Anu R)",'Master Sheet'!D131,"")</f>
        <v>350</v>
      </c>
      <c r="E130" s="9">
        <f>IF('Master Sheet'!C131="Area 7 (Anu R)",'Master Sheet'!E131,"")</f>
        <v>350</v>
      </c>
      <c r="F130" s="9">
        <f>IF('Master Sheet'!C131="Area 7 (Anu R)",'Master Sheet'!F131,"")</f>
        <v>350</v>
      </c>
      <c r="G130" s="9">
        <f>IF('Master Sheet'!C131="Area 7 (Anu R)",'Master Sheet'!G131,"")</f>
        <v>350</v>
      </c>
      <c r="H130" s="9">
        <f>IF('Master Sheet'!C131="Area 7 (Anu R)",'Master Sheet'!H131,"")</f>
        <v>0</v>
      </c>
      <c r="I130" s="9">
        <f>IF('Master Sheet'!C131="Area 7 (Anu R)",'Master Sheet'!I131,"")</f>
        <v>0</v>
      </c>
      <c r="J130" s="9">
        <f>IF('Master Sheet'!C131="Area 7 (Anu R)",'Master Sheet'!J131,"")</f>
        <v>0</v>
      </c>
      <c r="K130" s="9">
        <f>IF('Master Sheet'!C131="Area 7 (Anu R)",'Master Sheet'!K131,"")</f>
        <v>0</v>
      </c>
      <c r="L130" s="9">
        <f>IF('Master Sheet'!C131="Area 7 (Anu R)",'Master Sheet'!L131,"")</f>
        <v>0</v>
      </c>
      <c r="M130" s="9">
        <f>IF('Master Sheet'!C131="Area 7 (Anu R)",'Master Sheet'!M131,"")</f>
        <v>0</v>
      </c>
      <c r="N130" s="9">
        <f>IF('Master Sheet'!C131="Area 7 (Anu R)",'Master Sheet'!N131,"")</f>
        <v>1400</v>
      </c>
      <c r="O130" s="23">
        <f>IF('Master Sheet'!C131="Area 7 (Anu R)",'Master Sheet'!O131,"")</f>
        <v>2100</v>
      </c>
      <c r="P130" s="7" t="str">
        <f>IF('Master Sheet'!C131="Area 7 (Anu R)",'Master Sheet'!P131,"")</f>
        <v>Pending</v>
      </c>
    </row>
    <row r="131" spans="1:16" s="8" customFormat="1" ht="19.899999999999999" customHeight="1" x14ac:dyDescent="0.25">
      <c r="A131" s="10" t="str">
        <f>IF('Master Sheet'!C132="Area 7 (Anu R)",'Master Sheet'!A132,"")</f>
        <v>P130</v>
      </c>
      <c r="B131" s="10" t="str">
        <f>IF('Master Sheet'!C132="Area 7 (Anu R)",'Master Sheet'!B132,"")</f>
        <v>Mini Nellickal</v>
      </c>
      <c r="C131" t="s">
        <v>10</v>
      </c>
      <c r="D131" s="9">
        <f>IF('Master Sheet'!C132="Area 7 (Anu R)",'Master Sheet'!D132,"")</f>
        <v>350</v>
      </c>
      <c r="E131" s="9">
        <f>IF('Master Sheet'!C132="Area 7 (Anu R)",'Master Sheet'!E132,"")</f>
        <v>350</v>
      </c>
      <c r="F131" s="9">
        <f>IF('Master Sheet'!C132="Area 7 (Anu R)",'Master Sheet'!F132,"")</f>
        <v>350</v>
      </c>
      <c r="G131" s="9">
        <f>IF('Master Sheet'!C132="Area 7 (Anu R)",'Master Sheet'!G132,"")</f>
        <v>350</v>
      </c>
      <c r="H131" s="9">
        <f>IF('Master Sheet'!C132="Area 7 (Anu R)",'Master Sheet'!H132,"")</f>
        <v>0</v>
      </c>
      <c r="I131" s="9">
        <f>IF('Master Sheet'!C132="Area 7 (Anu R)",'Master Sheet'!I132,"")</f>
        <v>0</v>
      </c>
      <c r="J131" s="9">
        <f>IF('Master Sheet'!C132="Area 7 (Anu R)",'Master Sheet'!J132,"")</f>
        <v>0</v>
      </c>
      <c r="K131" s="9">
        <f>IF('Master Sheet'!C132="Area 7 (Anu R)",'Master Sheet'!K132,"")</f>
        <v>0</v>
      </c>
      <c r="L131" s="9">
        <f>IF('Master Sheet'!C132="Area 7 (Anu R)",'Master Sheet'!L132,"")</f>
        <v>0</v>
      </c>
      <c r="M131" s="9">
        <f>IF('Master Sheet'!C132="Area 7 (Anu R)",'Master Sheet'!M132,"")</f>
        <v>0</v>
      </c>
      <c r="N131" s="9">
        <f>IF('Master Sheet'!C132="Area 7 (Anu R)",'Master Sheet'!N132,"")</f>
        <v>1400</v>
      </c>
      <c r="O131" s="23">
        <f>IF('Master Sheet'!C132="Area 7 (Anu R)",'Master Sheet'!O132,"")</f>
        <v>2100</v>
      </c>
      <c r="P131" s="7" t="str">
        <f>IF('Master Sheet'!C132="Area 7 (Anu R)",'Master Sheet'!P132,"")</f>
        <v>Pending</v>
      </c>
    </row>
    <row r="132" spans="1:16" s="8" customFormat="1" ht="19.899999999999999" customHeight="1" x14ac:dyDescent="0.25">
      <c r="A132" s="10" t="str">
        <f>IF('Master Sheet'!C133="Area 7 (Anu R)",'Master Sheet'!A133,"")</f>
        <v>P131</v>
      </c>
      <c r="B132" s="10" t="str">
        <f>IF('Master Sheet'!C133="Area 7 (Anu R)",'Master Sheet'!B133,"")</f>
        <v>Omana Nellickal</v>
      </c>
      <c r="C132" t="s">
        <v>10</v>
      </c>
      <c r="D132" s="9">
        <f>IF('Master Sheet'!C133="Area 7 (Anu R)",'Master Sheet'!D133,"")</f>
        <v>350</v>
      </c>
      <c r="E132" s="9">
        <f>IF('Master Sheet'!C133="Area 7 (Anu R)",'Master Sheet'!E133,"")</f>
        <v>350</v>
      </c>
      <c r="F132" s="9">
        <f>IF('Master Sheet'!C133="Area 7 (Anu R)",'Master Sheet'!F133,"")</f>
        <v>350</v>
      </c>
      <c r="G132" s="9">
        <f>IF('Master Sheet'!C133="Area 7 (Anu R)",'Master Sheet'!G133,"")</f>
        <v>350</v>
      </c>
      <c r="H132" s="9">
        <f>IF('Master Sheet'!C133="Area 7 (Anu R)",'Master Sheet'!H133,"")</f>
        <v>0</v>
      </c>
      <c r="I132" s="9">
        <f>IF('Master Sheet'!C133="Area 7 (Anu R)",'Master Sheet'!I133,"")</f>
        <v>0</v>
      </c>
      <c r="J132" s="9">
        <f>IF('Master Sheet'!C133="Area 7 (Anu R)",'Master Sheet'!J133,"")</f>
        <v>0</v>
      </c>
      <c r="K132" s="9">
        <f>IF('Master Sheet'!C133="Area 7 (Anu R)",'Master Sheet'!K133,"")</f>
        <v>0</v>
      </c>
      <c r="L132" s="9">
        <f>IF('Master Sheet'!C133="Area 7 (Anu R)",'Master Sheet'!L133,"")</f>
        <v>0</v>
      </c>
      <c r="M132" s="9">
        <f>IF('Master Sheet'!C133="Area 7 (Anu R)",'Master Sheet'!M133,"")</f>
        <v>0</v>
      </c>
      <c r="N132" s="9">
        <f>IF('Master Sheet'!C133="Area 7 (Anu R)",'Master Sheet'!N133,"")</f>
        <v>1400</v>
      </c>
      <c r="O132" s="23">
        <f>IF('Master Sheet'!C133="Area 7 (Anu R)",'Master Sheet'!O133,"")</f>
        <v>2100</v>
      </c>
      <c r="P132" s="7" t="str">
        <f>IF('Master Sheet'!C133="Area 7 (Anu R)",'Master Sheet'!P133,"")</f>
        <v>Pending</v>
      </c>
    </row>
    <row r="133" spans="1:16" s="8" customFormat="1" ht="19.899999999999999" customHeight="1" x14ac:dyDescent="0.25">
      <c r="A133" s="10" t="str">
        <f>IF('Master Sheet'!C134="Area 7 (Anu R)",'Master Sheet'!A134,"")</f>
        <v>P132</v>
      </c>
      <c r="B133" s="10" t="str">
        <f>IF('Master Sheet'!C134="Area 7 (Anu R)",'Master Sheet'!B134,"")</f>
        <v>Roney</v>
      </c>
      <c r="C133" t="s">
        <v>10</v>
      </c>
      <c r="D133" s="9">
        <f>IF('Master Sheet'!C134="Area 7 (Anu R)",'Master Sheet'!D134,"")</f>
        <v>350</v>
      </c>
      <c r="E133" s="9">
        <f>IF('Master Sheet'!C134="Area 7 (Anu R)",'Master Sheet'!E134,"")</f>
        <v>350</v>
      </c>
      <c r="F133" s="9">
        <f>IF('Master Sheet'!C134="Area 7 (Anu R)",'Master Sheet'!F134,"")</f>
        <v>350</v>
      </c>
      <c r="G133" s="9">
        <f>IF('Master Sheet'!C134="Area 7 (Anu R)",'Master Sheet'!G134,"")</f>
        <v>0</v>
      </c>
      <c r="H133" s="9">
        <f>IF('Master Sheet'!C134="Area 7 (Anu R)",'Master Sheet'!H134,"")</f>
        <v>0</v>
      </c>
      <c r="I133" s="9">
        <f>IF('Master Sheet'!C134="Area 7 (Anu R)",'Master Sheet'!I134,"")</f>
        <v>0</v>
      </c>
      <c r="J133" s="9">
        <f>IF('Master Sheet'!C134="Area 7 (Anu R)",'Master Sheet'!J134,"")</f>
        <v>0</v>
      </c>
      <c r="K133" s="9">
        <f>IF('Master Sheet'!C134="Area 7 (Anu R)",'Master Sheet'!K134,"")</f>
        <v>0</v>
      </c>
      <c r="L133" s="9">
        <f>IF('Master Sheet'!C134="Area 7 (Anu R)",'Master Sheet'!L134,"")</f>
        <v>0</v>
      </c>
      <c r="M133" s="9">
        <f>IF('Master Sheet'!C134="Area 7 (Anu R)",'Master Sheet'!M134,"")</f>
        <v>0</v>
      </c>
      <c r="N133" s="9">
        <f>IF('Master Sheet'!C134="Area 7 (Anu R)",'Master Sheet'!N134,"")</f>
        <v>1050</v>
      </c>
      <c r="O133" s="23">
        <f>IF('Master Sheet'!C134="Area 7 (Anu R)",'Master Sheet'!O134,"")</f>
        <v>2450</v>
      </c>
      <c r="P133" s="7" t="str">
        <f>IF('Master Sheet'!C134="Area 7 (Anu R)",'Master Sheet'!P134,"")</f>
        <v>Pending</v>
      </c>
    </row>
    <row r="134" spans="1:16" s="8" customFormat="1" ht="19.899999999999999" customHeight="1" x14ac:dyDescent="0.25">
      <c r="A134" s="10" t="str">
        <f>IF('Master Sheet'!C135="Area 7 (Anu R)",'Master Sheet'!A135,"")</f>
        <v>P133</v>
      </c>
      <c r="B134" s="10" t="str">
        <f>IF('Master Sheet'!C135="Area 7 (Anu R)",'Master Sheet'!B135,"")</f>
        <v>Sindhu Dileep</v>
      </c>
      <c r="C134" t="s">
        <v>10</v>
      </c>
      <c r="D134" s="9">
        <f>IF('Master Sheet'!C135="Area 7 (Anu R)",'Master Sheet'!D135,"")</f>
        <v>300</v>
      </c>
      <c r="E134" s="9">
        <f>IF('Master Sheet'!C135="Area 7 (Anu R)",'Master Sheet'!E135,"")</f>
        <v>0</v>
      </c>
      <c r="F134" s="9">
        <f>IF('Master Sheet'!C135="Area 7 (Anu R)",'Master Sheet'!F135,"")</f>
        <v>0</v>
      </c>
      <c r="G134" s="9">
        <f>IF('Master Sheet'!C135="Area 7 (Anu R)",'Master Sheet'!G135,"")</f>
        <v>0</v>
      </c>
      <c r="H134" s="9">
        <f>IF('Master Sheet'!C135="Area 7 (Anu R)",'Master Sheet'!H135,"")</f>
        <v>0</v>
      </c>
      <c r="I134" s="9">
        <f>IF('Master Sheet'!C135="Area 7 (Anu R)",'Master Sheet'!I135,"")</f>
        <v>0</v>
      </c>
      <c r="J134" s="9">
        <f>IF('Master Sheet'!C135="Area 7 (Anu R)",'Master Sheet'!J135,"")</f>
        <v>0</v>
      </c>
      <c r="K134" s="9">
        <f>IF('Master Sheet'!C135="Area 7 (Anu R)",'Master Sheet'!K135,"")</f>
        <v>0</v>
      </c>
      <c r="L134" s="9">
        <f>IF('Master Sheet'!C135="Area 7 (Anu R)",'Master Sheet'!L135,"")</f>
        <v>0</v>
      </c>
      <c r="M134" s="9">
        <f>IF('Master Sheet'!C135="Area 7 (Anu R)",'Master Sheet'!M135,"")</f>
        <v>0</v>
      </c>
      <c r="N134" s="9">
        <f>IF('Master Sheet'!C135="Area 7 (Anu R)",'Master Sheet'!N135,"")</f>
        <v>300</v>
      </c>
      <c r="O134" s="23">
        <f>IF('Master Sheet'!C135="Area 7 (Anu R)",'Master Sheet'!O135,"")</f>
        <v>3200</v>
      </c>
      <c r="P134" s="7" t="str">
        <f>IF('Master Sheet'!C135="Area 7 (Anu R)",'Master Sheet'!P135,"")</f>
        <v>Pending</v>
      </c>
    </row>
    <row r="135" spans="1:16" s="8" customFormat="1" ht="19.899999999999999" customHeight="1" x14ac:dyDescent="0.25">
      <c r="A135" s="10" t="str">
        <f>IF('Master Sheet'!C136="Area 7 (Anu R)",'Master Sheet'!A136,"")</f>
        <v>P134</v>
      </c>
      <c r="B135" s="10" t="str">
        <f>IF('Master Sheet'!C136="Area 7 (Anu R)",'Master Sheet'!B136,"")</f>
        <v>Bindhu Santhosh</v>
      </c>
      <c r="C135" t="s">
        <v>10</v>
      </c>
      <c r="D135" s="9">
        <f>IF('Master Sheet'!C136="Area 7 (Anu R)",'Master Sheet'!D136,"")</f>
        <v>350</v>
      </c>
      <c r="E135" s="9">
        <f>IF('Master Sheet'!C136="Area 7 (Anu R)",'Master Sheet'!E136,"")</f>
        <v>0</v>
      </c>
      <c r="F135" s="9">
        <f>IF('Master Sheet'!C136="Area 7 (Anu R)",'Master Sheet'!F136,"")</f>
        <v>0</v>
      </c>
      <c r="G135" s="9">
        <f>IF('Master Sheet'!C136="Area 7 (Anu R)",'Master Sheet'!G136,"")</f>
        <v>0</v>
      </c>
      <c r="H135" s="9">
        <f>IF('Master Sheet'!C136="Area 7 (Anu R)",'Master Sheet'!H136,"")</f>
        <v>0</v>
      </c>
      <c r="I135" s="9">
        <f>IF('Master Sheet'!C136="Area 7 (Anu R)",'Master Sheet'!I136,"")</f>
        <v>0</v>
      </c>
      <c r="J135" s="9">
        <f>IF('Master Sheet'!C136="Area 7 (Anu R)",'Master Sheet'!J136,"")</f>
        <v>0</v>
      </c>
      <c r="K135" s="9">
        <f>IF('Master Sheet'!C136="Area 7 (Anu R)",'Master Sheet'!K136,"")</f>
        <v>0</v>
      </c>
      <c r="L135" s="9">
        <f>IF('Master Sheet'!C136="Area 7 (Anu R)",'Master Sheet'!L136,"")</f>
        <v>0</v>
      </c>
      <c r="M135" s="9">
        <f>IF('Master Sheet'!C136="Area 7 (Anu R)",'Master Sheet'!M136,"")</f>
        <v>0</v>
      </c>
      <c r="N135" s="9">
        <f>IF('Master Sheet'!C136="Area 7 (Anu R)",'Master Sheet'!N136,"")</f>
        <v>350</v>
      </c>
      <c r="O135" s="23">
        <f>IF('Master Sheet'!C136="Area 7 (Anu R)",'Master Sheet'!O136,"")</f>
        <v>3150</v>
      </c>
      <c r="P135" s="7" t="str">
        <f>IF('Master Sheet'!C136="Area 7 (Anu R)",'Master Sheet'!P136,"")</f>
        <v>Pending</v>
      </c>
    </row>
    <row r="136" spans="1:16" s="8" customFormat="1" ht="19.899999999999999" customHeight="1" x14ac:dyDescent="0.25">
      <c r="A136" s="10" t="str">
        <f>IF('Master Sheet'!C137="Area 7 (Anu R)",'Master Sheet'!A137,"")</f>
        <v>P135</v>
      </c>
      <c r="B136" s="10" t="str">
        <f>IF('Master Sheet'!C137="Area 7 (Anu R)",'Master Sheet'!B137,"")</f>
        <v>Sreelatha Ayroor</v>
      </c>
      <c r="C136" t="s">
        <v>10</v>
      </c>
      <c r="D136" s="9">
        <f>IF('Master Sheet'!C137="Area 7 (Anu R)",'Master Sheet'!D137,"")</f>
        <v>350</v>
      </c>
      <c r="E136" s="9">
        <f>IF('Master Sheet'!C137="Area 7 (Anu R)",'Master Sheet'!E137,"")</f>
        <v>350</v>
      </c>
      <c r="F136" s="9">
        <f>IF('Master Sheet'!C137="Area 7 (Anu R)",'Master Sheet'!F137,"")</f>
        <v>350</v>
      </c>
      <c r="G136" s="9">
        <f>IF('Master Sheet'!C137="Area 7 (Anu R)",'Master Sheet'!G137,"")</f>
        <v>0</v>
      </c>
      <c r="H136" s="9">
        <f>IF('Master Sheet'!C137="Area 7 (Anu R)",'Master Sheet'!H137,"")</f>
        <v>0</v>
      </c>
      <c r="I136" s="9">
        <f>IF('Master Sheet'!C137="Area 7 (Anu R)",'Master Sheet'!I137,"")</f>
        <v>0</v>
      </c>
      <c r="J136" s="9">
        <f>IF('Master Sheet'!C137="Area 7 (Anu R)",'Master Sheet'!J137,"")</f>
        <v>0</v>
      </c>
      <c r="K136" s="9">
        <f>IF('Master Sheet'!C137="Area 7 (Anu R)",'Master Sheet'!K137,"")</f>
        <v>0</v>
      </c>
      <c r="L136" s="9">
        <f>IF('Master Sheet'!C137="Area 7 (Anu R)",'Master Sheet'!L137,"")</f>
        <v>0</v>
      </c>
      <c r="M136" s="9">
        <f>IF('Master Sheet'!C137="Area 7 (Anu R)",'Master Sheet'!M137,"")</f>
        <v>0</v>
      </c>
      <c r="N136" s="9">
        <f>IF('Master Sheet'!C137="Area 7 (Anu R)",'Master Sheet'!N137,"")</f>
        <v>1050</v>
      </c>
      <c r="O136" s="23">
        <f>IF('Master Sheet'!C137="Area 7 (Anu R)",'Master Sheet'!O137,"")</f>
        <v>2450</v>
      </c>
      <c r="P136" s="7" t="str">
        <f>IF('Master Sheet'!C137="Area 7 (Anu R)",'Master Sheet'!P137,"")</f>
        <v>Pending</v>
      </c>
    </row>
    <row r="137" spans="1:16" s="8" customFormat="1" ht="19.899999999999999" customHeight="1" x14ac:dyDescent="0.25">
      <c r="A137" s="10" t="str">
        <f>IF('Master Sheet'!C138="Area 7 (Anu R)",'Master Sheet'!A138,"")</f>
        <v>P136</v>
      </c>
      <c r="B137" s="10" t="str">
        <f>IF('Master Sheet'!C138="Area 7 (Anu R)",'Master Sheet'!B138,"")</f>
        <v>Preseetha Ayiroor</v>
      </c>
      <c r="C137" t="s">
        <v>10</v>
      </c>
      <c r="D137" s="9">
        <f>IF('Master Sheet'!C138="Area 7 (Anu R)",'Master Sheet'!D138,"")</f>
        <v>350</v>
      </c>
      <c r="E137" s="9">
        <f>IF('Master Sheet'!C138="Area 7 (Anu R)",'Master Sheet'!E138,"")</f>
        <v>350</v>
      </c>
      <c r="F137" s="9">
        <f>IF('Master Sheet'!C138="Area 7 (Anu R)",'Master Sheet'!F138,"")</f>
        <v>350</v>
      </c>
      <c r="G137" s="9">
        <f>IF('Master Sheet'!C138="Area 7 (Anu R)",'Master Sheet'!G138,"")</f>
        <v>0</v>
      </c>
      <c r="H137" s="9">
        <f>IF('Master Sheet'!C138="Area 7 (Anu R)",'Master Sheet'!H138,"")</f>
        <v>0</v>
      </c>
      <c r="I137" s="9">
        <f>IF('Master Sheet'!C138="Area 7 (Anu R)",'Master Sheet'!I138,"")</f>
        <v>0</v>
      </c>
      <c r="J137" s="9">
        <f>IF('Master Sheet'!C138="Area 7 (Anu R)",'Master Sheet'!J138,"")</f>
        <v>0</v>
      </c>
      <c r="K137" s="9">
        <f>IF('Master Sheet'!C138="Area 7 (Anu R)",'Master Sheet'!K138,"")</f>
        <v>0</v>
      </c>
      <c r="L137" s="9">
        <f>IF('Master Sheet'!C138="Area 7 (Anu R)",'Master Sheet'!L138,"")</f>
        <v>0</v>
      </c>
      <c r="M137" s="9">
        <f>IF('Master Sheet'!C138="Area 7 (Anu R)",'Master Sheet'!M138,"")</f>
        <v>0</v>
      </c>
      <c r="N137" s="9">
        <f>IF('Master Sheet'!C138="Area 7 (Anu R)",'Master Sheet'!N138,"")</f>
        <v>1050</v>
      </c>
      <c r="O137" s="23">
        <f>IF('Master Sheet'!C138="Area 7 (Anu R)",'Master Sheet'!O138,"")</f>
        <v>2450</v>
      </c>
      <c r="P137" s="7" t="str">
        <f>IF('Master Sheet'!C138="Area 7 (Anu R)",'Master Sheet'!P138,"")</f>
        <v>Pending</v>
      </c>
    </row>
    <row r="138" spans="1:16" s="8" customFormat="1" ht="19.899999999999999" customHeight="1" x14ac:dyDescent="0.25">
      <c r="A138" s="10" t="str">
        <f>IF('Master Sheet'!C139="Area 7 (Anu R)",'Master Sheet'!A139,"")</f>
        <v>P137</v>
      </c>
      <c r="B138" s="10" t="str">
        <f>IF('Master Sheet'!C139="Area 7 (Anu R)",'Master Sheet'!B139,"")</f>
        <v>Ajitha Nellickal</v>
      </c>
      <c r="C138" t="s">
        <v>10</v>
      </c>
      <c r="D138" s="9">
        <f>IF('Master Sheet'!C139="Area 7 (Anu R)",'Master Sheet'!D139,"")</f>
        <v>350</v>
      </c>
      <c r="E138" s="9">
        <f>IF('Master Sheet'!C139="Area 7 (Anu R)",'Master Sheet'!E139,"")</f>
        <v>350</v>
      </c>
      <c r="F138" s="9">
        <f>IF('Master Sheet'!C139="Area 7 (Anu R)",'Master Sheet'!F139,"")</f>
        <v>350</v>
      </c>
      <c r="G138" s="9">
        <f>IF('Master Sheet'!C139="Area 7 (Anu R)",'Master Sheet'!G139,"")</f>
        <v>350</v>
      </c>
      <c r="H138" s="9">
        <f>IF('Master Sheet'!C139="Area 7 (Anu R)",'Master Sheet'!H139,"")</f>
        <v>0</v>
      </c>
      <c r="I138" s="9">
        <f>IF('Master Sheet'!C139="Area 7 (Anu R)",'Master Sheet'!I139,"")</f>
        <v>0</v>
      </c>
      <c r="J138" s="9">
        <f>IF('Master Sheet'!C139="Area 7 (Anu R)",'Master Sheet'!J139,"")</f>
        <v>0</v>
      </c>
      <c r="K138" s="9">
        <f>IF('Master Sheet'!C139="Area 7 (Anu R)",'Master Sheet'!K139,"")</f>
        <v>0</v>
      </c>
      <c r="L138" s="9">
        <f>IF('Master Sheet'!C139="Area 7 (Anu R)",'Master Sheet'!L139,"")</f>
        <v>0</v>
      </c>
      <c r="M138" s="9">
        <f>IF('Master Sheet'!C139="Area 7 (Anu R)",'Master Sheet'!M139,"")</f>
        <v>0</v>
      </c>
      <c r="N138" s="9">
        <f>IF('Master Sheet'!C139="Area 7 (Anu R)",'Master Sheet'!N139,"")</f>
        <v>1400</v>
      </c>
      <c r="O138" s="23">
        <f>IF('Master Sheet'!C139="Area 7 (Anu R)",'Master Sheet'!O139,"")</f>
        <v>2100</v>
      </c>
      <c r="P138" s="7" t="str">
        <f>IF('Master Sheet'!C139="Area 7 (Anu R)",'Master Sheet'!P139,"")</f>
        <v>Pending</v>
      </c>
    </row>
    <row r="139" spans="1:16" s="8" customFormat="1" ht="19.899999999999999" customHeight="1" x14ac:dyDescent="0.25">
      <c r="A139" s="10" t="str">
        <f>IF('Master Sheet'!C140="Area 7 (Anu R)",'Master Sheet'!A140,"")</f>
        <v>P138</v>
      </c>
      <c r="B139" s="10" t="str">
        <f>IF('Master Sheet'!C140="Area 7 (Anu R)",'Master Sheet'!B140,"")</f>
        <v>Nisha Dileesh</v>
      </c>
      <c r="C139" t="s">
        <v>10</v>
      </c>
      <c r="D139" s="9">
        <f>IF('Master Sheet'!C140="Area 7 (Anu R)",'Master Sheet'!D140,"")</f>
        <v>350</v>
      </c>
      <c r="E139" s="9">
        <f>IF('Master Sheet'!C140="Area 7 (Anu R)",'Master Sheet'!E140,"")</f>
        <v>350</v>
      </c>
      <c r="F139" s="9">
        <f>IF('Master Sheet'!C140="Area 7 (Anu R)",'Master Sheet'!F140,"")</f>
        <v>350</v>
      </c>
      <c r="G139" s="9">
        <f>IF('Master Sheet'!C140="Area 7 (Anu R)",'Master Sheet'!G140,"")</f>
        <v>0</v>
      </c>
      <c r="H139" s="9">
        <f>IF('Master Sheet'!C140="Area 7 (Anu R)",'Master Sheet'!H140,"")</f>
        <v>0</v>
      </c>
      <c r="I139" s="9">
        <f>IF('Master Sheet'!C140="Area 7 (Anu R)",'Master Sheet'!I140,"")</f>
        <v>0</v>
      </c>
      <c r="J139" s="9">
        <f>IF('Master Sheet'!C140="Area 7 (Anu R)",'Master Sheet'!J140,"")</f>
        <v>0</v>
      </c>
      <c r="K139" s="9">
        <f>IF('Master Sheet'!C140="Area 7 (Anu R)",'Master Sheet'!K140,"")</f>
        <v>0</v>
      </c>
      <c r="L139" s="9">
        <f>IF('Master Sheet'!C140="Area 7 (Anu R)",'Master Sheet'!L140,"")</f>
        <v>0</v>
      </c>
      <c r="M139" s="9">
        <f>IF('Master Sheet'!C140="Area 7 (Anu R)",'Master Sheet'!M140,"")</f>
        <v>0</v>
      </c>
      <c r="N139" s="9">
        <f>IF('Master Sheet'!C140="Area 7 (Anu R)",'Master Sheet'!N140,"")</f>
        <v>1050</v>
      </c>
      <c r="O139" s="23">
        <f>IF('Master Sheet'!C140="Area 7 (Anu R)",'Master Sheet'!O140,"")</f>
        <v>2450</v>
      </c>
      <c r="P139" s="7" t="str">
        <f>IF('Master Sheet'!C140="Area 7 (Anu R)",'Master Sheet'!P140,"")</f>
        <v>Pending</v>
      </c>
    </row>
    <row r="140" spans="1:16" s="8" customFormat="1" ht="19.899999999999999" customHeight="1" x14ac:dyDescent="0.25">
      <c r="A140" s="10" t="str">
        <f>IF('Master Sheet'!C141="Area 7 (Anu R)",'Master Sheet'!A141,"")</f>
        <v>P139</v>
      </c>
      <c r="B140" s="10" t="str">
        <f>IF('Master Sheet'!C141="Area 7 (Anu R)",'Master Sheet'!B141,"")</f>
        <v>Saji Suresh Melukara</v>
      </c>
      <c r="C140" t="s">
        <v>10</v>
      </c>
      <c r="D140" s="9">
        <f>IF('Master Sheet'!C141="Area 7 (Anu R)",'Master Sheet'!D141,"")</f>
        <v>350</v>
      </c>
      <c r="E140" s="9">
        <f>IF('Master Sheet'!C141="Area 7 (Anu R)",'Master Sheet'!E141,"")</f>
        <v>350</v>
      </c>
      <c r="F140" s="9">
        <f>IF('Master Sheet'!C141="Area 7 (Anu R)",'Master Sheet'!F141,"")</f>
        <v>350</v>
      </c>
      <c r="G140" s="9">
        <f>IF('Master Sheet'!C141="Area 7 (Anu R)",'Master Sheet'!G141,"")</f>
        <v>0</v>
      </c>
      <c r="H140" s="9">
        <f>IF('Master Sheet'!C141="Area 7 (Anu R)",'Master Sheet'!H141,"")</f>
        <v>0</v>
      </c>
      <c r="I140" s="9">
        <f>IF('Master Sheet'!C141="Area 7 (Anu R)",'Master Sheet'!I141,"")</f>
        <v>0</v>
      </c>
      <c r="J140" s="9">
        <f>IF('Master Sheet'!C141="Area 7 (Anu R)",'Master Sheet'!J141,"")</f>
        <v>0</v>
      </c>
      <c r="K140" s="9">
        <f>IF('Master Sheet'!C141="Area 7 (Anu R)",'Master Sheet'!K141,"")</f>
        <v>0</v>
      </c>
      <c r="L140" s="9">
        <f>IF('Master Sheet'!C141="Area 7 (Anu R)",'Master Sheet'!L141,"")</f>
        <v>0</v>
      </c>
      <c r="M140" s="9">
        <f>IF('Master Sheet'!C141="Area 7 (Anu R)",'Master Sheet'!M141,"")</f>
        <v>0</v>
      </c>
      <c r="N140" s="9">
        <f>IF('Master Sheet'!C141="Area 7 (Anu R)",'Master Sheet'!N141,"")</f>
        <v>1050</v>
      </c>
      <c r="O140" s="23">
        <f>IF('Master Sheet'!C141="Area 7 (Anu R)",'Master Sheet'!O141,"")</f>
        <v>2450</v>
      </c>
      <c r="P140" s="7" t="str">
        <f>IF('Master Sheet'!C141="Area 7 (Anu R)",'Master Sheet'!P141,"")</f>
        <v>Pending</v>
      </c>
    </row>
    <row r="141" spans="1:16" s="8" customFormat="1" ht="19.899999999999999" customHeight="1" x14ac:dyDescent="0.25">
      <c r="A141" s="10" t="str">
        <f>IF('Master Sheet'!C142="Area 7 (Anu R)",'Master Sheet'!A142,"")</f>
        <v>P140</v>
      </c>
      <c r="B141" s="10" t="str">
        <f>IF('Master Sheet'!C142="Area 7 (Anu R)",'Master Sheet'!B142,"")</f>
        <v>Rejani Santhosh Melukara</v>
      </c>
      <c r="C141" t="s">
        <v>10</v>
      </c>
      <c r="D141" s="9">
        <f>IF('Master Sheet'!C142="Area 7 (Anu R)",'Master Sheet'!D142,"")</f>
        <v>350</v>
      </c>
      <c r="E141" s="9">
        <f>IF('Master Sheet'!C142="Area 7 (Anu R)",'Master Sheet'!E142,"")</f>
        <v>0</v>
      </c>
      <c r="F141" s="9">
        <f>IF('Master Sheet'!C142="Area 7 (Anu R)",'Master Sheet'!F142,"")</f>
        <v>300</v>
      </c>
      <c r="G141" s="9">
        <f>IF('Master Sheet'!C142="Area 7 (Anu R)",'Master Sheet'!G142,"")</f>
        <v>0</v>
      </c>
      <c r="H141" s="9">
        <f>IF('Master Sheet'!C142="Area 7 (Anu R)",'Master Sheet'!H142,"")</f>
        <v>0</v>
      </c>
      <c r="I141" s="9">
        <f>IF('Master Sheet'!C142="Area 7 (Anu R)",'Master Sheet'!I142,"")</f>
        <v>0</v>
      </c>
      <c r="J141" s="9">
        <f>IF('Master Sheet'!C142="Area 7 (Anu R)",'Master Sheet'!J142,"")</f>
        <v>0</v>
      </c>
      <c r="K141" s="9">
        <f>IF('Master Sheet'!C142="Area 7 (Anu R)",'Master Sheet'!K142,"")</f>
        <v>0</v>
      </c>
      <c r="L141" s="9">
        <f>IF('Master Sheet'!C142="Area 7 (Anu R)",'Master Sheet'!L142,"")</f>
        <v>0</v>
      </c>
      <c r="M141" s="9">
        <f>IF('Master Sheet'!C142="Area 7 (Anu R)",'Master Sheet'!M142,"")</f>
        <v>0</v>
      </c>
      <c r="N141" s="9">
        <f>IF('Master Sheet'!C142="Area 7 (Anu R)",'Master Sheet'!N142,"")</f>
        <v>650</v>
      </c>
      <c r="O141" s="23">
        <f>IF('Master Sheet'!C142="Area 7 (Anu R)",'Master Sheet'!O142,"")</f>
        <v>2850</v>
      </c>
      <c r="P141" s="7" t="str">
        <f>IF('Master Sheet'!C142="Area 7 (Anu R)",'Master Sheet'!P142,"")</f>
        <v>Pending</v>
      </c>
    </row>
    <row r="142" spans="1:16" s="8" customFormat="1" ht="19.899999999999999" customHeight="1" x14ac:dyDescent="0.25">
      <c r="A142" s="10" t="str">
        <f>IF('Master Sheet'!C143="Area 7 (Anu R)",'Master Sheet'!A143,"")</f>
        <v>P141</v>
      </c>
      <c r="B142" s="10" t="str">
        <f>IF('Master Sheet'!C143="Area 7 (Anu R)",'Master Sheet'!B143,"")</f>
        <v>Ajili Thadiyoor</v>
      </c>
      <c r="C142" t="s">
        <v>10</v>
      </c>
      <c r="D142" s="9">
        <f>IF('Master Sheet'!C143="Area 7 (Anu R)",'Master Sheet'!D143,"")</f>
        <v>350</v>
      </c>
      <c r="E142" s="9">
        <f>IF('Master Sheet'!C143="Area 7 (Anu R)",'Master Sheet'!E143,"")</f>
        <v>350</v>
      </c>
      <c r="F142" s="9">
        <f>IF('Master Sheet'!C143="Area 7 (Anu R)",'Master Sheet'!F143,"")</f>
        <v>0</v>
      </c>
      <c r="G142" s="9">
        <f>IF('Master Sheet'!C143="Area 7 (Anu R)",'Master Sheet'!G143,"")</f>
        <v>0</v>
      </c>
      <c r="H142" s="9">
        <f>IF('Master Sheet'!C143="Area 7 (Anu R)",'Master Sheet'!H143,"")</f>
        <v>0</v>
      </c>
      <c r="I142" s="9">
        <f>IF('Master Sheet'!C143="Area 7 (Anu R)",'Master Sheet'!I143,"")</f>
        <v>0</v>
      </c>
      <c r="J142" s="9">
        <f>IF('Master Sheet'!C143="Area 7 (Anu R)",'Master Sheet'!J143,"")</f>
        <v>0</v>
      </c>
      <c r="K142" s="9">
        <f>IF('Master Sheet'!C143="Area 7 (Anu R)",'Master Sheet'!K143,"")</f>
        <v>0</v>
      </c>
      <c r="L142" s="9">
        <f>IF('Master Sheet'!C143="Area 7 (Anu R)",'Master Sheet'!L143,"")</f>
        <v>0</v>
      </c>
      <c r="M142" s="9">
        <f>IF('Master Sheet'!C143="Area 7 (Anu R)",'Master Sheet'!M143,"")</f>
        <v>0</v>
      </c>
      <c r="N142" s="9">
        <f>IF('Master Sheet'!C143="Area 7 (Anu R)",'Master Sheet'!N143,"")</f>
        <v>700</v>
      </c>
      <c r="O142" s="23">
        <f>IF('Master Sheet'!C143="Area 7 (Anu R)",'Master Sheet'!O143,"")</f>
        <v>2800</v>
      </c>
      <c r="P142" s="7" t="str">
        <f>IF('Master Sheet'!C143="Area 7 (Anu R)",'Master Sheet'!P143,"")</f>
        <v>Pending</v>
      </c>
    </row>
    <row r="143" spans="1:16" s="8" customFormat="1" ht="19.899999999999999" customHeight="1" x14ac:dyDescent="0.25">
      <c r="A143" s="10" t="str">
        <f>IF('Master Sheet'!C144="Area 7 (Anu R)",'Master Sheet'!A144,"")</f>
        <v>P142</v>
      </c>
      <c r="B143" s="10" t="str">
        <f>IF('Master Sheet'!C144="Area 7 (Anu R)",'Master Sheet'!B144,"")</f>
        <v>Jalaja Maniyan</v>
      </c>
      <c r="C143" t="s">
        <v>10</v>
      </c>
      <c r="D143" s="9">
        <f>IF('Master Sheet'!C144="Area 7 (Anu R)",'Master Sheet'!D144,"")</f>
        <v>0</v>
      </c>
      <c r="E143" s="9">
        <f>IF('Master Sheet'!C144="Area 7 (Anu R)",'Master Sheet'!E144,"")</f>
        <v>0</v>
      </c>
      <c r="F143" s="9">
        <f>IF('Master Sheet'!C144="Area 7 (Anu R)",'Master Sheet'!F144,"")</f>
        <v>0</v>
      </c>
      <c r="G143" s="9">
        <f>IF('Master Sheet'!C144="Area 7 (Anu R)",'Master Sheet'!G144,"")</f>
        <v>0</v>
      </c>
      <c r="H143" s="9">
        <f>IF('Master Sheet'!C144="Area 7 (Anu R)",'Master Sheet'!H144,"")</f>
        <v>0</v>
      </c>
      <c r="I143" s="9">
        <f>IF('Master Sheet'!C144="Area 7 (Anu R)",'Master Sheet'!I144,"")</f>
        <v>0</v>
      </c>
      <c r="J143" s="9">
        <f>IF('Master Sheet'!C144="Area 7 (Anu R)",'Master Sheet'!J144,"")</f>
        <v>0</v>
      </c>
      <c r="K143" s="9">
        <f>IF('Master Sheet'!C144="Area 7 (Anu R)",'Master Sheet'!K144,"")</f>
        <v>0</v>
      </c>
      <c r="L143" s="9">
        <f>IF('Master Sheet'!C144="Area 7 (Anu R)",'Master Sheet'!L144,"")</f>
        <v>0</v>
      </c>
      <c r="M143" s="9">
        <f>IF('Master Sheet'!C144="Area 7 (Anu R)",'Master Sheet'!M144,"")</f>
        <v>0</v>
      </c>
      <c r="N143" s="9">
        <f>IF('Master Sheet'!C144="Area 7 (Anu R)",'Master Sheet'!N144,"")</f>
        <v>0</v>
      </c>
      <c r="O143" s="23">
        <f>IF('Master Sheet'!C144="Area 7 (Anu R)",'Master Sheet'!O144,"")</f>
        <v>3500</v>
      </c>
      <c r="P143" s="7" t="str">
        <f>IF('Master Sheet'!C144="Area 7 (Anu R)",'Master Sheet'!P144,"")</f>
        <v>Pending</v>
      </c>
    </row>
    <row r="144" spans="1:16" s="8" customFormat="1" ht="19.899999999999999" customHeight="1" x14ac:dyDescent="0.25">
      <c r="A144" s="10" t="str">
        <f>IF('Master Sheet'!C145="Area 7 (Anu R)",'Master Sheet'!A145,"")</f>
        <v>P143</v>
      </c>
      <c r="B144" s="10" t="str">
        <f>IF('Master Sheet'!C145="Area 7 (Anu R)",'Master Sheet'!B145,"")</f>
        <v>Ambily Vijayan Vazhakunnam</v>
      </c>
      <c r="C144" t="s">
        <v>10</v>
      </c>
      <c r="D144" s="9">
        <f>IF('Master Sheet'!C145="Area 7 (Anu R)",'Master Sheet'!D145,"")</f>
        <v>350</v>
      </c>
      <c r="E144" s="9">
        <f>IF('Master Sheet'!C145="Area 7 (Anu R)",'Master Sheet'!E145,"")</f>
        <v>350</v>
      </c>
      <c r="F144" s="9">
        <f>IF('Master Sheet'!C145="Area 7 (Anu R)",'Master Sheet'!F145,"")</f>
        <v>350</v>
      </c>
      <c r="G144" s="9">
        <f>IF('Master Sheet'!C145="Area 7 (Anu R)",'Master Sheet'!G145,"")</f>
        <v>0</v>
      </c>
      <c r="H144" s="9">
        <f>IF('Master Sheet'!C145="Area 7 (Anu R)",'Master Sheet'!H145,"")</f>
        <v>0</v>
      </c>
      <c r="I144" s="9">
        <f>IF('Master Sheet'!C145="Area 7 (Anu R)",'Master Sheet'!I145,"")</f>
        <v>0</v>
      </c>
      <c r="J144" s="9">
        <f>IF('Master Sheet'!C145="Area 7 (Anu R)",'Master Sheet'!J145,"")</f>
        <v>0</v>
      </c>
      <c r="K144" s="9">
        <f>IF('Master Sheet'!C145="Area 7 (Anu R)",'Master Sheet'!K145,"")</f>
        <v>0</v>
      </c>
      <c r="L144" s="9">
        <f>IF('Master Sheet'!C145="Area 7 (Anu R)",'Master Sheet'!L145,"")</f>
        <v>0</v>
      </c>
      <c r="M144" s="9">
        <f>IF('Master Sheet'!C145="Area 7 (Anu R)",'Master Sheet'!M145,"")</f>
        <v>0</v>
      </c>
      <c r="N144" s="9">
        <f>IF('Master Sheet'!C145="Area 7 (Anu R)",'Master Sheet'!N145,"")</f>
        <v>1050</v>
      </c>
      <c r="O144" s="23">
        <f>IF('Master Sheet'!C145="Area 7 (Anu R)",'Master Sheet'!O145,"")</f>
        <v>2450</v>
      </c>
      <c r="P144" s="7" t="str">
        <f>IF('Master Sheet'!C145="Area 7 (Anu R)",'Master Sheet'!P145,"")</f>
        <v>Pending</v>
      </c>
    </row>
    <row r="145" spans="1:16" s="8" customFormat="1" ht="19.899999999999999" customHeight="1" x14ac:dyDescent="0.25">
      <c r="A145" s="10" t="str">
        <f>IF('Master Sheet'!C146="Area 7 (Anu R)",'Master Sheet'!A146,"")</f>
        <v>P144</v>
      </c>
      <c r="B145" s="10" t="str">
        <f>IF('Master Sheet'!C146="Area 7 (Anu R)",'Master Sheet'!B146,"")</f>
        <v>Soubhagya Vazhakunnam</v>
      </c>
      <c r="C145" t="s">
        <v>10</v>
      </c>
      <c r="D145" s="9">
        <f>IF('Master Sheet'!C146="Area 7 (Anu R)",'Master Sheet'!D146,"")</f>
        <v>350</v>
      </c>
      <c r="E145" s="9">
        <f>IF('Master Sheet'!C146="Area 7 (Anu R)",'Master Sheet'!E146,"")</f>
        <v>350</v>
      </c>
      <c r="F145" s="9">
        <f>IF('Master Sheet'!C146="Area 7 (Anu R)",'Master Sheet'!F146,"")</f>
        <v>350</v>
      </c>
      <c r="G145" s="9">
        <f>IF('Master Sheet'!C146="Area 7 (Anu R)",'Master Sheet'!G146,"")</f>
        <v>0</v>
      </c>
      <c r="H145" s="9">
        <f>IF('Master Sheet'!C146="Area 7 (Anu R)",'Master Sheet'!H146,"")</f>
        <v>0</v>
      </c>
      <c r="I145" s="9">
        <f>IF('Master Sheet'!C146="Area 7 (Anu R)",'Master Sheet'!I146,"")</f>
        <v>0</v>
      </c>
      <c r="J145" s="9">
        <f>IF('Master Sheet'!C146="Area 7 (Anu R)",'Master Sheet'!J146,"")</f>
        <v>0</v>
      </c>
      <c r="K145" s="9">
        <f>IF('Master Sheet'!C146="Area 7 (Anu R)",'Master Sheet'!K146,"")</f>
        <v>0</v>
      </c>
      <c r="L145" s="9">
        <f>IF('Master Sheet'!C146="Area 7 (Anu R)",'Master Sheet'!L146,"")</f>
        <v>0</v>
      </c>
      <c r="M145" s="9">
        <f>IF('Master Sheet'!C146="Area 7 (Anu R)",'Master Sheet'!M146,"")</f>
        <v>0</v>
      </c>
      <c r="N145" s="9">
        <f>IF('Master Sheet'!C146="Area 7 (Anu R)",'Master Sheet'!N146,"")</f>
        <v>1050</v>
      </c>
      <c r="O145" s="23">
        <f>IF('Master Sheet'!C146="Area 7 (Anu R)",'Master Sheet'!O146,"")</f>
        <v>2450</v>
      </c>
      <c r="P145" s="7" t="str">
        <f>IF('Master Sheet'!C146="Area 7 (Anu R)",'Master Sheet'!P146,"")</f>
        <v>Pending</v>
      </c>
    </row>
    <row r="146" spans="1:16" s="8" customFormat="1" ht="19.899999999999999" customHeight="1" x14ac:dyDescent="0.25">
      <c r="A146" s="10" t="str">
        <f>IF('Master Sheet'!C147="Area 7 (Anu R)",'Master Sheet'!A147,"")</f>
        <v>P145</v>
      </c>
      <c r="B146" s="10" t="str">
        <f>IF('Master Sheet'!C147="Area 7 (Anu R)",'Master Sheet'!B147,"")</f>
        <v>Saji Poovathur</v>
      </c>
      <c r="C146" t="s">
        <v>10</v>
      </c>
      <c r="D146" s="9">
        <f>IF('Master Sheet'!C147="Area 7 (Anu R)",'Master Sheet'!D147,"")</f>
        <v>350</v>
      </c>
      <c r="E146" s="9">
        <f>IF('Master Sheet'!C147="Area 7 (Anu R)",'Master Sheet'!E147,"")</f>
        <v>0</v>
      </c>
      <c r="F146" s="9">
        <f>IF('Master Sheet'!C147="Area 7 (Anu R)",'Master Sheet'!F147,"")</f>
        <v>0</v>
      </c>
      <c r="G146" s="9">
        <f>IF('Master Sheet'!C147="Area 7 (Anu R)",'Master Sheet'!G147,"")</f>
        <v>0</v>
      </c>
      <c r="H146" s="9">
        <f>IF('Master Sheet'!C147="Area 7 (Anu R)",'Master Sheet'!H147,"")</f>
        <v>0</v>
      </c>
      <c r="I146" s="9">
        <f>IF('Master Sheet'!C147="Area 7 (Anu R)",'Master Sheet'!I147,"")</f>
        <v>0</v>
      </c>
      <c r="J146" s="9">
        <f>IF('Master Sheet'!C147="Area 7 (Anu R)",'Master Sheet'!J147,"")</f>
        <v>0</v>
      </c>
      <c r="K146" s="9">
        <f>IF('Master Sheet'!C147="Area 7 (Anu R)",'Master Sheet'!K147,"")</f>
        <v>0</v>
      </c>
      <c r="L146" s="9">
        <f>IF('Master Sheet'!C147="Area 7 (Anu R)",'Master Sheet'!L147,"")</f>
        <v>0</v>
      </c>
      <c r="M146" s="9">
        <f>IF('Master Sheet'!C147="Area 7 (Anu R)",'Master Sheet'!M147,"")</f>
        <v>0</v>
      </c>
      <c r="N146" s="9">
        <f>IF('Master Sheet'!C147="Area 7 (Anu R)",'Master Sheet'!N147,"")</f>
        <v>350</v>
      </c>
      <c r="O146" s="23">
        <f>IF('Master Sheet'!C147="Area 7 (Anu R)",'Master Sheet'!O147,"")</f>
        <v>3150</v>
      </c>
      <c r="P146" s="7" t="str">
        <f>IF('Master Sheet'!C147="Area 7 (Anu R)",'Master Sheet'!P147,"")</f>
        <v>Pending</v>
      </c>
    </row>
    <row r="147" spans="1:16" s="8" customFormat="1" ht="19.899999999999999" customHeight="1" x14ac:dyDescent="0.25">
      <c r="A147" s="10" t="str">
        <f>IF('Master Sheet'!C148="Area 7 (Anu R)",'Master Sheet'!A148,"")</f>
        <v>P146</v>
      </c>
      <c r="B147" s="10" t="str">
        <f>IF('Master Sheet'!C148="Area 7 (Anu R)",'Master Sheet'!B148,"")</f>
        <v>Smitha Sadanadan</v>
      </c>
      <c r="C147" t="s">
        <v>10</v>
      </c>
      <c r="D147" s="9">
        <f>IF('Master Sheet'!C148="Area 7 (Anu R)",'Master Sheet'!D148,"")</f>
        <v>350</v>
      </c>
      <c r="E147" s="9">
        <f>IF('Master Sheet'!C148="Area 7 (Anu R)",'Master Sheet'!E148,"")</f>
        <v>350</v>
      </c>
      <c r="F147" s="9">
        <f>IF('Master Sheet'!C148="Area 7 (Anu R)",'Master Sheet'!F148,"")</f>
        <v>350</v>
      </c>
      <c r="G147" s="9">
        <f>IF('Master Sheet'!C148="Area 7 (Anu R)",'Master Sheet'!G148,"")</f>
        <v>0</v>
      </c>
      <c r="H147" s="9">
        <f>IF('Master Sheet'!C148="Area 7 (Anu R)",'Master Sheet'!H148,"")</f>
        <v>0</v>
      </c>
      <c r="I147" s="9">
        <f>IF('Master Sheet'!C148="Area 7 (Anu R)",'Master Sheet'!I148,"")</f>
        <v>0</v>
      </c>
      <c r="J147" s="9">
        <f>IF('Master Sheet'!C148="Area 7 (Anu R)",'Master Sheet'!J148,"")</f>
        <v>0</v>
      </c>
      <c r="K147" s="9">
        <f>IF('Master Sheet'!C148="Area 7 (Anu R)",'Master Sheet'!K148,"")</f>
        <v>0</v>
      </c>
      <c r="L147" s="9">
        <f>IF('Master Sheet'!C148="Area 7 (Anu R)",'Master Sheet'!L148,"")</f>
        <v>0</v>
      </c>
      <c r="M147" s="9">
        <f>IF('Master Sheet'!C148="Area 7 (Anu R)",'Master Sheet'!M148,"")</f>
        <v>0</v>
      </c>
      <c r="N147" s="9">
        <f>IF('Master Sheet'!C148="Area 7 (Anu R)",'Master Sheet'!N148,"")</f>
        <v>1050</v>
      </c>
      <c r="O147" s="23">
        <f>IF('Master Sheet'!C148="Area 7 (Anu R)",'Master Sheet'!O148,"")</f>
        <v>2450</v>
      </c>
      <c r="P147" s="7" t="str">
        <f>IF('Master Sheet'!C148="Area 7 (Anu R)",'Master Sheet'!P148,"")</f>
        <v>Pending</v>
      </c>
    </row>
    <row r="148" spans="1:16" s="8" customFormat="1" ht="19.899999999999999" customHeight="1" x14ac:dyDescent="0.25">
      <c r="A148" s="10" t="str">
        <f>IF('Master Sheet'!C149="Area 7 (Anu R)",'Master Sheet'!A149,"")</f>
        <v>P147</v>
      </c>
      <c r="B148" s="10" t="str">
        <f>IF('Master Sheet'!C149="Area 7 (Anu R)",'Master Sheet'!B149,"")</f>
        <v>Suresh Babu K.R Othara</v>
      </c>
      <c r="C148" t="s">
        <v>10</v>
      </c>
      <c r="D148" s="9">
        <f>IF('Master Sheet'!C149="Area 7 (Anu R)",'Master Sheet'!D149,"")</f>
        <v>350</v>
      </c>
      <c r="E148" s="9">
        <f>IF('Master Sheet'!C149="Area 7 (Anu R)",'Master Sheet'!E149,"")</f>
        <v>0</v>
      </c>
      <c r="F148" s="9">
        <f>IF('Master Sheet'!C149="Area 7 (Anu R)",'Master Sheet'!F149,"")</f>
        <v>0</v>
      </c>
      <c r="G148" s="9">
        <f>IF('Master Sheet'!C149="Area 7 (Anu R)",'Master Sheet'!G149,"")</f>
        <v>0</v>
      </c>
      <c r="H148" s="9">
        <f>IF('Master Sheet'!C149="Area 7 (Anu R)",'Master Sheet'!H149,"")</f>
        <v>0</v>
      </c>
      <c r="I148" s="9">
        <f>IF('Master Sheet'!C149="Area 7 (Anu R)",'Master Sheet'!I149,"")</f>
        <v>0</v>
      </c>
      <c r="J148" s="9">
        <f>IF('Master Sheet'!C149="Area 7 (Anu R)",'Master Sheet'!J149,"")</f>
        <v>0</v>
      </c>
      <c r="K148" s="9">
        <f>IF('Master Sheet'!C149="Area 7 (Anu R)",'Master Sheet'!K149,"")</f>
        <v>0</v>
      </c>
      <c r="L148" s="9">
        <f>IF('Master Sheet'!C149="Area 7 (Anu R)",'Master Sheet'!L149,"")</f>
        <v>0</v>
      </c>
      <c r="M148" s="9">
        <f>IF('Master Sheet'!C149="Area 7 (Anu R)",'Master Sheet'!M149,"")</f>
        <v>0</v>
      </c>
      <c r="N148" s="9">
        <f>IF('Master Sheet'!C149="Area 7 (Anu R)",'Master Sheet'!N149,"")</f>
        <v>350</v>
      </c>
      <c r="O148" s="23">
        <f>IF('Master Sheet'!C149="Area 7 (Anu R)",'Master Sheet'!O149,"")</f>
        <v>3150</v>
      </c>
      <c r="P148" s="7" t="str">
        <f>IF('Master Sheet'!C149="Area 7 (Anu R)",'Master Sheet'!P149,"")</f>
        <v>Pending</v>
      </c>
    </row>
    <row r="149" spans="1:16" s="8" customFormat="1" ht="19.899999999999999" customHeight="1" x14ac:dyDescent="0.25">
      <c r="A149" s="10" t="str">
        <f>IF('Master Sheet'!C150="Area 7 (Anu R)",'Master Sheet'!A150,"")</f>
        <v>P148</v>
      </c>
      <c r="B149" s="10" t="str">
        <f>IF('Master Sheet'!C150="Area 7 (Anu R)",'Master Sheet'!B150,"")</f>
        <v>Latha Mullanical</v>
      </c>
      <c r="C149" t="s">
        <v>10</v>
      </c>
      <c r="D149" s="9">
        <f>IF('Master Sheet'!C150="Area 7 (Anu R)",'Master Sheet'!D150,"")</f>
        <v>350</v>
      </c>
      <c r="E149" s="9">
        <f>IF('Master Sheet'!C150="Area 7 (Anu R)",'Master Sheet'!E150,"")</f>
        <v>0</v>
      </c>
      <c r="F149" s="9">
        <f>IF('Master Sheet'!C150="Area 7 (Anu R)",'Master Sheet'!F150,"")</f>
        <v>0</v>
      </c>
      <c r="G149" s="9">
        <f>IF('Master Sheet'!C150="Area 7 (Anu R)",'Master Sheet'!G150,"")</f>
        <v>0</v>
      </c>
      <c r="H149" s="9">
        <f>IF('Master Sheet'!C150="Area 7 (Anu R)",'Master Sheet'!H150,"")</f>
        <v>0</v>
      </c>
      <c r="I149" s="9">
        <f>IF('Master Sheet'!C150="Area 7 (Anu R)",'Master Sheet'!I150,"")</f>
        <v>0</v>
      </c>
      <c r="J149" s="9">
        <f>IF('Master Sheet'!C150="Area 7 (Anu R)",'Master Sheet'!J150,"")</f>
        <v>0</v>
      </c>
      <c r="K149" s="9">
        <f>IF('Master Sheet'!C150="Area 7 (Anu R)",'Master Sheet'!K150,"")</f>
        <v>0</v>
      </c>
      <c r="L149" s="9">
        <f>IF('Master Sheet'!C150="Area 7 (Anu R)",'Master Sheet'!L150,"")</f>
        <v>0</v>
      </c>
      <c r="M149" s="9">
        <f>IF('Master Sheet'!C150="Area 7 (Anu R)",'Master Sheet'!M150,"")</f>
        <v>0</v>
      </c>
      <c r="N149" s="9">
        <f>IF('Master Sheet'!C150="Area 7 (Anu R)",'Master Sheet'!N150,"")</f>
        <v>350</v>
      </c>
      <c r="O149" s="23">
        <f>IF('Master Sheet'!C150="Area 7 (Anu R)",'Master Sheet'!O150,"")</f>
        <v>3150</v>
      </c>
      <c r="P149" s="7" t="str">
        <f>IF('Master Sheet'!C150="Area 7 (Anu R)",'Master Sheet'!P150,"")</f>
        <v>Pending</v>
      </c>
    </row>
    <row r="150" spans="1:16" s="8" customFormat="1" ht="19.899999999999999" customHeight="1" x14ac:dyDescent="0.25">
      <c r="A150" s="10" t="str">
        <f>IF('Master Sheet'!C151="Area 7 (Anu R)",'Master Sheet'!A151,"")</f>
        <v>P149</v>
      </c>
      <c r="B150" s="10" t="str">
        <f>IF('Master Sheet'!C151="Area 7 (Anu R)",'Master Sheet'!B151,"")</f>
        <v>Bindhu Melukara</v>
      </c>
      <c r="C150" t="s">
        <v>10</v>
      </c>
      <c r="D150" s="9">
        <f>IF('Master Sheet'!C151="Area 7 (Anu R)",'Master Sheet'!D151,"")</f>
        <v>350</v>
      </c>
      <c r="E150" s="9">
        <f>IF('Master Sheet'!C151="Area 7 (Anu R)",'Master Sheet'!E151,"")</f>
        <v>350</v>
      </c>
      <c r="F150" s="9">
        <f>IF('Master Sheet'!C151="Area 7 (Anu R)",'Master Sheet'!F151,"")</f>
        <v>0</v>
      </c>
      <c r="G150" s="9">
        <f>IF('Master Sheet'!C151="Area 7 (Anu R)",'Master Sheet'!G151,"")</f>
        <v>0</v>
      </c>
      <c r="H150" s="9">
        <f>IF('Master Sheet'!C151="Area 7 (Anu R)",'Master Sheet'!H151,"")</f>
        <v>0</v>
      </c>
      <c r="I150" s="9">
        <f>IF('Master Sheet'!C151="Area 7 (Anu R)",'Master Sheet'!I151,"")</f>
        <v>0</v>
      </c>
      <c r="J150" s="9">
        <f>IF('Master Sheet'!C151="Area 7 (Anu R)",'Master Sheet'!J151,"")</f>
        <v>0</v>
      </c>
      <c r="K150" s="9">
        <f>IF('Master Sheet'!C151="Area 7 (Anu R)",'Master Sheet'!K151,"")</f>
        <v>0</v>
      </c>
      <c r="L150" s="9">
        <f>IF('Master Sheet'!C151="Area 7 (Anu R)",'Master Sheet'!L151,"")</f>
        <v>0</v>
      </c>
      <c r="M150" s="9">
        <f>IF('Master Sheet'!C151="Area 7 (Anu R)",'Master Sheet'!M151,"")</f>
        <v>0</v>
      </c>
      <c r="N150" s="9">
        <f>IF('Master Sheet'!C151="Area 7 (Anu R)",'Master Sheet'!N151,"")</f>
        <v>700</v>
      </c>
      <c r="O150" s="23">
        <f>IF('Master Sheet'!C151="Area 7 (Anu R)",'Master Sheet'!O151,"")</f>
        <v>2800</v>
      </c>
      <c r="P150" s="7" t="str">
        <f>IF('Master Sheet'!C151="Area 7 (Anu R)",'Master Sheet'!P151,"")</f>
        <v>Pending</v>
      </c>
    </row>
    <row r="151" spans="1:16" s="8" customFormat="1" ht="19.899999999999999" customHeight="1" x14ac:dyDescent="0.25">
      <c r="A151" s="10" t="str">
        <f>IF('Master Sheet'!C152="Area 7 (Anu R)",'Master Sheet'!A152,"")</f>
        <v>P150</v>
      </c>
      <c r="B151" s="10" t="str">
        <f>IF('Master Sheet'!C152="Area 7 (Anu R)",'Master Sheet'!B152,"")</f>
        <v>Ardra R.Nath</v>
      </c>
      <c r="C151" t="s">
        <v>10</v>
      </c>
      <c r="D151" s="9">
        <f>IF('Master Sheet'!C152="Area 7 (Anu R)",'Master Sheet'!D152,"")</f>
        <v>350</v>
      </c>
      <c r="E151" s="9">
        <f>IF('Master Sheet'!C152="Area 7 (Anu R)",'Master Sheet'!E152,"")</f>
        <v>350</v>
      </c>
      <c r="F151" s="9">
        <f>IF('Master Sheet'!C152="Area 7 (Anu R)",'Master Sheet'!F152,"")</f>
        <v>350</v>
      </c>
      <c r="G151" s="9">
        <f>IF('Master Sheet'!C152="Area 7 (Anu R)",'Master Sheet'!G152,"")</f>
        <v>0</v>
      </c>
      <c r="H151" s="9">
        <f>IF('Master Sheet'!C152="Area 7 (Anu R)",'Master Sheet'!H152,"")</f>
        <v>0</v>
      </c>
      <c r="I151" s="9">
        <f>IF('Master Sheet'!C152="Area 7 (Anu R)",'Master Sheet'!I152,"")</f>
        <v>0</v>
      </c>
      <c r="J151" s="9">
        <f>IF('Master Sheet'!C152="Area 7 (Anu R)",'Master Sheet'!J152,"")</f>
        <v>0</v>
      </c>
      <c r="K151" s="9">
        <f>IF('Master Sheet'!C152="Area 7 (Anu R)",'Master Sheet'!K152,"")</f>
        <v>0</v>
      </c>
      <c r="L151" s="9">
        <f>IF('Master Sheet'!C152="Area 7 (Anu R)",'Master Sheet'!L152,"")</f>
        <v>0</v>
      </c>
      <c r="M151" s="9">
        <f>IF('Master Sheet'!C152="Area 7 (Anu R)",'Master Sheet'!M152,"")</f>
        <v>0</v>
      </c>
      <c r="N151" s="9">
        <f>IF('Master Sheet'!C152="Area 7 (Anu R)",'Master Sheet'!N152,"")</f>
        <v>1050</v>
      </c>
      <c r="O151" s="23">
        <f>IF('Master Sheet'!C152="Area 7 (Anu R)",'Master Sheet'!O152,"")</f>
        <v>2450</v>
      </c>
      <c r="P151" s="7" t="str">
        <f>IF('Master Sheet'!C152="Area 7 (Anu R)",'Master Sheet'!P152,"")</f>
        <v>Pending</v>
      </c>
    </row>
    <row r="152" spans="1:16" ht="15.75" x14ac:dyDescent="0.25">
      <c r="A152" s="36"/>
      <c r="B152" s="36"/>
      <c r="D152" s="30">
        <f>SUBTOTAL(9,D102:D151)</f>
        <v>15150</v>
      </c>
      <c r="E152" s="30">
        <f t="shared" ref="E152:M152" si="0">SUBTOTAL(9,E102:E151)</f>
        <v>10650</v>
      </c>
      <c r="F152" s="30">
        <f t="shared" si="0"/>
        <v>9550</v>
      </c>
      <c r="G152" s="30">
        <f t="shared" si="0"/>
        <v>3300</v>
      </c>
      <c r="H152" s="30">
        <f t="shared" si="0"/>
        <v>0</v>
      </c>
      <c r="I152" s="30">
        <f t="shared" si="0"/>
        <v>0</v>
      </c>
      <c r="J152" s="30">
        <f t="shared" si="0"/>
        <v>0</v>
      </c>
      <c r="K152" s="30">
        <f t="shared" si="0"/>
        <v>0</v>
      </c>
      <c r="L152" s="30">
        <f t="shared" si="0"/>
        <v>0</v>
      </c>
      <c r="M152" s="30">
        <f t="shared" si="0"/>
        <v>0</v>
      </c>
      <c r="N152" s="30">
        <f>D152+E152+F152+G152+H152+I152+J152+K152+L152+M152</f>
        <v>38650</v>
      </c>
      <c r="O152" s="37"/>
      <c r="P152" s="3"/>
    </row>
  </sheetData>
  <autoFilter ref="A1:P151">
    <filterColumn colId="0">
      <customFilters>
        <customFilter operator="notEqual" val=" "/>
      </customFilters>
    </filterColumn>
  </autoFilter>
  <printOptions horizontalCentered="1"/>
  <pageMargins left="0.75" right="0.75" top="1" bottom="1" header="0.5" footer="0.5"/>
  <pageSetup paperSize="8" scale="11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F17" sqref="F17"/>
    </sheetView>
  </sheetViews>
  <sheetFormatPr defaultRowHeight="15" x14ac:dyDescent="0.25"/>
  <cols>
    <col min="1" max="1" width="9.42578125" customWidth="1"/>
    <col min="2" max="2" width="22.28515625" customWidth="1"/>
  </cols>
  <sheetData>
    <row r="1" spans="1:2" ht="19.899999999999999" customHeight="1" x14ac:dyDescent="0.25">
      <c r="A1" s="28" t="s">
        <v>179</v>
      </c>
      <c r="B1" s="28"/>
    </row>
    <row r="2" spans="1:2" ht="19.899999999999999" customHeight="1" x14ac:dyDescent="0.25">
      <c r="A2" s="4" t="s">
        <v>12</v>
      </c>
      <c r="B2" s="15" t="str">
        <f>'Master Sheet'!B3</f>
        <v>Bindhu Alesh, Varayannur</v>
      </c>
    </row>
    <row r="3" spans="1:2" ht="19.899999999999999" customHeight="1" x14ac:dyDescent="0.25">
      <c r="A3" s="4" t="s">
        <v>176</v>
      </c>
      <c r="B3" s="4" t="s">
        <v>177</v>
      </c>
    </row>
    <row r="4" spans="1:2" ht="19.899999999999999" customHeight="1" x14ac:dyDescent="0.25">
      <c r="A4" s="3" t="s">
        <v>14</v>
      </c>
      <c r="B4" s="3">
        <f>'Master Sheet'!D3</f>
        <v>350</v>
      </c>
    </row>
    <row r="5" spans="1:2" ht="19.899999999999999" customHeight="1" x14ac:dyDescent="0.25">
      <c r="A5" s="3" t="s">
        <v>15</v>
      </c>
      <c r="B5" s="3">
        <f>'Master Sheet'!E3</f>
        <v>0</v>
      </c>
    </row>
    <row r="6" spans="1:2" ht="19.899999999999999" customHeight="1" x14ac:dyDescent="0.25">
      <c r="A6" s="3" t="s">
        <v>16</v>
      </c>
      <c r="B6" s="3">
        <f>'Master Sheet'!F3</f>
        <v>0</v>
      </c>
    </row>
    <row r="7" spans="1:2" ht="19.899999999999999" customHeight="1" x14ac:dyDescent="0.25">
      <c r="A7" s="3" t="s">
        <v>17</v>
      </c>
      <c r="B7" s="3">
        <f>'Master Sheet'!G3</f>
        <v>500</v>
      </c>
    </row>
    <row r="8" spans="1:2" ht="19.899999999999999" customHeight="1" x14ac:dyDescent="0.25">
      <c r="A8" s="3" t="s">
        <v>18</v>
      </c>
      <c r="B8" s="3">
        <f>'Master Sheet'!H3</f>
        <v>0</v>
      </c>
    </row>
    <row r="9" spans="1:2" ht="19.899999999999999" customHeight="1" x14ac:dyDescent="0.25">
      <c r="A9" s="3" t="s">
        <v>19</v>
      </c>
      <c r="B9" s="3">
        <f>'Master Sheet'!I3</f>
        <v>0</v>
      </c>
    </row>
    <row r="10" spans="1:2" ht="19.899999999999999" customHeight="1" x14ac:dyDescent="0.25">
      <c r="A10" s="3" t="s">
        <v>20</v>
      </c>
      <c r="B10" s="3">
        <f>'Master Sheet'!J3</f>
        <v>0</v>
      </c>
    </row>
    <row r="11" spans="1:2" ht="19.899999999999999" customHeight="1" x14ac:dyDescent="0.25">
      <c r="A11" s="3" t="s">
        <v>21</v>
      </c>
      <c r="B11" s="3">
        <f>'Master Sheet'!K3</f>
        <v>0</v>
      </c>
    </row>
    <row r="12" spans="1:2" ht="19.899999999999999" customHeight="1" x14ac:dyDescent="0.25">
      <c r="A12" s="3" t="s">
        <v>22</v>
      </c>
      <c r="B12" s="3">
        <f>'Master Sheet'!L3</f>
        <v>0</v>
      </c>
    </row>
    <row r="13" spans="1:2" ht="19.899999999999999" customHeight="1" x14ac:dyDescent="0.25">
      <c r="A13" s="3" t="s">
        <v>23</v>
      </c>
      <c r="B13" s="3">
        <f>'Master Sheet'!M3</f>
        <v>0</v>
      </c>
    </row>
    <row r="14" spans="1:2" ht="19.899999999999999" customHeight="1" x14ac:dyDescent="0.25">
      <c r="A14" s="3" t="s">
        <v>178</v>
      </c>
      <c r="B14" s="3">
        <f>SUM(B4:B12)</f>
        <v>850</v>
      </c>
    </row>
    <row r="15" spans="1:2" ht="19.899999999999999" customHeight="1" x14ac:dyDescent="0.25">
      <c r="A15" s="3" t="s">
        <v>25</v>
      </c>
      <c r="B15" s="3">
        <f>3500-B14</f>
        <v>2650</v>
      </c>
    </row>
  </sheetData>
  <sheetProtection algorithmName="SHA-512" hashValue="r1Isrrm2CiQHXVROXXT1i5awV++V1zVmsynp4ywVFHOyGWzzz3GqdtEOc+5EcMUrwD7DkyoXDQIn/nuChnrWUQ==" saltValue="lAG+4Pu7K8bm2PwG47nXpw==" spinCount="100000" sheet="1" objects="1" scenarios="1"/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0.140625" customWidth="1"/>
    <col min="2" max="2" width="22.140625" customWidth="1"/>
  </cols>
  <sheetData>
    <row r="1" spans="1:2" ht="19.899999999999999" customHeight="1" x14ac:dyDescent="0.25">
      <c r="A1" s="28" t="s">
        <v>179</v>
      </c>
      <c r="B1" s="28"/>
    </row>
    <row r="2" spans="1:2" ht="19.899999999999999" customHeight="1" x14ac:dyDescent="0.25">
      <c r="A2" s="4" t="s">
        <v>12</v>
      </c>
      <c r="B2" s="15" t="str">
        <f>'Master Sheet'!B4</f>
        <v>Aswathy PS, Kumbanadu</v>
      </c>
    </row>
    <row r="3" spans="1:2" ht="19.899999999999999" customHeight="1" x14ac:dyDescent="0.25">
      <c r="A3" s="4" t="s">
        <v>176</v>
      </c>
      <c r="B3" s="4" t="s">
        <v>177</v>
      </c>
    </row>
    <row r="4" spans="1:2" ht="19.899999999999999" customHeight="1" x14ac:dyDescent="0.25">
      <c r="A4" s="3" t="s">
        <v>14</v>
      </c>
      <c r="B4" s="3">
        <f>'Master Sheet'!D4</f>
        <v>0</v>
      </c>
    </row>
    <row r="5" spans="1:2" ht="19.899999999999999" customHeight="1" x14ac:dyDescent="0.25">
      <c r="A5" s="3" t="s">
        <v>15</v>
      </c>
      <c r="B5" s="3">
        <f>'Master Sheet'!E4</f>
        <v>0</v>
      </c>
    </row>
    <row r="6" spans="1:2" ht="19.899999999999999" customHeight="1" x14ac:dyDescent="0.25">
      <c r="A6" s="3" t="s">
        <v>16</v>
      </c>
      <c r="B6" s="3">
        <f>'Master Sheet'!F4</f>
        <v>0</v>
      </c>
    </row>
    <row r="7" spans="1:2" ht="19.899999999999999" customHeight="1" x14ac:dyDescent="0.25">
      <c r="A7" s="3" t="s">
        <v>17</v>
      </c>
      <c r="B7" s="3">
        <f>'Master Sheet'!G4</f>
        <v>1000</v>
      </c>
    </row>
    <row r="8" spans="1:2" ht="19.899999999999999" customHeight="1" x14ac:dyDescent="0.25">
      <c r="A8" s="3" t="s">
        <v>18</v>
      </c>
      <c r="B8" s="3">
        <f>'Master Sheet'!H4</f>
        <v>0</v>
      </c>
    </row>
    <row r="9" spans="1:2" ht="19.899999999999999" customHeight="1" x14ac:dyDescent="0.25">
      <c r="A9" s="3" t="s">
        <v>19</v>
      </c>
      <c r="B9" s="3">
        <f>'Master Sheet'!I4</f>
        <v>0</v>
      </c>
    </row>
    <row r="10" spans="1:2" ht="19.899999999999999" customHeight="1" x14ac:dyDescent="0.25">
      <c r="A10" s="3" t="s">
        <v>20</v>
      </c>
      <c r="B10" s="3">
        <f>'Master Sheet'!J4</f>
        <v>0</v>
      </c>
    </row>
    <row r="11" spans="1:2" ht="19.899999999999999" customHeight="1" x14ac:dyDescent="0.25">
      <c r="A11" s="3" t="s">
        <v>21</v>
      </c>
      <c r="B11" s="3">
        <f>'Master Sheet'!K4</f>
        <v>0</v>
      </c>
    </row>
    <row r="12" spans="1:2" ht="19.899999999999999" customHeight="1" x14ac:dyDescent="0.25">
      <c r="A12" s="3" t="s">
        <v>22</v>
      </c>
      <c r="B12" s="3">
        <f>'Master Sheet'!L4</f>
        <v>0</v>
      </c>
    </row>
    <row r="13" spans="1:2" ht="19.899999999999999" customHeight="1" x14ac:dyDescent="0.25">
      <c r="A13" s="3" t="s">
        <v>23</v>
      </c>
      <c r="B13" s="3">
        <f>'Master Sheet'!M4</f>
        <v>0</v>
      </c>
    </row>
    <row r="14" spans="1:2" ht="19.899999999999999" customHeight="1" x14ac:dyDescent="0.25">
      <c r="A14" s="3" t="s">
        <v>178</v>
      </c>
      <c r="B14" s="3">
        <f>SUM(B4:B13)</f>
        <v>1000</v>
      </c>
    </row>
    <row r="15" spans="1:2" ht="19.899999999999999" customHeight="1" x14ac:dyDescent="0.25">
      <c r="A15" s="3" t="s">
        <v>25</v>
      </c>
      <c r="B15" s="3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2" max="2" width="21.7109375" customWidth="1"/>
  </cols>
  <sheetData>
    <row r="1" spans="1:2" ht="19.899999999999999" customHeight="1" x14ac:dyDescent="0.25">
      <c r="A1" s="28" t="s">
        <v>179</v>
      </c>
      <c r="B1" s="28"/>
    </row>
    <row r="2" spans="1:2" ht="19.899999999999999" customHeight="1" x14ac:dyDescent="0.25">
      <c r="A2" s="4" t="s">
        <v>12</v>
      </c>
      <c r="B2" s="15" t="str">
        <f>'Master Sheet'!B5</f>
        <v>Arya , Kunnam, Poovathur</v>
      </c>
    </row>
    <row r="3" spans="1:2" ht="19.899999999999999" customHeight="1" x14ac:dyDescent="0.25">
      <c r="A3" s="4" t="s">
        <v>176</v>
      </c>
      <c r="B3" s="4" t="s">
        <v>177</v>
      </c>
    </row>
    <row r="4" spans="1:2" ht="19.899999999999999" customHeight="1" x14ac:dyDescent="0.25">
      <c r="A4" s="3" t="s">
        <v>14</v>
      </c>
      <c r="B4" s="3">
        <f>'Master Sheet'!D5</f>
        <v>0</v>
      </c>
    </row>
    <row r="5" spans="1:2" ht="19.899999999999999" customHeight="1" x14ac:dyDescent="0.25">
      <c r="A5" s="3" t="s">
        <v>15</v>
      </c>
      <c r="B5" s="3">
        <f>'Master Sheet'!E5</f>
        <v>0</v>
      </c>
    </row>
    <row r="6" spans="1:2" ht="19.899999999999999" customHeight="1" x14ac:dyDescent="0.25">
      <c r="A6" s="3" t="s">
        <v>16</v>
      </c>
      <c r="B6" s="3">
        <f>'Master Sheet'!F5</f>
        <v>0</v>
      </c>
    </row>
    <row r="7" spans="1:2" ht="19.899999999999999" customHeight="1" x14ac:dyDescent="0.25">
      <c r="A7" s="3" t="s">
        <v>17</v>
      </c>
      <c r="B7" s="3">
        <f>'Master Sheet'!G5</f>
        <v>0</v>
      </c>
    </row>
    <row r="8" spans="1:2" ht="19.899999999999999" customHeight="1" x14ac:dyDescent="0.25">
      <c r="A8" s="3" t="s">
        <v>18</v>
      </c>
      <c r="B8" s="3">
        <f>'Master Sheet'!H5</f>
        <v>0</v>
      </c>
    </row>
    <row r="9" spans="1:2" ht="19.899999999999999" customHeight="1" x14ac:dyDescent="0.25">
      <c r="A9" s="3" t="s">
        <v>19</v>
      </c>
      <c r="B9" s="3">
        <f>'Master Sheet'!I5</f>
        <v>0</v>
      </c>
    </row>
    <row r="10" spans="1:2" ht="19.899999999999999" customHeight="1" x14ac:dyDescent="0.25">
      <c r="A10" s="3" t="s">
        <v>20</v>
      </c>
      <c r="B10" s="3">
        <f>'Master Sheet'!J5</f>
        <v>0</v>
      </c>
    </row>
    <row r="11" spans="1:2" ht="19.899999999999999" customHeight="1" x14ac:dyDescent="0.25">
      <c r="A11" s="3" t="s">
        <v>21</v>
      </c>
      <c r="B11" s="3">
        <f>'Master Sheet'!K5</f>
        <v>0</v>
      </c>
    </row>
    <row r="12" spans="1:2" ht="19.899999999999999" customHeight="1" x14ac:dyDescent="0.25">
      <c r="A12" s="3" t="s">
        <v>22</v>
      </c>
      <c r="B12" s="3">
        <f>'Master Sheet'!L5</f>
        <v>0</v>
      </c>
    </row>
    <row r="13" spans="1:2" ht="19.899999999999999" customHeight="1" x14ac:dyDescent="0.25">
      <c r="A13" s="3" t="s">
        <v>23</v>
      </c>
      <c r="B13" s="3">
        <f>'Master Sheet'!M5</f>
        <v>0</v>
      </c>
    </row>
    <row r="14" spans="1:2" ht="19.899999999999999" customHeight="1" x14ac:dyDescent="0.25">
      <c r="A14" s="3" t="s">
        <v>178</v>
      </c>
      <c r="B14" s="3">
        <f>SUM(B4:B13)</f>
        <v>0</v>
      </c>
    </row>
    <row r="15" spans="1:2" ht="19.899999999999999" customHeight="1" x14ac:dyDescent="0.25">
      <c r="A15" s="3" t="s">
        <v>25</v>
      </c>
      <c r="B15" s="3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2" max="2" width="23.28515625" customWidth="1"/>
  </cols>
  <sheetData>
    <row r="1" spans="1:2" s="14" customFormat="1" ht="19.899999999999999" customHeight="1" x14ac:dyDescent="0.25">
      <c r="A1" s="28" t="s">
        <v>179</v>
      </c>
      <c r="B1" s="28"/>
    </row>
    <row r="2" spans="1:2" s="14" customFormat="1" ht="19.899999999999999" customHeight="1" x14ac:dyDescent="0.25">
      <c r="A2" s="16" t="s">
        <v>12</v>
      </c>
      <c r="B2" s="17" t="str">
        <f>'Master Sheet'!B6</f>
        <v>Saratha Sasikumar, Varayannur</v>
      </c>
    </row>
    <row r="3" spans="1:2" s="14" customFormat="1" ht="19.899999999999999" customHeight="1" x14ac:dyDescent="0.25">
      <c r="A3" s="16" t="s">
        <v>176</v>
      </c>
      <c r="B3" s="16" t="s">
        <v>177</v>
      </c>
    </row>
    <row r="4" spans="1:2" s="14" customFormat="1" ht="19.899999999999999" customHeight="1" x14ac:dyDescent="0.25">
      <c r="A4" s="7" t="s">
        <v>14</v>
      </c>
      <c r="B4" s="7">
        <f>'Master Sheet'!D6</f>
        <v>500</v>
      </c>
    </row>
    <row r="5" spans="1:2" s="14" customFormat="1" ht="19.899999999999999" customHeight="1" x14ac:dyDescent="0.25">
      <c r="A5" s="7" t="s">
        <v>15</v>
      </c>
      <c r="B5" s="7">
        <f>'Master Sheet'!E6</f>
        <v>0</v>
      </c>
    </row>
    <row r="6" spans="1:2" s="14" customFormat="1" ht="19.899999999999999" customHeight="1" x14ac:dyDescent="0.25">
      <c r="A6" s="7" t="s">
        <v>16</v>
      </c>
      <c r="B6" s="7">
        <f>'Master Sheet'!F6</f>
        <v>0</v>
      </c>
    </row>
    <row r="7" spans="1:2" s="14" customFormat="1" ht="19.899999999999999" customHeight="1" x14ac:dyDescent="0.25">
      <c r="A7" s="7" t="s">
        <v>17</v>
      </c>
      <c r="B7" s="7">
        <f>'Master Sheet'!G6</f>
        <v>500</v>
      </c>
    </row>
    <row r="8" spans="1:2" s="14" customFormat="1" ht="19.899999999999999" customHeight="1" x14ac:dyDescent="0.25">
      <c r="A8" s="7" t="s">
        <v>18</v>
      </c>
      <c r="B8" s="7">
        <f>'Master Sheet'!H6</f>
        <v>0</v>
      </c>
    </row>
    <row r="9" spans="1:2" s="14" customFormat="1" ht="19.899999999999999" customHeight="1" x14ac:dyDescent="0.25">
      <c r="A9" s="7" t="s">
        <v>19</v>
      </c>
      <c r="B9" s="7">
        <f>'Master Sheet'!I6</f>
        <v>0</v>
      </c>
    </row>
    <row r="10" spans="1:2" s="14" customFormat="1" ht="19.899999999999999" customHeight="1" x14ac:dyDescent="0.25">
      <c r="A10" s="7" t="s">
        <v>20</v>
      </c>
      <c r="B10" s="7">
        <f>'Master Sheet'!J6</f>
        <v>0</v>
      </c>
    </row>
    <row r="11" spans="1:2" s="14" customFormat="1" ht="19.899999999999999" customHeight="1" x14ac:dyDescent="0.25">
      <c r="A11" s="7" t="s">
        <v>21</v>
      </c>
      <c r="B11" s="7">
        <f>'Master Sheet'!K6</f>
        <v>0</v>
      </c>
    </row>
    <row r="12" spans="1:2" s="14" customFormat="1" ht="19.899999999999999" customHeight="1" x14ac:dyDescent="0.25">
      <c r="A12" s="7" t="s">
        <v>22</v>
      </c>
      <c r="B12" s="7">
        <f>'Master Sheet'!L6</f>
        <v>0</v>
      </c>
    </row>
    <row r="13" spans="1:2" s="14" customFormat="1" ht="19.899999999999999" customHeight="1" x14ac:dyDescent="0.25">
      <c r="A13" s="7" t="s">
        <v>23</v>
      </c>
      <c r="B13" s="7">
        <f>'Master Sheet'!M6</f>
        <v>0</v>
      </c>
    </row>
    <row r="14" spans="1:2" s="14" customFormat="1" ht="19.899999999999999" customHeight="1" x14ac:dyDescent="0.25">
      <c r="A14" s="7" t="s">
        <v>178</v>
      </c>
      <c r="B14" s="7">
        <f>SUM(B4:B13)</f>
        <v>1000</v>
      </c>
    </row>
    <row r="15" spans="1:2" s="14" customFormat="1" ht="19.899999999999999" customHeight="1" x14ac:dyDescent="0.25">
      <c r="A15" s="7" t="s">
        <v>25</v>
      </c>
      <c r="B15" s="7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</f>
        <v>Gokul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</f>
        <v>0</v>
      </c>
    </row>
    <row r="5" spans="1:2" s="8" customFormat="1" ht="19.899999999999999" customHeight="1" x14ac:dyDescent="0.25">
      <c r="A5" s="7" t="s">
        <v>15</v>
      </c>
      <c r="B5" s="7">
        <f>'Master Sheet'!E7</f>
        <v>0</v>
      </c>
    </row>
    <row r="6" spans="1:2" s="8" customFormat="1" ht="19.899999999999999" customHeight="1" x14ac:dyDescent="0.25">
      <c r="A6" s="7" t="s">
        <v>16</v>
      </c>
      <c r="B6" s="7">
        <f>'Master Sheet'!F7</f>
        <v>0</v>
      </c>
    </row>
    <row r="7" spans="1:2" s="8" customFormat="1" ht="19.899999999999999" customHeight="1" x14ac:dyDescent="0.25">
      <c r="A7" s="7" t="s">
        <v>17</v>
      </c>
      <c r="B7" s="7">
        <f>'Master Sheet'!G7</f>
        <v>2000</v>
      </c>
    </row>
    <row r="8" spans="1:2" s="8" customFormat="1" ht="19.899999999999999" customHeight="1" x14ac:dyDescent="0.25">
      <c r="A8" s="7" t="s">
        <v>18</v>
      </c>
      <c r="B8" s="7">
        <f>'Master Sheet'!H7</f>
        <v>0</v>
      </c>
    </row>
    <row r="9" spans="1:2" s="8" customFormat="1" ht="19.899999999999999" customHeight="1" x14ac:dyDescent="0.25">
      <c r="A9" s="7" t="s">
        <v>19</v>
      </c>
      <c r="B9" s="7">
        <f>'Master Sheet'!I7</f>
        <v>0</v>
      </c>
    </row>
    <row r="10" spans="1:2" s="8" customFormat="1" ht="19.899999999999999" customHeight="1" x14ac:dyDescent="0.25">
      <c r="A10" s="7" t="s">
        <v>20</v>
      </c>
      <c r="B10" s="7">
        <f>'Master Sheet'!J7</f>
        <v>0</v>
      </c>
    </row>
    <row r="11" spans="1:2" s="8" customFormat="1" ht="19.899999999999999" customHeight="1" x14ac:dyDescent="0.25">
      <c r="A11" s="7" t="s">
        <v>21</v>
      </c>
      <c r="B11" s="7">
        <f>'Master Sheet'!K7</f>
        <v>0</v>
      </c>
    </row>
    <row r="12" spans="1:2" s="8" customFormat="1" ht="19.899999999999999" customHeight="1" x14ac:dyDescent="0.25">
      <c r="A12" s="7" t="s">
        <v>22</v>
      </c>
      <c r="B12" s="7">
        <f>'Master Sheet'!L7</f>
        <v>0</v>
      </c>
    </row>
    <row r="13" spans="1:2" s="8" customFormat="1" ht="19.899999999999999" customHeight="1" x14ac:dyDescent="0.25">
      <c r="A13" s="7" t="s">
        <v>23</v>
      </c>
      <c r="B13" s="7">
        <f>'Master Sheet'!M7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2000</v>
      </c>
    </row>
    <row r="15" spans="1:2" s="8" customFormat="1" ht="19.899999999999999" customHeight="1" x14ac:dyDescent="0.25">
      <c r="A15" s="7" t="s">
        <v>25</v>
      </c>
      <c r="B15" s="7">
        <f>3500-B14</f>
        <v>1500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</f>
        <v>Latha , Vrayannur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</f>
        <v>250</v>
      </c>
    </row>
    <row r="5" spans="1:2" s="8" customFormat="1" ht="19.899999999999999" customHeight="1" x14ac:dyDescent="0.25">
      <c r="A5" s="7" t="s">
        <v>15</v>
      </c>
      <c r="B5" s="7">
        <f>'Master Sheet'!E8</f>
        <v>0</v>
      </c>
    </row>
    <row r="6" spans="1:2" s="8" customFormat="1" ht="19.899999999999999" customHeight="1" x14ac:dyDescent="0.25">
      <c r="A6" s="7" t="s">
        <v>16</v>
      </c>
      <c r="B6" s="7">
        <f>'Master Sheet'!F8</f>
        <v>0</v>
      </c>
    </row>
    <row r="7" spans="1:2" s="8" customFormat="1" ht="19.899999999999999" customHeight="1" x14ac:dyDescent="0.25">
      <c r="A7" s="7" t="s">
        <v>17</v>
      </c>
      <c r="B7" s="7">
        <f>'Master Sheet'!G8</f>
        <v>500</v>
      </c>
    </row>
    <row r="8" spans="1:2" s="8" customFormat="1" ht="19.899999999999999" customHeight="1" x14ac:dyDescent="0.25">
      <c r="A8" s="7" t="s">
        <v>18</v>
      </c>
      <c r="B8" s="7">
        <f>'Master Sheet'!H8</f>
        <v>0</v>
      </c>
    </row>
    <row r="9" spans="1:2" s="8" customFormat="1" ht="19.899999999999999" customHeight="1" x14ac:dyDescent="0.25">
      <c r="A9" s="7" t="s">
        <v>19</v>
      </c>
      <c r="B9" s="7">
        <f>'Master Sheet'!I8</f>
        <v>0</v>
      </c>
    </row>
    <row r="10" spans="1:2" s="8" customFormat="1" ht="19.899999999999999" customHeight="1" x14ac:dyDescent="0.25">
      <c r="A10" s="7" t="s">
        <v>20</v>
      </c>
      <c r="B10" s="7" t="str">
        <f>'Master Sheet'!J8</f>
        <v>t</v>
      </c>
    </row>
    <row r="11" spans="1:2" s="8" customFormat="1" ht="19.899999999999999" customHeight="1" x14ac:dyDescent="0.25">
      <c r="A11" s="7" t="s">
        <v>21</v>
      </c>
      <c r="B11" s="7">
        <f>'Master Sheet'!K8</f>
        <v>0</v>
      </c>
    </row>
    <row r="12" spans="1:2" s="8" customFormat="1" ht="19.899999999999999" customHeight="1" x14ac:dyDescent="0.25">
      <c r="A12" s="7" t="s">
        <v>22</v>
      </c>
      <c r="B12" s="7">
        <f>'Master Sheet'!L8</f>
        <v>0</v>
      </c>
    </row>
    <row r="13" spans="1:2" s="8" customFormat="1" ht="19.899999999999999" customHeight="1" x14ac:dyDescent="0.25">
      <c r="A13" s="7" t="s">
        <v>23</v>
      </c>
      <c r="B13" s="7">
        <f>'Master Sheet'!M8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750</v>
      </c>
    </row>
    <row r="15" spans="1:2" s="8" customFormat="1" ht="19.899999999999999" customHeight="1" x14ac:dyDescent="0.25">
      <c r="A15" s="7" t="s">
        <v>25</v>
      </c>
      <c r="B15" s="7">
        <f>3500-B14</f>
        <v>2750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Sheet'!B9</f>
        <v>Viswapriya , Varayannur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Sheet'!D9</f>
        <v>250</v>
      </c>
    </row>
    <row r="5" spans="1:2" s="8" customFormat="1" ht="19.899999999999999" customHeight="1" x14ac:dyDescent="0.25">
      <c r="A5" s="7" t="s">
        <v>15</v>
      </c>
      <c r="B5" s="7">
        <f>'Master Sheet'!E9</f>
        <v>0</v>
      </c>
    </row>
    <row r="6" spans="1:2" s="8" customFormat="1" ht="19.899999999999999" customHeight="1" x14ac:dyDescent="0.25">
      <c r="A6" s="7" t="s">
        <v>16</v>
      </c>
      <c r="B6" s="7">
        <f>'Master Sheet'!F9</f>
        <v>0</v>
      </c>
    </row>
    <row r="7" spans="1:2" s="8" customFormat="1" ht="19.899999999999999" customHeight="1" x14ac:dyDescent="0.25">
      <c r="A7" s="7" t="s">
        <v>17</v>
      </c>
      <c r="B7" s="7">
        <f>'Master Sheet'!G9</f>
        <v>0</v>
      </c>
    </row>
    <row r="8" spans="1:2" s="8" customFormat="1" ht="19.899999999999999" customHeight="1" x14ac:dyDescent="0.25">
      <c r="A8" s="7" t="s">
        <v>18</v>
      </c>
      <c r="B8" s="7">
        <f>'Master Sheet'!H9</f>
        <v>0</v>
      </c>
    </row>
    <row r="9" spans="1:2" s="8" customFormat="1" ht="19.899999999999999" customHeight="1" x14ac:dyDescent="0.25">
      <c r="A9" s="7" t="s">
        <v>19</v>
      </c>
      <c r="B9" s="7">
        <f>'Master Sheet'!I9</f>
        <v>0</v>
      </c>
    </row>
    <row r="10" spans="1:2" s="8" customFormat="1" ht="19.899999999999999" customHeight="1" x14ac:dyDescent="0.25">
      <c r="A10" s="7" t="s">
        <v>20</v>
      </c>
      <c r="B10" s="7">
        <f>'Master Sheet'!J9</f>
        <v>0</v>
      </c>
    </row>
    <row r="11" spans="1:2" s="8" customFormat="1" ht="19.899999999999999" customHeight="1" x14ac:dyDescent="0.25">
      <c r="A11" s="7" t="s">
        <v>21</v>
      </c>
      <c r="B11" s="7">
        <f>'Master Sheet'!K9</f>
        <v>0</v>
      </c>
    </row>
    <row r="12" spans="1:2" s="8" customFormat="1" ht="19.899999999999999" customHeight="1" x14ac:dyDescent="0.25">
      <c r="A12" s="7" t="s">
        <v>22</v>
      </c>
      <c r="B12" s="7">
        <f>'Master Sheet'!L9</f>
        <v>0</v>
      </c>
    </row>
    <row r="13" spans="1:2" s="8" customFormat="1" ht="19.899999999999999" customHeight="1" x14ac:dyDescent="0.25">
      <c r="A13" s="7" t="s">
        <v>23</v>
      </c>
      <c r="B13" s="7">
        <f>'Master Sheet'!M9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250</v>
      </c>
    </row>
    <row r="15" spans="1:2" s="8" customFormat="1" ht="19.899999999999999" customHeight="1" x14ac:dyDescent="0.25">
      <c r="A15" s="7" t="s">
        <v>25</v>
      </c>
      <c r="B15" s="7">
        <f>3500-B14</f>
        <v>3250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</f>
        <v>Ambili Varayannur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</f>
        <v>250</v>
      </c>
    </row>
    <row r="5" spans="1:2" s="8" customFormat="1" ht="19.899999999999999" customHeight="1" x14ac:dyDescent="0.25">
      <c r="A5" s="7" t="s">
        <v>15</v>
      </c>
      <c r="B5" s="7">
        <f>'Master Sheet'!E10</f>
        <v>0</v>
      </c>
    </row>
    <row r="6" spans="1:2" s="8" customFormat="1" ht="19.899999999999999" customHeight="1" x14ac:dyDescent="0.25">
      <c r="A6" s="7" t="s">
        <v>16</v>
      </c>
      <c r="B6" s="7">
        <f>'Master Sheet'!F10</f>
        <v>0</v>
      </c>
    </row>
    <row r="7" spans="1:2" s="8" customFormat="1" ht="19.899999999999999" customHeight="1" x14ac:dyDescent="0.25">
      <c r="A7" s="7" t="s">
        <v>17</v>
      </c>
      <c r="B7" s="7">
        <f>'Master Sheet'!G10</f>
        <v>500</v>
      </c>
    </row>
    <row r="8" spans="1:2" s="8" customFormat="1" ht="19.899999999999999" customHeight="1" x14ac:dyDescent="0.25">
      <c r="A8" s="7" t="s">
        <v>18</v>
      </c>
      <c r="B8" s="7">
        <f>'Master Sheet'!H10</f>
        <v>0</v>
      </c>
    </row>
    <row r="9" spans="1:2" s="8" customFormat="1" ht="19.899999999999999" customHeight="1" x14ac:dyDescent="0.25">
      <c r="A9" s="7" t="s">
        <v>19</v>
      </c>
      <c r="B9" s="7">
        <f>'Master Sheet'!I10</f>
        <v>0</v>
      </c>
    </row>
    <row r="10" spans="1:2" s="8" customFormat="1" ht="19.899999999999999" customHeight="1" x14ac:dyDescent="0.25">
      <c r="A10" s="7" t="s">
        <v>20</v>
      </c>
      <c r="B10" s="7">
        <f>'Master Sheet'!J10</f>
        <v>0</v>
      </c>
    </row>
    <row r="11" spans="1:2" s="8" customFormat="1" ht="19.899999999999999" customHeight="1" x14ac:dyDescent="0.25">
      <c r="A11" s="7" t="s">
        <v>21</v>
      </c>
      <c r="B11" s="7">
        <f>'Master Sheet'!K10</f>
        <v>0</v>
      </c>
    </row>
    <row r="12" spans="1:2" s="8" customFormat="1" ht="19.899999999999999" customHeight="1" x14ac:dyDescent="0.25">
      <c r="A12" s="7" t="s">
        <v>22</v>
      </c>
      <c r="B12" s="7">
        <f>'Master Sheet'!L10</f>
        <v>0</v>
      </c>
    </row>
    <row r="13" spans="1:2" s="8" customFormat="1" ht="19.899999999999999" customHeight="1" x14ac:dyDescent="0.25">
      <c r="A13" s="7" t="s">
        <v>23</v>
      </c>
      <c r="B13" s="7">
        <f>'Master Sheet'!M10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750</v>
      </c>
    </row>
    <row r="15" spans="1:2" s="8" customFormat="1" ht="19.899999999999999" customHeight="1" x14ac:dyDescent="0.25">
      <c r="A15" s="7" t="s">
        <v>25</v>
      </c>
      <c r="B15" s="7">
        <f>3500-B14</f>
        <v>2750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</f>
        <v>Ambili Varayannur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</f>
        <v>250</v>
      </c>
    </row>
    <row r="5" spans="1:2" s="8" customFormat="1" ht="19.899999999999999" customHeight="1" x14ac:dyDescent="0.25">
      <c r="A5" s="7" t="s">
        <v>15</v>
      </c>
      <c r="B5" s="7">
        <f>'Master Sheet'!E11</f>
        <v>0</v>
      </c>
    </row>
    <row r="6" spans="1:2" s="8" customFormat="1" ht="19.899999999999999" customHeight="1" x14ac:dyDescent="0.25">
      <c r="A6" s="7" t="s">
        <v>16</v>
      </c>
      <c r="B6" s="7">
        <f>'Master Sheet'!F11</f>
        <v>0</v>
      </c>
    </row>
    <row r="7" spans="1:2" s="8" customFormat="1" ht="19.899999999999999" customHeight="1" x14ac:dyDescent="0.25">
      <c r="A7" s="7" t="s">
        <v>17</v>
      </c>
      <c r="B7" s="7">
        <f>'Master Sheet'!G11</f>
        <v>0</v>
      </c>
    </row>
    <row r="8" spans="1:2" s="8" customFormat="1" ht="19.899999999999999" customHeight="1" x14ac:dyDescent="0.25">
      <c r="A8" s="7" t="s">
        <v>18</v>
      </c>
      <c r="B8" s="7">
        <f>'Master Sheet'!H11</f>
        <v>0</v>
      </c>
    </row>
    <row r="9" spans="1:2" s="8" customFormat="1" ht="19.899999999999999" customHeight="1" x14ac:dyDescent="0.25">
      <c r="A9" s="7" t="s">
        <v>19</v>
      </c>
      <c r="B9" s="7">
        <f>'Master Sheet'!I11</f>
        <v>0</v>
      </c>
    </row>
    <row r="10" spans="1:2" s="8" customFormat="1" ht="19.899999999999999" customHeight="1" x14ac:dyDescent="0.25">
      <c r="A10" s="7" t="s">
        <v>20</v>
      </c>
      <c r="B10" s="7">
        <f>'Master Sheet'!J11</f>
        <v>0</v>
      </c>
    </row>
    <row r="11" spans="1:2" s="8" customFormat="1" ht="19.899999999999999" customHeight="1" x14ac:dyDescent="0.25">
      <c r="A11" s="7" t="s">
        <v>21</v>
      </c>
      <c r="B11" s="7">
        <f>'Master Sheet'!K11</f>
        <v>0</v>
      </c>
    </row>
    <row r="12" spans="1:2" s="8" customFormat="1" ht="19.899999999999999" customHeight="1" x14ac:dyDescent="0.25">
      <c r="A12" s="7" t="s">
        <v>22</v>
      </c>
      <c r="B12" s="7">
        <f>'Master Sheet'!L11</f>
        <v>0</v>
      </c>
    </row>
    <row r="13" spans="1:2" s="8" customFormat="1" ht="19.899999999999999" customHeight="1" x14ac:dyDescent="0.25">
      <c r="A13" s="7" t="s">
        <v>23</v>
      </c>
      <c r="B13" s="7">
        <f>'Master Sheet'!M11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250</v>
      </c>
    </row>
    <row r="15" spans="1:2" s="8" customFormat="1" ht="19.899999999999999" customHeight="1" x14ac:dyDescent="0.25">
      <c r="A15" s="7" t="s">
        <v>25</v>
      </c>
      <c r="B15" s="7">
        <f>3500-B14</f>
        <v>3250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</f>
        <v>Lakshmi Ajeesh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</f>
        <v>0</v>
      </c>
    </row>
    <row r="5" spans="1:2" s="8" customFormat="1" ht="19.899999999999999" customHeight="1" x14ac:dyDescent="0.25">
      <c r="A5" s="7" t="s">
        <v>15</v>
      </c>
      <c r="B5" s="7">
        <f>'Master Sheet'!E12</f>
        <v>0</v>
      </c>
    </row>
    <row r="6" spans="1:2" s="8" customFormat="1" ht="19.899999999999999" customHeight="1" x14ac:dyDescent="0.25">
      <c r="A6" s="7" t="s">
        <v>16</v>
      </c>
      <c r="B6" s="7">
        <f>'Master Sheet'!F12</f>
        <v>0</v>
      </c>
    </row>
    <row r="7" spans="1:2" s="8" customFormat="1" ht="19.899999999999999" customHeight="1" x14ac:dyDescent="0.25">
      <c r="A7" s="7" t="s">
        <v>17</v>
      </c>
      <c r="B7" s="7">
        <f>'Master Sheet'!G12</f>
        <v>0</v>
      </c>
    </row>
    <row r="8" spans="1:2" s="8" customFormat="1" ht="19.899999999999999" customHeight="1" x14ac:dyDescent="0.25">
      <c r="A8" s="7" t="s">
        <v>18</v>
      </c>
      <c r="B8" s="7">
        <f>'Master Sheet'!H12</f>
        <v>0</v>
      </c>
    </row>
    <row r="9" spans="1:2" s="8" customFormat="1" ht="19.899999999999999" customHeight="1" x14ac:dyDescent="0.25">
      <c r="A9" s="7" t="s">
        <v>19</v>
      </c>
      <c r="B9" s="7">
        <f>'Master Sheet'!I12</f>
        <v>0</v>
      </c>
    </row>
    <row r="10" spans="1:2" s="8" customFormat="1" ht="19.899999999999999" customHeight="1" x14ac:dyDescent="0.25">
      <c r="A10" s="7" t="s">
        <v>20</v>
      </c>
      <c r="B10" s="7">
        <f>'Master Sheet'!J12</f>
        <v>0</v>
      </c>
    </row>
    <row r="11" spans="1:2" s="8" customFormat="1" ht="19.899999999999999" customHeight="1" x14ac:dyDescent="0.25">
      <c r="A11" s="7" t="s">
        <v>21</v>
      </c>
      <c r="B11" s="7">
        <f>'Master Sheet'!K12</f>
        <v>0</v>
      </c>
    </row>
    <row r="12" spans="1:2" s="8" customFormat="1" ht="19.899999999999999" customHeight="1" x14ac:dyDescent="0.25">
      <c r="A12" s="7" t="s">
        <v>22</v>
      </c>
      <c r="B12" s="7">
        <f>'Master Sheet'!L12</f>
        <v>0</v>
      </c>
    </row>
    <row r="13" spans="1:2" s="8" customFormat="1" ht="19.899999999999999" customHeight="1" x14ac:dyDescent="0.25">
      <c r="A13" s="7" t="s">
        <v>23</v>
      </c>
      <c r="B13" s="7">
        <f>'Master Sheet'!M12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</f>
        <v>Seema Manoj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</f>
        <v>0</v>
      </c>
    </row>
    <row r="5" spans="1:2" s="8" customFormat="1" ht="19.899999999999999" customHeight="1" x14ac:dyDescent="0.25">
      <c r="A5" s="7" t="s">
        <v>15</v>
      </c>
      <c r="B5" s="7">
        <f>'Master Sheet'!E13</f>
        <v>0</v>
      </c>
    </row>
    <row r="6" spans="1:2" s="8" customFormat="1" ht="19.899999999999999" customHeight="1" x14ac:dyDescent="0.25">
      <c r="A6" s="7" t="s">
        <v>16</v>
      </c>
      <c r="B6" s="7">
        <f>'Master Sheet'!F13</f>
        <v>0</v>
      </c>
    </row>
    <row r="7" spans="1:2" s="8" customFormat="1" ht="19.899999999999999" customHeight="1" x14ac:dyDescent="0.25">
      <c r="A7" s="7" t="s">
        <v>17</v>
      </c>
      <c r="B7" s="7">
        <f>'Master Sheet'!G13</f>
        <v>0</v>
      </c>
    </row>
    <row r="8" spans="1:2" s="8" customFormat="1" ht="19.899999999999999" customHeight="1" x14ac:dyDescent="0.25">
      <c r="A8" s="7" t="s">
        <v>18</v>
      </c>
      <c r="B8" s="7">
        <f>'Master Sheet'!H13</f>
        <v>0</v>
      </c>
    </row>
    <row r="9" spans="1:2" s="8" customFormat="1" ht="19.899999999999999" customHeight="1" x14ac:dyDescent="0.25">
      <c r="A9" s="7" t="s">
        <v>19</v>
      </c>
      <c r="B9" s="7">
        <f>'Master Sheet'!I13</f>
        <v>0</v>
      </c>
    </row>
    <row r="10" spans="1:2" s="8" customFormat="1" ht="19.899999999999999" customHeight="1" x14ac:dyDescent="0.25">
      <c r="A10" s="7" t="s">
        <v>20</v>
      </c>
      <c r="B10" s="7">
        <f>'Master Sheet'!J13</f>
        <v>0</v>
      </c>
    </row>
    <row r="11" spans="1:2" s="8" customFormat="1" ht="19.899999999999999" customHeight="1" x14ac:dyDescent="0.25">
      <c r="A11" s="7" t="s">
        <v>21</v>
      </c>
      <c r="B11" s="7">
        <f>'Master Sheet'!K13</f>
        <v>0</v>
      </c>
    </row>
    <row r="12" spans="1:2" s="8" customFormat="1" ht="19.899999999999999" customHeight="1" x14ac:dyDescent="0.25">
      <c r="A12" s="7" t="s">
        <v>22</v>
      </c>
      <c r="B12" s="7">
        <f>'Master Sheet'!L13</f>
        <v>0</v>
      </c>
    </row>
    <row r="13" spans="1:2" s="8" customFormat="1" ht="19.899999999999999" customHeight="1" x14ac:dyDescent="0.25">
      <c r="A13" s="7" t="s">
        <v>23</v>
      </c>
      <c r="B13" s="7">
        <f>'Master Sheet'!M13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</f>
        <v>Seema Manoj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</f>
        <v>0</v>
      </c>
    </row>
    <row r="5" spans="1:2" s="8" customFormat="1" ht="19.899999999999999" customHeight="1" x14ac:dyDescent="0.25">
      <c r="A5" s="7" t="s">
        <v>15</v>
      </c>
      <c r="B5" s="7">
        <f>'Master Sheet'!E14</f>
        <v>0</v>
      </c>
    </row>
    <row r="6" spans="1:2" s="8" customFormat="1" ht="19.899999999999999" customHeight="1" x14ac:dyDescent="0.25">
      <c r="A6" s="7" t="s">
        <v>16</v>
      </c>
      <c r="B6" s="7">
        <f>'Master Sheet'!F14</f>
        <v>0</v>
      </c>
    </row>
    <row r="7" spans="1:2" s="8" customFormat="1" ht="19.899999999999999" customHeight="1" x14ac:dyDescent="0.25">
      <c r="A7" s="7" t="s">
        <v>17</v>
      </c>
      <c r="B7" s="7">
        <f>'Master Sheet'!G14</f>
        <v>0</v>
      </c>
    </row>
    <row r="8" spans="1:2" s="8" customFormat="1" ht="19.899999999999999" customHeight="1" x14ac:dyDescent="0.25">
      <c r="A8" s="7" t="s">
        <v>18</v>
      </c>
      <c r="B8" s="7">
        <f>'Master Sheet'!H14</f>
        <v>0</v>
      </c>
    </row>
    <row r="9" spans="1:2" s="8" customFormat="1" ht="19.899999999999999" customHeight="1" x14ac:dyDescent="0.25">
      <c r="A9" s="7" t="s">
        <v>19</v>
      </c>
      <c r="B9" s="7">
        <f>'Master Sheet'!I14</f>
        <v>0</v>
      </c>
    </row>
    <row r="10" spans="1:2" s="8" customFormat="1" ht="19.899999999999999" customHeight="1" x14ac:dyDescent="0.25">
      <c r="A10" s="7" t="s">
        <v>20</v>
      </c>
      <c r="B10" s="7">
        <f>'Master Sheet'!J14</f>
        <v>0</v>
      </c>
    </row>
    <row r="11" spans="1:2" s="8" customFormat="1" ht="19.899999999999999" customHeight="1" x14ac:dyDescent="0.25">
      <c r="A11" s="7" t="s">
        <v>21</v>
      </c>
      <c r="B11" s="7">
        <f>'Master Sheet'!K14</f>
        <v>0</v>
      </c>
    </row>
    <row r="12" spans="1:2" s="8" customFormat="1" ht="19.899999999999999" customHeight="1" x14ac:dyDescent="0.25">
      <c r="A12" s="7" t="s">
        <v>22</v>
      </c>
      <c r="B12" s="7">
        <f>'Master Sheet'!L14</f>
        <v>0</v>
      </c>
    </row>
    <row r="13" spans="1:2" s="8" customFormat="1" ht="19.899999999999999" customHeight="1" x14ac:dyDescent="0.25">
      <c r="A13" s="7" t="s">
        <v>23</v>
      </c>
      <c r="B13" s="7">
        <f>'Master Sheet'!M14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Sheet'!B15</f>
        <v>Shyla Pradeep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Sheet'!D15</f>
        <v>0</v>
      </c>
    </row>
    <row r="5" spans="1:2" s="8" customFormat="1" ht="19.899999999999999" customHeight="1" x14ac:dyDescent="0.25">
      <c r="A5" s="7" t="s">
        <v>15</v>
      </c>
      <c r="B5" s="7">
        <f>'Master Sheet'!E15</f>
        <v>0</v>
      </c>
    </row>
    <row r="6" spans="1:2" s="8" customFormat="1" ht="19.899999999999999" customHeight="1" x14ac:dyDescent="0.25">
      <c r="A6" s="7" t="s">
        <v>16</v>
      </c>
      <c r="B6" s="7">
        <f>'Master Sheet'!F15</f>
        <v>0</v>
      </c>
    </row>
    <row r="7" spans="1:2" s="8" customFormat="1" ht="19.899999999999999" customHeight="1" x14ac:dyDescent="0.25">
      <c r="A7" s="7" t="s">
        <v>17</v>
      </c>
      <c r="B7" s="7">
        <f>'Master Sheet'!G15</f>
        <v>0</v>
      </c>
    </row>
    <row r="8" spans="1:2" s="8" customFormat="1" ht="19.899999999999999" customHeight="1" x14ac:dyDescent="0.25">
      <c r="A8" s="7" t="s">
        <v>18</v>
      </c>
      <c r="B8" s="7">
        <f>'Master Sheet'!H15</f>
        <v>0</v>
      </c>
    </row>
    <row r="9" spans="1:2" s="8" customFormat="1" ht="19.899999999999999" customHeight="1" x14ac:dyDescent="0.25">
      <c r="A9" s="7" t="s">
        <v>19</v>
      </c>
      <c r="B9" s="7">
        <f>'Master Sheet'!I15</f>
        <v>0</v>
      </c>
    </row>
    <row r="10" spans="1:2" s="8" customFormat="1" ht="19.899999999999999" customHeight="1" x14ac:dyDescent="0.25">
      <c r="A10" s="7" t="s">
        <v>20</v>
      </c>
      <c r="B10" s="7">
        <f>'Master Sheet'!J15</f>
        <v>0</v>
      </c>
    </row>
    <row r="11" spans="1:2" s="8" customFormat="1" ht="19.899999999999999" customHeight="1" x14ac:dyDescent="0.25">
      <c r="A11" s="7" t="s">
        <v>21</v>
      </c>
      <c r="B11" s="7">
        <f>'Master Sheet'!K15</f>
        <v>0</v>
      </c>
    </row>
    <row r="12" spans="1:2" s="8" customFormat="1" ht="19.899999999999999" customHeight="1" x14ac:dyDescent="0.25">
      <c r="A12" s="7" t="s">
        <v>22</v>
      </c>
      <c r="B12" s="7">
        <f>'Master Sheet'!L15</f>
        <v>0</v>
      </c>
    </row>
    <row r="13" spans="1:2" s="8" customFormat="1" ht="19.899999999999999" customHeight="1" x14ac:dyDescent="0.25">
      <c r="A13" s="7" t="s">
        <v>23</v>
      </c>
      <c r="B13" s="7">
        <f>'Master Sheet'!M15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Sheet'!B16</f>
        <v>Sreeja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Sheet'!D16</f>
        <v>0</v>
      </c>
    </row>
    <row r="5" spans="1:2" s="8" customFormat="1" ht="19.899999999999999" customHeight="1" x14ac:dyDescent="0.25">
      <c r="A5" s="7" t="s">
        <v>15</v>
      </c>
      <c r="B5" s="7">
        <f>'Master Sheet'!E16</f>
        <v>0</v>
      </c>
    </row>
    <row r="6" spans="1:2" s="8" customFormat="1" ht="19.899999999999999" customHeight="1" x14ac:dyDescent="0.25">
      <c r="A6" s="7" t="s">
        <v>16</v>
      </c>
      <c r="B6" s="7">
        <f>'Master Sheet'!F16</f>
        <v>350</v>
      </c>
    </row>
    <row r="7" spans="1:2" s="8" customFormat="1" ht="19.899999999999999" customHeight="1" x14ac:dyDescent="0.25">
      <c r="A7" s="7" t="s">
        <v>17</v>
      </c>
      <c r="B7" s="7">
        <f>'Master Sheet'!G16</f>
        <v>0</v>
      </c>
    </row>
    <row r="8" spans="1:2" s="8" customFormat="1" ht="19.899999999999999" customHeight="1" x14ac:dyDescent="0.25">
      <c r="A8" s="7" t="s">
        <v>18</v>
      </c>
      <c r="B8" s="7">
        <f>'Master Sheet'!H16</f>
        <v>0</v>
      </c>
    </row>
    <row r="9" spans="1:2" s="8" customFormat="1" ht="19.899999999999999" customHeight="1" x14ac:dyDescent="0.25">
      <c r="A9" s="7" t="s">
        <v>19</v>
      </c>
      <c r="B9" s="7">
        <f>'Master Sheet'!I16</f>
        <v>0</v>
      </c>
    </row>
    <row r="10" spans="1:2" s="8" customFormat="1" ht="19.899999999999999" customHeight="1" x14ac:dyDescent="0.25">
      <c r="A10" s="7" t="s">
        <v>20</v>
      </c>
      <c r="B10" s="7">
        <f>'Master Sheet'!J16</f>
        <v>0</v>
      </c>
    </row>
    <row r="11" spans="1:2" s="8" customFormat="1" ht="19.899999999999999" customHeight="1" x14ac:dyDescent="0.25">
      <c r="A11" s="7" t="s">
        <v>21</v>
      </c>
      <c r="B11" s="7">
        <f>'Master Sheet'!K16</f>
        <v>0</v>
      </c>
    </row>
    <row r="12" spans="1:2" s="8" customFormat="1" ht="19.899999999999999" customHeight="1" x14ac:dyDescent="0.25">
      <c r="A12" s="7" t="s">
        <v>22</v>
      </c>
      <c r="B12" s="7">
        <f>'Master Sheet'!L16</f>
        <v>0</v>
      </c>
    </row>
    <row r="13" spans="1:2" s="8" customFormat="1" ht="19.899999999999999" customHeight="1" x14ac:dyDescent="0.25">
      <c r="A13" s="7" t="s">
        <v>23</v>
      </c>
      <c r="B13" s="7">
        <f>'Master Sheet'!M16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Sheet'!B17</f>
        <v>Ambika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Sheet'!D17</f>
        <v>0</v>
      </c>
    </row>
    <row r="5" spans="1:2" s="8" customFormat="1" ht="19.899999999999999" customHeight="1" x14ac:dyDescent="0.25">
      <c r="A5" s="7" t="s">
        <v>15</v>
      </c>
      <c r="B5" s="7">
        <f>'Master Sheet'!E17</f>
        <v>0</v>
      </c>
    </row>
    <row r="6" spans="1:2" s="8" customFormat="1" ht="19.899999999999999" customHeight="1" x14ac:dyDescent="0.25">
      <c r="A6" s="7" t="s">
        <v>16</v>
      </c>
      <c r="B6" s="7">
        <f>'Master Sheet'!F17</f>
        <v>0</v>
      </c>
    </row>
    <row r="7" spans="1:2" s="8" customFormat="1" ht="19.899999999999999" customHeight="1" x14ac:dyDescent="0.25">
      <c r="A7" s="7" t="s">
        <v>17</v>
      </c>
      <c r="B7" s="7">
        <f>'Master Sheet'!G17</f>
        <v>0</v>
      </c>
    </row>
    <row r="8" spans="1:2" s="8" customFormat="1" ht="19.899999999999999" customHeight="1" x14ac:dyDescent="0.25">
      <c r="A8" s="7" t="s">
        <v>18</v>
      </c>
      <c r="B8" s="7">
        <f>'Master Sheet'!H17</f>
        <v>0</v>
      </c>
    </row>
    <row r="9" spans="1:2" s="8" customFormat="1" ht="19.899999999999999" customHeight="1" x14ac:dyDescent="0.25">
      <c r="A9" s="7" t="s">
        <v>19</v>
      </c>
      <c r="B9" s="7">
        <f>'Master Sheet'!I17</f>
        <v>0</v>
      </c>
    </row>
    <row r="10" spans="1:2" s="8" customFormat="1" ht="19.899999999999999" customHeight="1" x14ac:dyDescent="0.25">
      <c r="A10" s="7" t="s">
        <v>20</v>
      </c>
      <c r="B10" s="7">
        <f>'Master Sheet'!J17</f>
        <v>0</v>
      </c>
    </row>
    <row r="11" spans="1:2" s="8" customFormat="1" ht="19.899999999999999" customHeight="1" x14ac:dyDescent="0.25">
      <c r="A11" s="7" t="s">
        <v>21</v>
      </c>
      <c r="B11" s="7">
        <f>'Master Sheet'!K17</f>
        <v>0</v>
      </c>
    </row>
    <row r="12" spans="1:2" s="8" customFormat="1" ht="19.899999999999999" customHeight="1" x14ac:dyDescent="0.25">
      <c r="A12" s="7" t="s">
        <v>22</v>
      </c>
      <c r="B12" s="7">
        <f>'Master Sheet'!L17</f>
        <v>0</v>
      </c>
    </row>
    <row r="13" spans="1:2" s="8" customFormat="1" ht="19.899999999999999" customHeight="1" x14ac:dyDescent="0.25">
      <c r="A13" s="7" t="s">
        <v>23</v>
      </c>
      <c r="B13" s="7">
        <f>'Master Sheet'!M17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Sheet'!B18</f>
        <v>Usha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Sheet'!D19</f>
        <v>0</v>
      </c>
    </row>
    <row r="5" spans="1:2" s="8" customFormat="1" ht="19.899999999999999" customHeight="1" x14ac:dyDescent="0.25">
      <c r="A5" s="7" t="s">
        <v>15</v>
      </c>
      <c r="B5" s="7">
        <f>'Master Sheet'!E18</f>
        <v>0</v>
      </c>
    </row>
    <row r="6" spans="1:2" s="8" customFormat="1" ht="19.899999999999999" customHeight="1" x14ac:dyDescent="0.25">
      <c r="A6" s="7" t="s">
        <v>16</v>
      </c>
      <c r="B6" s="7">
        <f>'Master Sheet'!F18</f>
        <v>0</v>
      </c>
    </row>
    <row r="7" spans="1:2" s="8" customFormat="1" ht="19.899999999999999" customHeight="1" x14ac:dyDescent="0.25">
      <c r="A7" s="7" t="s">
        <v>17</v>
      </c>
      <c r="B7" s="7">
        <f>'Master Sheet'!G18</f>
        <v>500</v>
      </c>
    </row>
    <row r="8" spans="1:2" s="8" customFormat="1" ht="19.899999999999999" customHeight="1" x14ac:dyDescent="0.25">
      <c r="A8" s="7" t="s">
        <v>18</v>
      </c>
      <c r="B8" s="7">
        <f>'Master Sheet'!H18</f>
        <v>0</v>
      </c>
    </row>
    <row r="9" spans="1:2" s="8" customFormat="1" ht="19.899999999999999" customHeight="1" x14ac:dyDescent="0.25">
      <c r="A9" s="7" t="s">
        <v>19</v>
      </c>
      <c r="B9" s="7">
        <f>'Master Sheet'!I18</f>
        <v>0</v>
      </c>
    </row>
    <row r="10" spans="1:2" s="8" customFormat="1" ht="19.899999999999999" customHeight="1" x14ac:dyDescent="0.25">
      <c r="A10" s="7" t="s">
        <v>20</v>
      </c>
      <c r="B10" s="7">
        <f>'Master Sheet'!J18</f>
        <v>0</v>
      </c>
    </row>
    <row r="11" spans="1:2" s="8" customFormat="1" ht="19.899999999999999" customHeight="1" x14ac:dyDescent="0.25">
      <c r="A11" s="7" t="s">
        <v>21</v>
      </c>
      <c r="B11" s="7">
        <f>'Master Sheet'!K18</f>
        <v>0</v>
      </c>
    </row>
    <row r="12" spans="1:2" s="8" customFormat="1" ht="19.899999999999999" customHeight="1" x14ac:dyDescent="0.25">
      <c r="A12" s="7" t="s">
        <v>22</v>
      </c>
      <c r="B12" s="7">
        <f>'Master Sheet'!L18</f>
        <v>0</v>
      </c>
    </row>
    <row r="13" spans="1:2" s="8" customFormat="1" ht="19.899999999999999" customHeight="1" x14ac:dyDescent="0.25">
      <c r="A13" s="7" t="s">
        <v>23</v>
      </c>
      <c r="B13" s="7">
        <f>'Master Sheet'!M18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500</v>
      </c>
    </row>
    <row r="15" spans="1:2" s="8" customFormat="1" ht="19.899999999999999" customHeight="1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Sheet'!B19</f>
        <v>Latha Shaji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Sheet'!D19</f>
        <v>0</v>
      </c>
    </row>
    <row r="5" spans="1:2" s="8" customFormat="1" ht="19.899999999999999" customHeight="1" x14ac:dyDescent="0.25">
      <c r="A5" s="7" t="s">
        <v>15</v>
      </c>
      <c r="B5" s="7">
        <f>'Master Sheet'!E19</f>
        <v>0</v>
      </c>
    </row>
    <row r="6" spans="1:2" s="8" customFormat="1" ht="19.899999999999999" customHeight="1" x14ac:dyDescent="0.25">
      <c r="A6" s="7" t="s">
        <v>16</v>
      </c>
      <c r="B6" s="7">
        <f>'Master Sheet'!F19</f>
        <v>0</v>
      </c>
    </row>
    <row r="7" spans="1:2" s="8" customFormat="1" ht="19.899999999999999" customHeight="1" x14ac:dyDescent="0.25">
      <c r="A7" s="7" t="s">
        <v>17</v>
      </c>
      <c r="B7" s="7">
        <f>'Master Sheet'!G19</f>
        <v>0</v>
      </c>
    </row>
    <row r="8" spans="1:2" s="8" customFormat="1" ht="19.899999999999999" customHeight="1" x14ac:dyDescent="0.25">
      <c r="A8" s="7" t="s">
        <v>18</v>
      </c>
      <c r="B8" s="7">
        <f>'Master Sheet'!H19</f>
        <v>0</v>
      </c>
    </row>
    <row r="9" spans="1:2" s="8" customFormat="1" ht="19.899999999999999" customHeight="1" x14ac:dyDescent="0.25">
      <c r="A9" s="7" t="s">
        <v>19</v>
      </c>
      <c r="B9" s="7">
        <f>'Master Sheet'!I19</f>
        <v>0</v>
      </c>
    </row>
    <row r="10" spans="1:2" s="8" customFormat="1" ht="19.899999999999999" customHeight="1" x14ac:dyDescent="0.25">
      <c r="A10" s="7" t="s">
        <v>20</v>
      </c>
      <c r="B10" s="7">
        <f>'Master Sheet'!J19</f>
        <v>0</v>
      </c>
    </row>
    <row r="11" spans="1:2" s="8" customFormat="1" ht="19.899999999999999" customHeight="1" x14ac:dyDescent="0.25">
      <c r="A11" s="7" t="s">
        <v>21</v>
      </c>
      <c r="B11" s="7">
        <f>'Master Sheet'!K19</f>
        <v>0</v>
      </c>
    </row>
    <row r="12" spans="1:2" s="8" customFormat="1" ht="19.899999999999999" customHeight="1" x14ac:dyDescent="0.25">
      <c r="A12" s="7" t="s">
        <v>22</v>
      </c>
      <c r="B12" s="7">
        <f>'Master Sheet'!L19</f>
        <v>0</v>
      </c>
    </row>
    <row r="13" spans="1:2" s="8" customFormat="1" ht="19.899999999999999" customHeight="1" x14ac:dyDescent="0.25">
      <c r="A13" s="7" t="s">
        <v>23</v>
      </c>
      <c r="B13" s="7">
        <f>'Master Sheet'!M19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Sheet'!B20</f>
        <v>Smitha ,Poovathur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Sheet'!D20</f>
        <v>1000</v>
      </c>
    </row>
    <row r="5" spans="1:2" s="8" customFormat="1" ht="19.899999999999999" customHeight="1" x14ac:dyDescent="0.25">
      <c r="A5" s="7" t="s">
        <v>15</v>
      </c>
      <c r="B5" s="7">
        <f>'Master Sheet'!E20</f>
        <v>0</v>
      </c>
    </row>
    <row r="6" spans="1:2" s="8" customFormat="1" ht="19.899999999999999" customHeight="1" x14ac:dyDescent="0.25">
      <c r="A6" s="7" t="s">
        <v>16</v>
      </c>
      <c r="B6" s="7">
        <f>'Master Sheet'!F20</f>
        <v>0</v>
      </c>
    </row>
    <row r="7" spans="1:2" s="8" customFormat="1" ht="19.899999999999999" customHeight="1" x14ac:dyDescent="0.25">
      <c r="A7" s="7" t="s">
        <v>17</v>
      </c>
      <c r="B7" s="7">
        <f>'Master Sheet'!G20</f>
        <v>0</v>
      </c>
    </row>
    <row r="8" spans="1:2" s="8" customFormat="1" ht="19.899999999999999" customHeight="1" x14ac:dyDescent="0.25">
      <c r="A8" s="7" t="s">
        <v>18</v>
      </c>
      <c r="B8" s="7">
        <f>'Master Sheet'!H20</f>
        <v>0</v>
      </c>
    </row>
    <row r="9" spans="1:2" s="8" customFormat="1" ht="19.899999999999999" customHeight="1" x14ac:dyDescent="0.25">
      <c r="A9" s="7" t="s">
        <v>19</v>
      </c>
      <c r="B9" s="7">
        <f>'Master Sheet'!I20</f>
        <v>0</v>
      </c>
    </row>
    <row r="10" spans="1:2" s="8" customFormat="1" ht="19.899999999999999" customHeight="1" x14ac:dyDescent="0.25">
      <c r="A10" s="7" t="s">
        <v>20</v>
      </c>
      <c r="B10" s="7">
        <f>'Master Sheet'!J20</f>
        <v>0</v>
      </c>
    </row>
    <row r="11" spans="1:2" s="8" customFormat="1" ht="19.899999999999999" customHeight="1" x14ac:dyDescent="0.25">
      <c r="A11" s="7" t="s">
        <v>21</v>
      </c>
      <c r="B11" s="7">
        <f>'Master Sheet'!K20</f>
        <v>0</v>
      </c>
    </row>
    <row r="12" spans="1:2" s="8" customFormat="1" ht="19.899999999999999" customHeight="1" x14ac:dyDescent="0.25">
      <c r="A12" s="7" t="s">
        <v>22</v>
      </c>
      <c r="B12" s="7">
        <f>'Master Sheet'!L20</f>
        <v>0</v>
      </c>
    </row>
    <row r="13" spans="1:2" s="8" customFormat="1" ht="19.899999999999999" customHeight="1" x14ac:dyDescent="0.25">
      <c r="A13" s="7" t="s">
        <v>23</v>
      </c>
      <c r="B13" s="7">
        <f>'Master Sheet'!M20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1000</v>
      </c>
    </row>
    <row r="15" spans="1:2" s="8" customFormat="1" ht="19.899999999999999" customHeight="1" x14ac:dyDescent="0.25">
      <c r="A15" s="7" t="s">
        <v>25</v>
      </c>
      <c r="B15" s="7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Sheet'!B21</f>
        <v>Harish , Chengannur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Sheet'!D21</f>
        <v>0</v>
      </c>
    </row>
    <row r="5" spans="1:2" s="8" customFormat="1" ht="19.899999999999999" customHeight="1" x14ac:dyDescent="0.25">
      <c r="A5" s="7" t="s">
        <v>15</v>
      </c>
      <c r="B5" s="7">
        <f>'Master Sheet'!E21</f>
        <v>0</v>
      </c>
    </row>
    <row r="6" spans="1:2" s="8" customFormat="1" ht="19.899999999999999" customHeight="1" x14ac:dyDescent="0.25">
      <c r="A6" s="7" t="s">
        <v>16</v>
      </c>
      <c r="B6" s="7">
        <f>'Master Sheet'!F21</f>
        <v>0</v>
      </c>
    </row>
    <row r="7" spans="1:2" s="8" customFormat="1" ht="19.899999999999999" customHeight="1" x14ac:dyDescent="0.25">
      <c r="A7" s="7" t="s">
        <v>17</v>
      </c>
      <c r="B7" s="7">
        <f>'Master Sheet'!G21</f>
        <v>1000</v>
      </c>
    </row>
    <row r="8" spans="1:2" s="8" customFormat="1" ht="19.899999999999999" customHeight="1" x14ac:dyDescent="0.25">
      <c r="A8" s="7" t="s">
        <v>18</v>
      </c>
      <c r="B8" s="7">
        <f>'Master Sheet'!H21</f>
        <v>0</v>
      </c>
    </row>
    <row r="9" spans="1:2" s="8" customFormat="1" ht="19.899999999999999" customHeight="1" x14ac:dyDescent="0.25">
      <c r="A9" s="7" t="s">
        <v>19</v>
      </c>
      <c r="B9" s="7">
        <f>'Master Sheet'!I21</f>
        <v>0</v>
      </c>
    </row>
    <row r="10" spans="1:2" s="8" customFormat="1" ht="19.899999999999999" customHeight="1" x14ac:dyDescent="0.25">
      <c r="A10" s="7" t="s">
        <v>20</v>
      </c>
      <c r="B10" s="7">
        <f>'Master Sheet'!J21</f>
        <v>0</v>
      </c>
    </row>
    <row r="11" spans="1:2" s="8" customFormat="1" ht="19.899999999999999" customHeight="1" x14ac:dyDescent="0.25">
      <c r="A11" s="7" t="s">
        <v>21</v>
      </c>
      <c r="B11" s="7">
        <f>'Master Sheet'!K21</f>
        <v>0</v>
      </c>
    </row>
    <row r="12" spans="1:2" s="8" customFormat="1" ht="19.899999999999999" customHeight="1" x14ac:dyDescent="0.25">
      <c r="A12" s="7" t="s">
        <v>22</v>
      </c>
      <c r="B12" s="7">
        <f>'Master Sheet'!L21</f>
        <v>0</v>
      </c>
    </row>
    <row r="13" spans="1:2" s="8" customFormat="1" ht="19.899999999999999" customHeight="1" x14ac:dyDescent="0.25">
      <c r="A13" s="7" t="s">
        <v>23</v>
      </c>
      <c r="B13" s="7">
        <f>'Master Sheet'!M21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1000</v>
      </c>
    </row>
    <row r="15" spans="1:2" s="8" customFormat="1" ht="19.899999999999999" customHeight="1" x14ac:dyDescent="0.25">
      <c r="A15" s="7" t="s">
        <v>25</v>
      </c>
      <c r="B15" s="7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Sheet'!B22</f>
        <v>Bhaskaran Nukathala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Sheet'!D22</f>
        <v>0</v>
      </c>
    </row>
    <row r="5" spans="1:2" s="8" customFormat="1" ht="19.899999999999999" customHeight="1" x14ac:dyDescent="0.25">
      <c r="A5" s="7" t="s">
        <v>15</v>
      </c>
      <c r="B5" s="7">
        <f>'Master Sheet'!E22</f>
        <v>0</v>
      </c>
    </row>
    <row r="6" spans="1:2" s="8" customFormat="1" ht="19.899999999999999" customHeight="1" x14ac:dyDescent="0.25">
      <c r="A6" s="7" t="s">
        <v>16</v>
      </c>
      <c r="B6" s="7">
        <f>'Master Sheet'!F22</f>
        <v>500</v>
      </c>
    </row>
    <row r="7" spans="1:2" s="8" customFormat="1" ht="19.899999999999999" customHeight="1" x14ac:dyDescent="0.25">
      <c r="A7" s="7" t="s">
        <v>17</v>
      </c>
      <c r="B7" s="7">
        <f>'Master Sheet'!G22</f>
        <v>0</v>
      </c>
    </row>
    <row r="8" spans="1:2" s="8" customFormat="1" ht="19.899999999999999" customHeight="1" x14ac:dyDescent="0.25">
      <c r="A8" s="7" t="s">
        <v>18</v>
      </c>
      <c r="B8" s="7">
        <f>'Master Sheet'!H22</f>
        <v>0</v>
      </c>
    </row>
    <row r="9" spans="1:2" s="8" customFormat="1" ht="19.899999999999999" customHeight="1" x14ac:dyDescent="0.25">
      <c r="A9" s="7" t="s">
        <v>19</v>
      </c>
      <c r="B9" s="7">
        <f>'Master Sheet'!I22</f>
        <v>0</v>
      </c>
    </row>
    <row r="10" spans="1:2" s="8" customFormat="1" ht="19.899999999999999" customHeight="1" x14ac:dyDescent="0.25">
      <c r="A10" s="7" t="s">
        <v>20</v>
      </c>
      <c r="B10" s="7">
        <f>'Master Sheet'!J22</f>
        <v>0</v>
      </c>
    </row>
    <row r="11" spans="1:2" s="8" customFormat="1" ht="19.899999999999999" customHeight="1" x14ac:dyDescent="0.25">
      <c r="A11" s="7" t="s">
        <v>21</v>
      </c>
      <c r="B11" s="7">
        <f>'Master Sheet'!K22</f>
        <v>0</v>
      </c>
    </row>
    <row r="12" spans="1:2" s="8" customFormat="1" ht="19.899999999999999" customHeight="1" x14ac:dyDescent="0.25">
      <c r="A12" s="7" t="s">
        <v>22</v>
      </c>
      <c r="B12" s="7">
        <f>'Master Sheet'!L22</f>
        <v>0</v>
      </c>
    </row>
    <row r="13" spans="1:2" s="8" customFormat="1" ht="19.899999999999999" customHeight="1" x14ac:dyDescent="0.25">
      <c r="A13" s="7" t="s">
        <v>23</v>
      </c>
      <c r="B13" s="7">
        <f>'Master Sheet'!M22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500</v>
      </c>
    </row>
    <row r="15" spans="1:2" s="8" customFormat="1" ht="19.899999999999999" customHeight="1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8" sqref="B8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Sheet'!B23</f>
        <v>Sukumaran Nukathala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Sheet'!D23</f>
        <v>0</v>
      </c>
    </row>
    <row r="5" spans="1:2" s="8" customFormat="1" ht="19.899999999999999" customHeight="1" x14ac:dyDescent="0.25">
      <c r="A5" s="7" t="s">
        <v>15</v>
      </c>
      <c r="B5" s="7">
        <f>'Master Sheet'!E23</f>
        <v>0</v>
      </c>
    </row>
    <row r="6" spans="1:2" s="8" customFormat="1" ht="19.899999999999999" customHeight="1" x14ac:dyDescent="0.25">
      <c r="A6" s="7" t="s">
        <v>16</v>
      </c>
      <c r="B6" s="7">
        <f>'Master Sheet'!F23</f>
        <v>200</v>
      </c>
    </row>
    <row r="7" spans="1:2" s="8" customFormat="1" ht="19.899999999999999" customHeight="1" x14ac:dyDescent="0.25">
      <c r="A7" s="7" t="s">
        <v>17</v>
      </c>
      <c r="B7" s="7">
        <f>'Master Sheet'!G23</f>
        <v>100</v>
      </c>
    </row>
    <row r="8" spans="1:2" s="8" customFormat="1" ht="19.899999999999999" customHeight="1" x14ac:dyDescent="0.25">
      <c r="A8" s="7" t="s">
        <v>18</v>
      </c>
      <c r="B8" s="7">
        <f>'Master Sheet'!H23</f>
        <v>0</v>
      </c>
    </row>
    <row r="9" spans="1:2" s="8" customFormat="1" ht="19.899999999999999" customHeight="1" x14ac:dyDescent="0.25">
      <c r="A9" s="7" t="s">
        <v>19</v>
      </c>
      <c r="B9" s="7">
        <f>'Master Sheet'!I23</f>
        <v>0</v>
      </c>
    </row>
    <row r="10" spans="1:2" s="8" customFormat="1" ht="19.899999999999999" customHeight="1" x14ac:dyDescent="0.25">
      <c r="A10" s="7" t="s">
        <v>20</v>
      </c>
      <c r="B10" s="7">
        <f>'Master Sheet'!J23</f>
        <v>0</v>
      </c>
    </row>
    <row r="11" spans="1:2" s="8" customFormat="1" ht="19.899999999999999" customHeight="1" x14ac:dyDescent="0.25">
      <c r="A11" s="7" t="s">
        <v>21</v>
      </c>
      <c r="B11" s="7">
        <f>'Master Sheet'!K23</f>
        <v>0</v>
      </c>
    </row>
    <row r="12" spans="1:2" s="8" customFormat="1" ht="19.899999999999999" customHeight="1" x14ac:dyDescent="0.25">
      <c r="A12" s="7" t="s">
        <v>22</v>
      </c>
      <c r="B12" s="7">
        <f>'Master Sheet'!L23</f>
        <v>0</v>
      </c>
    </row>
    <row r="13" spans="1:2" s="8" customFormat="1" ht="19.899999999999999" customHeight="1" x14ac:dyDescent="0.25">
      <c r="A13" s="7" t="s">
        <v>23</v>
      </c>
      <c r="B13" s="7">
        <f>'Master Sheet'!M23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300</v>
      </c>
    </row>
    <row r="15" spans="1:2" s="8" customFormat="1" ht="19.899999999999999" customHeight="1" x14ac:dyDescent="0.25">
      <c r="A15" s="7" t="s">
        <v>25</v>
      </c>
      <c r="B15" s="7">
        <f>3500-B14</f>
        <v>3200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Sheet'!B24</f>
        <v>Dhanalekshmi Thettupara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Sheet'!D24</f>
        <v>500</v>
      </c>
    </row>
    <row r="5" spans="1:2" s="8" customFormat="1" ht="19.899999999999999" customHeight="1" x14ac:dyDescent="0.25">
      <c r="A5" s="7" t="s">
        <v>15</v>
      </c>
      <c r="B5" s="7">
        <f>'Master Sheet'!E24</f>
        <v>0</v>
      </c>
    </row>
    <row r="6" spans="1:2" s="8" customFormat="1" ht="19.899999999999999" customHeight="1" x14ac:dyDescent="0.25">
      <c r="A6" s="7" t="s">
        <v>16</v>
      </c>
      <c r="B6" s="7">
        <f>'Master Sheet'!F24</f>
        <v>300</v>
      </c>
    </row>
    <row r="7" spans="1:2" s="8" customFormat="1" ht="19.899999999999999" customHeight="1" x14ac:dyDescent="0.25">
      <c r="A7" s="7" t="s">
        <v>17</v>
      </c>
      <c r="B7" s="7">
        <f>'Master Sheet'!G24</f>
        <v>0</v>
      </c>
    </row>
    <row r="8" spans="1:2" s="8" customFormat="1" ht="19.899999999999999" customHeight="1" x14ac:dyDescent="0.25">
      <c r="A8" s="7" t="s">
        <v>18</v>
      </c>
      <c r="B8" s="7">
        <f>'Master Sheet'!H24</f>
        <v>0</v>
      </c>
    </row>
    <row r="9" spans="1:2" s="8" customFormat="1" ht="19.899999999999999" customHeight="1" x14ac:dyDescent="0.25">
      <c r="A9" s="7" t="s">
        <v>19</v>
      </c>
      <c r="B9" s="7">
        <f>'Master Sheet'!I24</f>
        <v>0</v>
      </c>
    </row>
    <row r="10" spans="1:2" s="8" customFormat="1" ht="19.899999999999999" customHeight="1" x14ac:dyDescent="0.25">
      <c r="A10" s="7" t="s">
        <v>20</v>
      </c>
      <c r="B10" s="7">
        <f>'Master Sheet'!J24</f>
        <v>0</v>
      </c>
    </row>
    <row r="11" spans="1:2" s="8" customFormat="1" ht="19.899999999999999" customHeight="1" x14ac:dyDescent="0.25">
      <c r="A11" s="7" t="s">
        <v>21</v>
      </c>
      <c r="B11" s="7">
        <f>'Master Sheet'!K24</f>
        <v>0</v>
      </c>
    </row>
    <row r="12" spans="1:2" s="8" customFormat="1" ht="19.899999999999999" customHeight="1" x14ac:dyDescent="0.25">
      <c r="A12" s="7" t="s">
        <v>22</v>
      </c>
      <c r="B12" s="7">
        <f>'Master Sheet'!L24</f>
        <v>0</v>
      </c>
    </row>
    <row r="13" spans="1:2" s="8" customFormat="1" ht="19.899999999999999" customHeight="1" x14ac:dyDescent="0.25">
      <c r="A13" s="7" t="s">
        <v>23</v>
      </c>
      <c r="B13" s="7">
        <f>'Master Sheet'!M24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800</v>
      </c>
    </row>
    <row r="15" spans="1:2" s="8" customFormat="1" ht="19.899999999999999" customHeight="1" x14ac:dyDescent="0.25">
      <c r="A15" s="7" t="s">
        <v>25</v>
      </c>
      <c r="B15" s="7">
        <f>3500-B14</f>
        <v>2700</v>
      </c>
    </row>
  </sheetData>
  <mergeCells count="1"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Sheet'!B25</f>
        <v>Meenu ,Poovathur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Sheet'!D25</f>
        <v>0</v>
      </c>
    </row>
    <row r="5" spans="1:2" s="8" customFormat="1" ht="19.899999999999999" customHeight="1" x14ac:dyDescent="0.25">
      <c r="A5" s="7" t="s">
        <v>15</v>
      </c>
      <c r="B5" s="7">
        <f>'Master Sheet'!E25</f>
        <v>0</v>
      </c>
    </row>
    <row r="6" spans="1:2" s="8" customFormat="1" ht="19.899999999999999" customHeight="1" x14ac:dyDescent="0.25">
      <c r="A6" s="7" t="s">
        <v>16</v>
      </c>
      <c r="B6" s="7">
        <f>'Master Sheet'!F25</f>
        <v>0</v>
      </c>
    </row>
    <row r="7" spans="1:2" s="8" customFormat="1" ht="19.899999999999999" customHeight="1" x14ac:dyDescent="0.25">
      <c r="A7" s="7" t="s">
        <v>17</v>
      </c>
      <c r="B7" s="7">
        <f>'Master Sheet'!G25</f>
        <v>0</v>
      </c>
    </row>
    <row r="8" spans="1:2" s="8" customFormat="1" ht="19.899999999999999" customHeight="1" x14ac:dyDescent="0.25">
      <c r="A8" s="7" t="s">
        <v>18</v>
      </c>
      <c r="B8" s="7">
        <f>'Master Sheet'!H25</f>
        <v>0</v>
      </c>
    </row>
    <row r="9" spans="1:2" s="8" customFormat="1" ht="19.899999999999999" customHeight="1" x14ac:dyDescent="0.25">
      <c r="A9" s="7" t="s">
        <v>19</v>
      </c>
      <c r="B9" s="7">
        <f>'Master Sheet'!I25</f>
        <v>0</v>
      </c>
    </row>
    <row r="10" spans="1:2" s="8" customFormat="1" ht="19.899999999999999" customHeight="1" x14ac:dyDescent="0.25">
      <c r="A10" s="7" t="s">
        <v>20</v>
      </c>
      <c r="B10" s="7">
        <f>'Master Sheet'!J25</f>
        <v>0</v>
      </c>
    </row>
    <row r="11" spans="1:2" s="8" customFormat="1" ht="19.899999999999999" customHeight="1" x14ac:dyDescent="0.25">
      <c r="A11" s="7" t="s">
        <v>21</v>
      </c>
      <c r="B11" s="7">
        <f>'Master Sheet'!K25</f>
        <v>0</v>
      </c>
    </row>
    <row r="12" spans="1:2" s="8" customFormat="1" ht="19.899999999999999" customHeight="1" x14ac:dyDescent="0.25">
      <c r="A12" s="7" t="s">
        <v>22</v>
      </c>
      <c r="B12" s="7">
        <f>'Master Sheet'!L25</f>
        <v>0</v>
      </c>
    </row>
    <row r="13" spans="1:2" s="8" customFormat="1" ht="19.899999999999999" customHeight="1" x14ac:dyDescent="0.25">
      <c r="A13" s="7" t="s">
        <v>23</v>
      </c>
      <c r="B13" s="7">
        <f>'Master Sheet'!M25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Sheet'!B26</f>
        <v>Remya Dinesh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Sheet'!D26</f>
        <v>0</v>
      </c>
    </row>
    <row r="5" spans="1:2" s="8" customFormat="1" ht="19.899999999999999" customHeight="1" x14ac:dyDescent="0.25">
      <c r="A5" s="7" t="s">
        <v>15</v>
      </c>
      <c r="B5" s="7">
        <f>'Master Sheet'!E26</f>
        <v>0</v>
      </c>
    </row>
    <row r="6" spans="1:2" s="8" customFormat="1" ht="19.899999999999999" customHeight="1" x14ac:dyDescent="0.25">
      <c r="A6" s="7" t="s">
        <v>16</v>
      </c>
      <c r="B6" s="7">
        <f>'Master Sheet'!F26</f>
        <v>0</v>
      </c>
    </row>
    <row r="7" spans="1:2" s="8" customFormat="1" ht="19.899999999999999" customHeight="1" x14ac:dyDescent="0.25">
      <c r="A7" s="7" t="s">
        <v>17</v>
      </c>
      <c r="B7" s="7">
        <f>'Master Sheet'!G26</f>
        <v>0</v>
      </c>
    </row>
    <row r="8" spans="1:2" s="8" customFormat="1" ht="19.899999999999999" customHeight="1" x14ac:dyDescent="0.25">
      <c r="A8" s="7" t="s">
        <v>18</v>
      </c>
      <c r="B8" s="7">
        <f>'Master Sheet'!H26</f>
        <v>0</v>
      </c>
    </row>
    <row r="9" spans="1:2" s="8" customFormat="1" ht="19.899999999999999" customHeight="1" x14ac:dyDescent="0.25">
      <c r="A9" s="7" t="s">
        <v>19</v>
      </c>
      <c r="B9" s="7">
        <f>'Master Sheet'!I26</f>
        <v>0</v>
      </c>
    </row>
    <row r="10" spans="1:2" s="8" customFormat="1" ht="19.899999999999999" customHeight="1" x14ac:dyDescent="0.25">
      <c r="A10" s="7" t="s">
        <v>20</v>
      </c>
      <c r="B10" s="7">
        <f>'Master Sheet'!J26</f>
        <v>0</v>
      </c>
    </row>
    <row r="11" spans="1:2" s="8" customFormat="1" ht="19.899999999999999" customHeight="1" x14ac:dyDescent="0.25">
      <c r="A11" s="7" t="s">
        <v>21</v>
      </c>
      <c r="B11" s="7">
        <f>'Master Sheet'!K26</f>
        <v>0</v>
      </c>
    </row>
    <row r="12" spans="1:2" s="8" customFormat="1" ht="19.899999999999999" customHeight="1" x14ac:dyDescent="0.25">
      <c r="A12" s="7" t="s">
        <v>22</v>
      </c>
      <c r="B12" s="7">
        <f>'Master Sheet'!L26</f>
        <v>0</v>
      </c>
    </row>
    <row r="13" spans="1:2" s="8" customFormat="1" ht="19.899999999999999" customHeight="1" x14ac:dyDescent="0.25">
      <c r="A13" s="7" t="s">
        <v>23</v>
      </c>
      <c r="B13" s="7">
        <f>'Master Sheet'!M26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Sheet'!B27</f>
        <v xml:space="preserve">Geethu Mohan 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Sheet'!D27</f>
        <v>0</v>
      </c>
    </row>
    <row r="5" spans="1:2" s="8" customFormat="1" ht="19.899999999999999" customHeight="1" x14ac:dyDescent="0.25">
      <c r="A5" s="7" t="s">
        <v>15</v>
      </c>
      <c r="B5" s="7">
        <f>'Master Sheet'!E27</f>
        <v>0</v>
      </c>
    </row>
    <row r="6" spans="1:2" s="8" customFormat="1" ht="19.899999999999999" customHeight="1" x14ac:dyDescent="0.25">
      <c r="A6" s="7" t="s">
        <v>16</v>
      </c>
      <c r="B6" s="7">
        <f>'Master Sheet'!F27</f>
        <v>0</v>
      </c>
    </row>
    <row r="7" spans="1:2" s="8" customFormat="1" ht="19.899999999999999" customHeight="1" x14ac:dyDescent="0.25">
      <c r="A7" s="7" t="s">
        <v>17</v>
      </c>
      <c r="B7" s="7">
        <f>'Master Sheet'!G27</f>
        <v>0</v>
      </c>
    </row>
    <row r="8" spans="1:2" s="8" customFormat="1" ht="19.899999999999999" customHeight="1" x14ac:dyDescent="0.25">
      <c r="A8" s="7" t="s">
        <v>18</v>
      </c>
      <c r="B8" s="7">
        <f>'Master Sheet'!H27</f>
        <v>0</v>
      </c>
    </row>
    <row r="9" spans="1:2" s="8" customFormat="1" ht="19.899999999999999" customHeight="1" x14ac:dyDescent="0.25">
      <c r="A9" s="7" t="s">
        <v>19</v>
      </c>
      <c r="B9" s="7">
        <f>'Master Sheet'!I27</f>
        <v>0</v>
      </c>
    </row>
    <row r="10" spans="1:2" s="8" customFormat="1" ht="19.899999999999999" customHeight="1" x14ac:dyDescent="0.25">
      <c r="A10" s="7" t="s">
        <v>20</v>
      </c>
      <c r="B10" s="7">
        <f>'Master Sheet'!J27</f>
        <v>0</v>
      </c>
    </row>
    <row r="11" spans="1:2" s="8" customFormat="1" ht="19.899999999999999" customHeight="1" x14ac:dyDescent="0.25">
      <c r="A11" s="7" t="s">
        <v>21</v>
      </c>
      <c r="B11" s="7">
        <f>'Master Sheet'!K27</f>
        <v>0</v>
      </c>
    </row>
    <row r="12" spans="1:2" s="8" customFormat="1" ht="19.899999999999999" customHeight="1" x14ac:dyDescent="0.25">
      <c r="A12" s="7" t="s">
        <v>22</v>
      </c>
      <c r="B12" s="7">
        <f>'Master Sheet'!L27</f>
        <v>0</v>
      </c>
    </row>
    <row r="13" spans="1:2" s="8" customFormat="1" ht="19.899999999999999" customHeight="1" x14ac:dyDescent="0.25">
      <c r="A13" s="7" t="s">
        <v>23</v>
      </c>
      <c r="B13" s="7">
        <f>'Master Sheet'!M27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ht="19.899999999999999" customHeight="1" x14ac:dyDescent="0.4">
      <c r="A1" s="29" t="s">
        <v>179</v>
      </c>
      <c r="B1" s="29"/>
    </row>
    <row r="2" spans="1:2" ht="19.899999999999999" customHeight="1" x14ac:dyDescent="0.25">
      <c r="A2" s="4" t="s">
        <v>12</v>
      </c>
      <c r="B2" s="15" t="str">
        <f>'Master Sheet'!B28</f>
        <v>Sreeja Teacher , Kuttur</v>
      </c>
    </row>
    <row r="3" spans="1:2" ht="19.899999999999999" customHeight="1" x14ac:dyDescent="0.25">
      <c r="A3" s="4" t="s">
        <v>176</v>
      </c>
      <c r="B3" s="4" t="s">
        <v>177</v>
      </c>
    </row>
    <row r="4" spans="1:2" ht="19.899999999999999" customHeight="1" x14ac:dyDescent="0.25">
      <c r="A4" s="3" t="s">
        <v>14</v>
      </c>
      <c r="B4" s="3">
        <f>'Master Sheet'!D28</f>
        <v>750</v>
      </c>
    </row>
    <row r="5" spans="1:2" ht="19.899999999999999" customHeight="1" x14ac:dyDescent="0.25">
      <c r="A5" s="3" t="s">
        <v>15</v>
      </c>
      <c r="B5" s="3">
        <f>'Master Sheet'!E28</f>
        <v>0</v>
      </c>
    </row>
    <row r="6" spans="1:2" ht="19.899999999999999" customHeight="1" x14ac:dyDescent="0.25">
      <c r="A6" s="3" t="s">
        <v>16</v>
      </c>
      <c r="B6" s="3">
        <f>'Master Sheet'!F28</f>
        <v>0</v>
      </c>
    </row>
    <row r="7" spans="1:2" ht="19.899999999999999" customHeight="1" x14ac:dyDescent="0.25">
      <c r="A7" s="3" t="s">
        <v>17</v>
      </c>
      <c r="B7" s="3">
        <f>'Master Sheet'!G28</f>
        <v>0</v>
      </c>
    </row>
    <row r="8" spans="1:2" ht="19.899999999999999" customHeight="1" x14ac:dyDescent="0.25">
      <c r="A8" s="3" t="s">
        <v>18</v>
      </c>
      <c r="B8" s="3">
        <f>'Master Sheet'!H28</f>
        <v>0</v>
      </c>
    </row>
    <row r="9" spans="1:2" ht="19.899999999999999" customHeight="1" x14ac:dyDescent="0.25">
      <c r="A9" s="3" t="s">
        <v>19</v>
      </c>
      <c r="B9" s="3">
        <f>'Master Sheet'!I28</f>
        <v>0</v>
      </c>
    </row>
    <row r="10" spans="1:2" ht="19.899999999999999" customHeight="1" x14ac:dyDescent="0.25">
      <c r="A10" s="3" t="s">
        <v>20</v>
      </c>
      <c r="B10" s="3">
        <f>'Master Sheet'!J28</f>
        <v>0</v>
      </c>
    </row>
    <row r="11" spans="1:2" ht="19.899999999999999" customHeight="1" x14ac:dyDescent="0.25">
      <c r="A11" s="3" t="s">
        <v>21</v>
      </c>
      <c r="B11" s="3">
        <f>'Master Sheet'!K28</f>
        <v>0</v>
      </c>
    </row>
    <row r="12" spans="1:2" ht="19.899999999999999" customHeight="1" x14ac:dyDescent="0.25">
      <c r="A12" s="3" t="s">
        <v>22</v>
      </c>
      <c r="B12" s="3">
        <f>'Master Sheet'!L28</f>
        <v>0</v>
      </c>
    </row>
    <row r="13" spans="1:2" ht="19.899999999999999" customHeight="1" x14ac:dyDescent="0.25">
      <c r="A13" s="3" t="s">
        <v>23</v>
      </c>
      <c r="B13" s="3">
        <f>'Master Sheet'!M28</f>
        <v>0</v>
      </c>
    </row>
    <row r="14" spans="1:2" ht="19.899999999999999" customHeight="1" x14ac:dyDescent="0.25">
      <c r="A14" s="3" t="s">
        <v>178</v>
      </c>
      <c r="B14" s="3">
        <f>SUM(B4:B13)</f>
        <v>750</v>
      </c>
    </row>
    <row r="15" spans="1:2" ht="19.899999999999999" customHeight="1" x14ac:dyDescent="0.25">
      <c r="A15" s="3" t="s">
        <v>25</v>
      </c>
      <c r="B15" s="3">
        <f>3500-B14</f>
        <v>2750</v>
      </c>
    </row>
  </sheetData>
  <mergeCells count="1">
    <mergeCell ref="A1:B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Sheet'!B29</f>
        <v>Sreeja Teacher , Kuttur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Sheet'!D29</f>
        <v>0</v>
      </c>
    </row>
    <row r="5" spans="1:2" s="8" customFormat="1" ht="19.899999999999999" customHeight="1" x14ac:dyDescent="0.25">
      <c r="A5" s="7" t="s">
        <v>15</v>
      </c>
      <c r="B5" s="7">
        <f>'Master Sheet'!E29</f>
        <v>0</v>
      </c>
    </row>
    <row r="6" spans="1:2" s="8" customFormat="1" ht="19.899999999999999" customHeight="1" x14ac:dyDescent="0.25">
      <c r="A6" s="7" t="s">
        <v>16</v>
      </c>
      <c r="B6" s="7">
        <f>'Master Sheet'!F29</f>
        <v>0</v>
      </c>
    </row>
    <row r="7" spans="1:2" s="8" customFormat="1" ht="19.899999999999999" customHeight="1" x14ac:dyDescent="0.25">
      <c r="A7" s="7" t="s">
        <v>17</v>
      </c>
      <c r="B7" s="7">
        <f>'Master Sheet'!G29</f>
        <v>0</v>
      </c>
    </row>
    <row r="8" spans="1:2" s="8" customFormat="1" ht="19.899999999999999" customHeight="1" x14ac:dyDescent="0.25">
      <c r="A8" s="7" t="s">
        <v>18</v>
      </c>
      <c r="B8" s="7">
        <f>'Master Sheet'!H29</f>
        <v>0</v>
      </c>
    </row>
    <row r="9" spans="1:2" s="8" customFormat="1" ht="19.899999999999999" customHeight="1" x14ac:dyDescent="0.25">
      <c r="A9" s="7" t="s">
        <v>19</v>
      </c>
      <c r="B9" s="7">
        <f>'Master Sheet'!I29</f>
        <v>0</v>
      </c>
    </row>
    <row r="10" spans="1:2" s="8" customFormat="1" ht="19.899999999999999" customHeight="1" x14ac:dyDescent="0.25">
      <c r="A10" s="7" t="s">
        <v>20</v>
      </c>
      <c r="B10" s="7">
        <f>'Master Sheet'!J29</f>
        <v>0</v>
      </c>
    </row>
    <row r="11" spans="1:2" s="8" customFormat="1" ht="19.899999999999999" customHeight="1" x14ac:dyDescent="0.25">
      <c r="A11" s="7" t="s">
        <v>21</v>
      </c>
      <c r="B11" s="7">
        <f>'Master Sheet'!K29</f>
        <v>0</v>
      </c>
    </row>
    <row r="12" spans="1:2" s="8" customFormat="1" ht="19.899999999999999" customHeight="1" x14ac:dyDescent="0.25">
      <c r="A12" s="7" t="s">
        <v>22</v>
      </c>
      <c r="B12" s="7">
        <f>'Master Sheet'!L29</f>
        <v>0</v>
      </c>
    </row>
    <row r="13" spans="1:2" s="8" customFormat="1" ht="19.899999999999999" customHeight="1" x14ac:dyDescent="0.25">
      <c r="A13" s="7" t="s">
        <v>23</v>
      </c>
      <c r="B13" s="7">
        <f>'Master Sheet'!M29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Sheet'!B30</f>
        <v>Jaya , Chengannur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Sheet'!D30</f>
        <v>0</v>
      </c>
    </row>
    <row r="5" spans="1:2" s="8" customFormat="1" ht="19.899999999999999" customHeight="1" x14ac:dyDescent="0.25">
      <c r="A5" s="7" t="s">
        <v>15</v>
      </c>
      <c r="B5" s="7">
        <f>'Master Sheet'!E30</f>
        <v>0</v>
      </c>
    </row>
    <row r="6" spans="1:2" s="8" customFormat="1" ht="19.899999999999999" customHeight="1" x14ac:dyDescent="0.25">
      <c r="A6" s="7" t="s">
        <v>16</v>
      </c>
      <c r="B6" s="7">
        <f>'Master Sheet'!F30</f>
        <v>0</v>
      </c>
    </row>
    <row r="7" spans="1:2" s="8" customFormat="1" ht="19.899999999999999" customHeight="1" x14ac:dyDescent="0.25">
      <c r="A7" s="7" t="s">
        <v>17</v>
      </c>
      <c r="B7" s="7">
        <f>'Master Sheet'!G30</f>
        <v>0</v>
      </c>
    </row>
    <row r="8" spans="1:2" s="8" customFormat="1" ht="19.899999999999999" customHeight="1" x14ac:dyDescent="0.25">
      <c r="A8" s="7" t="s">
        <v>18</v>
      </c>
      <c r="B8" s="7">
        <f>'Master Sheet'!H30</f>
        <v>0</v>
      </c>
    </row>
    <row r="9" spans="1:2" s="8" customFormat="1" ht="19.899999999999999" customHeight="1" x14ac:dyDescent="0.25">
      <c r="A9" s="7" t="s">
        <v>19</v>
      </c>
      <c r="B9" s="7">
        <f>'Master Sheet'!I30</f>
        <v>0</v>
      </c>
    </row>
    <row r="10" spans="1:2" s="8" customFormat="1" ht="19.899999999999999" customHeight="1" x14ac:dyDescent="0.25">
      <c r="A10" s="7" t="s">
        <v>20</v>
      </c>
      <c r="B10" s="7">
        <f>'Master Sheet'!J30</f>
        <v>0</v>
      </c>
    </row>
    <row r="11" spans="1:2" s="8" customFormat="1" ht="19.899999999999999" customHeight="1" x14ac:dyDescent="0.25">
      <c r="A11" s="7" t="s">
        <v>21</v>
      </c>
      <c r="B11" s="7">
        <f>'Master Sheet'!K30</f>
        <v>0</v>
      </c>
    </row>
    <row r="12" spans="1:2" s="8" customFormat="1" ht="19.899999999999999" customHeight="1" x14ac:dyDescent="0.25">
      <c r="A12" s="7" t="s">
        <v>22</v>
      </c>
      <c r="B12" s="7">
        <f>'Master Sheet'!L30</f>
        <v>0</v>
      </c>
    </row>
    <row r="13" spans="1:2" s="8" customFormat="1" ht="19.899999999999999" customHeight="1" x14ac:dyDescent="0.25">
      <c r="A13" s="7" t="s">
        <v>23</v>
      </c>
      <c r="B13" s="7">
        <f>'Master Sheet'!M30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Sheet'!B31</f>
        <v>SatheeshKumar , Pullad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Sheet'!D31</f>
        <v>500</v>
      </c>
    </row>
    <row r="5" spans="1:2" s="8" customFormat="1" ht="19.899999999999999" customHeight="1" x14ac:dyDescent="0.25">
      <c r="A5" s="7" t="s">
        <v>15</v>
      </c>
      <c r="B5" s="7">
        <f>'Master Sheet'!E31</f>
        <v>500</v>
      </c>
    </row>
    <row r="6" spans="1:2" s="8" customFormat="1" ht="19.899999999999999" customHeight="1" x14ac:dyDescent="0.25">
      <c r="A6" s="7" t="s">
        <v>16</v>
      </c>
      <c r="B6" s="7">
        <f>'Master Sheet'!F31</f>
        <v>500</v>
      </c>
    </row>
    <row r="7" spans="1:2" s="8" customFormat="1" ht="19.899999999999999" customHeight="1" x14ac:dyDescent="0.25">
      <c r="A7" s="7" t="s">
        <v>17</v>
      </c>
      <c r="B7" s="7">
        <f>'Master Sheet'!G31</f>
        <v>0</v>
      </c>
    </row>
    <row r="8" spans="1:2" s="8" customFormat="1" ht="19.899999999999999" customHeight="1" x14ac:dyDescent="0.25">
      <c r="A8" s="7" t="s">
        <v>18</v>
      </c>
      <c r="B8" s="7">
        <f>'Master Sheet'!H31</f>
        <v>0</v>
      </c>
    </row>
    <row r="9" spans="1:2" s="8" customFormat="1" ht="19.899999999999999" customHeight="1" x14ac:dyDescent="0.25">
      <c r="A9" s="7" t="s">
        <v>19</v>
      </c>
      <c r="B9" s="7">
        <f>'Master Sheet'!I31</f>
        <v>0</v>
      </c>
    </row>
    <row r="10" spans="1:2" s="8" customFormat="1" ht="19.899999999999999" customHeight="1" x14ac:dyDescent="0.25">
      <c r="A10" s="7" t="s">
        <v>20</v>
      </c>
      <c r="B10" s="7">
        <f>'Master Sheet'!J31</f>
        <v>0</v>
      </c>
    </row>
    <row r="11" spans="1:2" s="8" customFormat="1" ht="19.899999999999999" customHeight="1" x14ac:dyDescent="0.25">
      <c r="A11" s="7" t="s">
        <v>21</v>
      </c>
      <c r="B11" s="7">
        <f>'Master Sheet'!K31</f>
        <v>0</v>
      </c>
    </row>
    <row r="12" spans="1:2" s="8" customFormat="1" ht="19.899999999999999" customHeight="1" x14ac:dyDescent="0.25">
      <c r="A12" s="7" t="s">
        <v>22</v>
      </c>
      <c r="B12" s="7">
        <f>'Master Sheet'!L31</f>
        <v>0</v>
      </c>
    </row>
    <row r="13" spans="1:2" s="8" customFormat="1" ht="19.899999999999999" customHeight="1" x14ac:dyDescent="0.25">
      <c r="A13" s="7" t="s">
        <v>23</v>
      </c>
      <c r="B13" s="7">
        <f>'Master Sheet'!M31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1500</v>
      </c>
    </row>
    <row r="15" spans="1:2" s="8" customFormat="1" ht="19.899999999999999" customHeight="1" x14ac:dyDescent="0.25">
      <c r="A15" s="7" t="s">
        <v>25</v>
      </c>
      <c r="B15" s="7">
        <f>3500-B14</f>
        <v>2000</v>
      </c>
    </row>
  </sheetData>
  <mergeCells count="1">
    <mergeCell ref="A1:B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Sheet'!B32</f>
        <v>Subash , Nukathala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Sheet'!D32</f>
        <v>0</v>
      </c>
    </row>
    <row r="5" spans="1:2" s="8" customFormat="1" ht="19.899999999999999" customHeight="1" x14ac:dyDescent="0.25">
      <c r="A5" s="7" t="s">
        <v>15</v>
      </c>
      <c r="B5" s="7">
        <f>'Master Sheet'!E32</f>
        <v>0</v>
      </c>
    </row>
    <row r="6" spans="1:2" s="8" customFormat="1" ht="19.899999999999999" customHeight="1" x14ac:dyDescent="0.25">
      <c r="A6" s="7" t="s">
        <v>16</v>
      </c>
      <c r="B6" s="7">
        <f>'Master Sheet'!F32</f>
        <v>0</v>
      </c>
    </row>
    <row r="7" spans="1:2" s="8" customFormat="1" ht="19.899999999999999" customHeight="1" x14ac:dyDescent="0.25">
      <c r="A7" s="7" t="s">
        <v>17</v>
      </c>
      <c r="B7" s="7">
        <f>'Master Sheet'!G32</f>
        <v>0</v>
      </c>
    </row>
    <row r="8" spans="1:2" s="8" customFormat="1" ht="19.899999999999999" customHeight="1" x14ac:dyDescent="0.25">
      <c r="A8" s="7" t="s">
        <v>18</v>
      </c>
      <c r="B8" s="7">
        <f>'Master Sheet'!H32</f>
        <v>0</v>
      </c>
    </row>
    <row r="9" spans="1:2" s="8" customFormat="1" ht="19.899999999999999" customHeight="1" x14ac:dyDescent="0.25">
      <c r="A9" s="7" t="s">
        <v>19</v>
      </c>
      <c r="B9" s="7">
        <f>'Master Sheet'!I32</f>
        <v>0</v>
      </c>
    </row>
    <row r="10" spans="1:2" s="8" customFormat="1" ht="19.899999999999999" customHeight="1" x14ac:dyDescent="0.25">
      <c r="A10" s="7" t="s">
        <v>20</v>
      </c>
      <c r="B10" s="7">
        <f>'Master Sheet'!J32</f>
        <v>0</v>
      </c>
    </row>
    <row r="11" spans="1:2" s="8" customFormat="1" ht="19.899999999999999" customHeight="1" x14ac:dyDescent="0.25">
      <c r="A11" s="7" t="s">
        <v>21</v>
      </c>
      <c r="B11" s="7">
        <f>'Master Sheet'!K32</f>
        <v>0</v>
      </c>
    </row>
    <row r="12" spans="1:2" s="8" customFormat="1" ht="19.899999999999999" customHeight="1" x14ac:dyDescent="0.25">
      <c r="A12" s="7" t="s">
        <v>22</v>
      </c>
      <c r="B12" s="7">
        <f>'Master Sheet'!L32</f>
        <v>0</v>
      </c>
    </row>
    <row r="13" spans="1:2" s="8" customFormat="1" ht="19.899999999999999" customHeight="1" x14ac:dyDescent="0.25">
      <c r="A13" s="7" t="s">
        <v>23</v>
      </c>
      <c r="B13" s="7">
        <f>'Master Sheet'!M32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Sheet'!B33</f>
        <v>Sreeja Varayannur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Sheet'!D33</f>
        <v>0</v>
      </c>
    </row>
    <row r="5" spans="1:2" s="8" customFormat="1" ht="19.899999999999999" customHeight="1" x14ac:dyDescent="0.25">
      <c r="A5" s="7" t="s">
        <v>15</v>
      </c>
      <c r="B5" s="7">
        <f>'Master Sheet'!E33</f>
        <v>0</v>
      </c>
    </row>
    <row r="6" spans="1:2" s="8" customFormat="1" ht="19.899999999999999" customHeight="1" x14ac:dyDescent="0.25">
      <c r="A6" s="7" t="s">
        <v>16</v>
      </c>
      <c r="B6" s="7">
        <f>'Master Sheet'!F33</f>
        <v>500</v>
      </c>
    </row>
    <row r="7" spans="1:2" s="8" customFormat="1" ht="19.899999999999999" customHeight="1" x14ac:dyDescent="0.25">
      <c r="A7" s="7" t="s">
        <v>17</v>
      </c>
      <c r="B7" s="7">
        <f>'Master Sheet'!G33</f>
        <v>1500</v>
      </c>
    </row>
    <row r="8" spans="1:2" s="8" customFormat="1" ht="19.899999999999999" customHeight="1" x14ac:dyDescent="0.25">
      <c r="A8" s="7" t="s">
        <v>18</v>
      </c>
      <c r="B8" s="7">
        <f>'Master Sheet'!H33</f>
        <v>0</v>
      </c>
    </row>
    <row r="9" spans="1:2" s="8" customFormat="1" ht="19.899999999999999" customHeight="1" x14ac:dyDescent="0.25">
      <c r="A9" s="7" t="s">
        <v>19</v>
      </c>
      <c r="B9" s="7">
        <f>'Master Sheet'!I33</f>
        <v>0</v>
      </c>
    </row>
    <row r="10" spans="1:2" s="8" customFormat="1" ht="19.899999999999999" customHeight="1" x14ac:dyDescent="0.25">
      <c r="A10" s="7" t="s">
        <v>20</v>
      </c>
      <c r="B10" s="7">
        <f>'Master Sheet'!J33</f>
        <v>0</v>
      </c>
    </row>
    <row r="11" spans="1:2" s="8" customFormat="1" ht="19.899999999999999" customHeight="1" x14ac:dyDescent="0.25">
      <c r="A11" s="7" t="s">
        <v>21</v>
      </c>
      <c r="B11" s="7">
        <f>'Master Sheet'!K33</f>
        <v>0</v>
      </c>
    </row>
    <row r="12" spans="1:2" s="8" customFormat="1" ht="19.899999999999999" customHeight="1" x14ac:dyDescent="0.25">
      <c r="A12" s="7" t="s">
        <v>22</v>
      </c>
      <c r="B12" s="7">
        <f>'Master Sheet'!L33</f>
        <v>0</v>
      </c>
    </row>
    <row r="13" spans="1:2" s="8" customFormat="1" ht="19.899999999999999" customHeight="1" x14ac:dyDescent="0.25">
      <c r="A13" s="7" t="s">
        <v>23</v>
      </c>
      <c r="B13" s="7">
        <f>'Master Sheet'!M33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2000</v>
      </c>
    </row>
    <row r="15" spans="1:2" s="8" customFormat="1" ht="19.899999999999999" customHeight="1" x14ac:dyDescent="0.25">
      <c r="A15" s="7" t="s">
        <v>25</v>
      </c>
      <c r="B15" s="7">
        <f>3500-B14</f>
        <v>1500</v>
      </c>
    </row>
  </sheetData>
  <mergeCells count="1">
    <mergeCell ref="A1:B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Sheet'!B34</f>
        <v>Dinesh , Pullad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Sheet'!D34</f>
        <v>500</v>
      </c>
    </row>
    <row r="5" spans="1:2" s="8" customFormat="1" ht="19.899999999999999" customHeight="1" x14ac:dyDescent="0.25">
      <c r="A5" s="7" t="s">
        <v>15</v>
      </c>
      <c r="B5" s="7">
        <f>'Master Sheet'!E34</f>
        <v>0</v>
      </c>
    </row>
    <row r="6" spans="1:2" s="8" customFormat="1" ht="19.899999999999999" customHeight="1" x14ac:dyDescent="0.25">
      <c r="A6" s="7" t="s">
        <v>16</v>
      </c>
      <c r="B6" s="7">
        <f>'Master Sheet'!F34</f>
        <v>350</v>
      </c>
    </row>
    <row r="7" spans="1:2" s="8" customFormat="1" ht="19.899999999999999" customHeight="1" x14ac:dyDescent="0.25">
      <c r="A7" s="7" t="s">
        <v>17</v>
      </c>
      <c r="B7" s="7">
        <f>'Master Sheet'!G34</f>
        <v>500</v>
      </c>
    </row>
    <row r="8" spans="1:2" s="8" customFormat="1" ht="19.899999999999999" customHeight="1" x14ac:dyDescent="0.25">
      <c r="A8" s="7" t="s">
        <v>18</v>
      </c>
      <c r="B8" s="7">
        <f>'Master Sheet'!H34</f>
        <v>0</v>
      </c>
    </row>
    <row r="9" spans="1:2" s="8" customFormat="1" ht="19.899999999999999" customHeight="1" x14ac:dyDescent="0.25">
      <c r="A9" s="7" t="s">
        <v>19</v>
      </c>
      <c r="B9" s="7">
        <f>'Master Sheet'!I34</f>
        <v>0</v>
      </c>
    </row>
    <row r="10" spans="1:2" s="8" customFormat="1" ht="19.899999999999999" customHeight="1" x14ac:dyDescent="0.25">
      <c r="A10" s="7" t="s">
        <v>20</v>
      </c>
      <c r="B10" s="7">
        <f>'Master Sheet'!J34</f>
        <v>0</v>
      </c>
    </row>
    <row r="11" spans="1:2" s="8" customFormat="1" ht="19.899999999999999" customHeight="1" x14ac:dyDescent="0.25">
      <c r="A11" s="7" t="s">
        <v>21</v>
      </c>
      <c r="B11" s="7">
        <f>'Master Sheet'!K34</f>
        <v>0</v>
      </c>
    </row>
    <row r="12" spans="1:2" s="8" customFormat="1" ht="19.899999999999999" customHeight="1" x14ac:dyDescent="0.25">
      <c r="A12" s="7" t="s">
        <v>22</v>
      </c>
      <c r="B12" s="7">
        <f>'Master Sheet'!L34</f>
        <v>0</v>
      </c>
    </row>
    <row r="13" spans="1:2" s="8" customFormat="1" ht="19.899999999999999" customHeight="1" x14ac:dyDescent="0.25">
      <c r="A13" s="7" t="s">
        <v>23</v>
      </c>
      <c r="B13" s="7">
        <f>'Master Sheet'!M34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1350</v>
      </c>
    </row>
    <row r="15" spans="1:2" s="8" customFormat="1" ht="19.899999999999999" customHeight="1" x14ac:dyDescent="0.25">
      <c r="A15" s="7" t="s">
        <v>25</v>
      </c>
      <c r="B15" s="7">
        <f>3500-B14</f>
        <v>2150</v>
      </c>
    </row>
  </sheetData>
  <mergeCells count="1">
    <mergeCell ref="A1:B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Sheet'!B35</f>
        <v>Revathy , Pullad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Sheet'!D35</f>
        <v>0</v>
      </c>
    </row>
    <row r="5" spans="1:2" s="8" customFormat="1" ht="19.899999999999999" customHeight="1" x14ac:dyDescent="0.25">
      <c r="A5" s="7" t="s">
        <v>15</v>
      </c>
      <c r="B5" s="7">
        <f>'Master Sheet'!E35</f>
        <v>0</v>
      </c>
    </row>
    <row r="6" spans="1:2" s="8" customFormat="1" ht="19.899999999999999" customHeight="1" x14ac:dyDescent="0.25">
      <c r="A6" s="7" t="s">
        <v>16</v>
      </c>
      <c r="B6" s="7">
        <f>'Master Sheet'!F35</f>
        <v>0</v>
      </c>
    </row>
    <row r="7" spans="1:2" s="8" customFormat="1" ht="19.899999999999999" customHeight="1" x14ac:dyDescent="0.25">
      <c r="A7" s="7" t="s">
        <v>17</v>
      </c>
      <c r="B7" s="7">
        <f>'Master Sheet'!G35</f>
        <v>0</v>
      </c>
    </row>
    <row r="8" spans="1:2" s="8" customFormat="1" ht="19.899999999999999" customHeight="1" x14ac:dyDescent="0.25">
      <c r="A8" s="7" t="s">
        <v>18</v>
      </c>
      <c r="B8" s="7">
        <f>'Master Sheet'!H35</f>
        <v>0</v>
      </c>
    </row>
    <row r="9" spans="1:2" s="8" customFormat="1" ht="19.899999999999999" customHeight="1" x14ac:dyDescent="0.25">
      <c r="A9" s="7" t="s">
        <v>19</v>
      </c>
      <c r="B9" s="7">
        <f>'Master Sheet'!I35</f>
        <v>0</v>
      </c>
    </row>
    <row r="10" spans="1:2" s="8" customFormat="1" ht="19.899999999999999" customHeight="1" x14ac:dyDescent="0.25">
      <c r="A10" s="7" t="s">
        <v>20</v>
      </c>
      <c r="B10" s="7">
        <f>'Master Sheet'!J35</f>
        <v>0</v>
      </c>
    </row>
    <row r="11" spans="1:2" s="8" customFormat="1" ht="19.899999999999999" customHeight="1" x14ac:dyDescent="0.25">
      <c r="A11" s="7" t="s">
        <v>21</v>
      </c>
      <c r="B11" s="7">
        <f>'Master Sheet'!K35</f>
        <v>0</v>
      </c>
    </row>
    <row r="12" spans="1:2" s="8" customFormat="1" ht="19.899999999999999" customHeight="1" x14ac:dyDescent="0.25">
      <c r="A12" s="7" t="s">
        <v>22</v>
      </c>
      <c r="B12" s="7">
        <f>'Master Sheet'!L35</f>
        <v>0</v>
      </c>
    </row>
    <row r="13" spans="1:2" s="8" customFormat="1" ht="19.899999999999999" customHeight="1" x14ac:dyDescent="0.25">
      <c r="A13" s="7" t="s">
        <v>23</v>
      </c>
      <c r="B13" s="7">
        <f>'Master Sheet'!M35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Sheet'!B36</f>
        <v>Maya Gopal , Pullad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Sheet'!D36</f>
        <v>0</v>
      </c>
    </row>
    <row r="5" spans="1:2" s="8" customFormat="1" ht="19.899999999999999" customHeight="1" x14ac:dyDescent="0.25">
      <c r="A5" s="7" t="s">
        <v>15</v>
      </c>
      <c r="B5" s="7">
        <f>'Master Sheet'!E36</f>
        <v>500</v>
      </c>
    </row>
    <row r="6" spans="1:2" s="8" customFormat="1" ht="19.899999999999999" customHeight="1" x14ac:dyDescent="0.25">
      <c r="A6" s="7" t="s">
        <v>16</v>
      </c>
      <c r="B6" s="7">
        <f>'Master Sheet'!F36</f>
        <v>0</v>
      </c>
    </row>
    <row r="7" spans="1:2" s="8" customFormat="1" ht="19.899999999999999" customHeight="1" x14ac:dyDescent="0.25">
      <c r="A7" s="7" t="s">
        <v>17</v>
      </c>
      <c r="B7" s="7">
        <f>'Master Sheet'!G36</f>
        <v>500</v>
      </c>
    </row>
    <row r="8" spans="1:2" s="8" customFormat="1" ht="19.899999999999999" customHeight="1" x14ac:dyDescent="0.25">
      <c r="A8" s="7" t="s">
        <v>18</v>
      </c>
      <c r="B8" s="7">
        <f>'Master Sheet'!H36</f>
        <v>0</v>
      </c>
    </row>
    <row r="9" spans="1:2" s="8" customFormat="1" ht="19.899999999999999" customHeight="1" x14ac:dyDescent="0.25">
      <c r="A9" s="7" t="s">
        <v>19</v>
      </c>
      <c r="B9" s="7">
        <f>'Master Sheet'!I36</f>
        <v>0</v>
      </c>
    </row>
    <row r="10" spans="1:2" s="8" customFormat="1" ht="19.899999999999999" customHeight="1" x14ac:dyDescent="0.25">
      <c r="A10" s="7" t="s">
        <v>20</v>
      </c>
      <c r="B10" s="7">
        <f>'Master Sheet'!J36</f>
        <v>0</v>
      </c>
    </row>
    <row r="11" spans="1:2" s="8" customFormat="1" ht="19.899999999999999" customHeight="1" x14ac:dyDescent="0.25">
      <c r="A11" s="7" t="s">
        <v>21</v>
      </c>
      <c r="B11" s="7">
        <f>'Master Sheet'!K36</f>
        <v>0</v>
      </c>
    </row>
    <row r="12" spans="1:2" s="8" customFormat="1" ht="19.899999999999999" customHeight="1" x14ac:dyDescent="0.25">
      <c r="A12" s="7" t="s">
        <v>22</v>
      </c>
      <c r="B12" s="7">
        <f>'Master Sheet'!L36</f>
        <v>0</v>
      </c>
    </row>
    <row r="13" spans="1:2" s="8" customFormat="1" ht="19.899999999999999" customHeight="1" x14ac:dyDescent="0.25">
      <c r="A13" s="7" t="s">
        <v>23</v>
      </c>
      <c r="B13" s="7">
        <f>'Master Sheet'!M36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1000</v>
      </c>
    </row>
    <row r="15" spans="1:2" s="8" customFormat="1" ht="19.899999999999999" customHeight="1" x14ac:dyDescent="0.25">
      <c r="A15" s="7" t="s">
        <v>25</v>
      </c>
      <c r="B15" s="7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Sheet'!B37</f>
        <v>Bini Sunil , Pullad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Sheet'!D37</f>
        <v>0</v>
      </c>
    </row>
    <row r="5" spans="1:2" s="8" customFormat="1" ht="19.899999999999999" customHeight="1" x14ac:dyDescent="0.25">
      <c r="A5" s="7" t="s">
        <v>15</v>
      </c>
      <c r="B5" s="7">
        <f>'Master Sheet'!E37</f>
        <v>350</v>
      </c>
    </row>
    <row r="6" spans="1:2" s="8" customFormat="1" ht="19.899999999999999" customHeight="1" x14ac:dyDescent="0.25">
      <c r="A6" s="7" t="s">
        <v>16</v>
      </c>
      <c r="B6" s="7">
        <f>'Master Sheet'!F37</f>
        <v>350</v>
      </c>
    </row>
    <row r="7" spans="1:2" s="8" customFormat="1" ht="19.899999999999999" customHeight="1" x14ac:dyDescent="0.25">
      <c r="A7" s="7" t="s">
        <v>17</v>
      </c>
      <c r="B7" s="7">
        <f>'Master Sheet'!G37</f>
        <v>350</v>
      </c>
    </row>
    <row r="8" spans="1:2" s="8" customFormat="1" ht="19.899999999999999" customHeight="1" x14ac:dyDescent="0.25">
      <c r="A8" s="7" t="s">
        <v>18</v>
      </c>
      <c r="B8" s="7">
        <f>'Master Sheet'!H37</f>
        <v>0</v>
      </c>
    </row>
    <row r="9" spans="1:2" s="8" customFormat="1" ht="19.899999999999999" customHeight="1" x14ac:dyDescent="0.25">
      <c r="A9" s="7" t="s">
        <v>19</v>
      </c>
      <c r="B9" s="7">
        <f>'Master Sheet'!I37</f>
        <v>0</v>
      </c>
    </row>
    <row r="10" spans="1:2" s="8" customFormat="1" ht="19.899999999999999" customHeight="1" x14ac:dyDescent="0.25">
      <c r="A10" s="7" t="s">
        <v>20</v>
      </c>
      <c r="B10" s="7">
        <f>'Master Sheet'!J37</f>
        <v>0</v>
      </c>
    </row>
    <row r="11" spans="1:2" s="8" customFormat="1" ht="19.899999999999999" customHeight="1" x14ac:dyDescent="0.25">
      <c r="A11" s="7" t="s">
        <v>21</v>
      </c>
      <c r="B11" s="7">
        <f>'Master Sheet'!K37</f>
        <v>0</v>
      </c>
    </row>
    <row r="12" spans="1:2" s="8" customFormat="1" ht="19.899999999999999" customHeight="1" x14ac:dyDescent="0.25">
      <c r="A12" s="7" t="s">
        <v>22</v>
      </c>
      <c r="B12" s="7">
        <f>'Master Sheet'!L37</f>
        <v>0</v>
      </c>
    </row>
    <row r="13" spans="1:2" s="8" customFormat="1" ht="19.899999999999999" customHeight="1" x14ac:dyDescent="0.25">
      <c r="A13" s="7" t="s">
        <v>23</v>
      </c>
      <c r="B13" s="7">
        <f>'Master Sheet'!M37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H11" sqref="H11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Sheet'!B38</f>
        <v xml:space="preserve">Ganga Rajamohan 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Sheet'!D38</f>
        <v>350</v>
      </c>
    </row>
    <row r="5" spans="1:2" s="8" customFormat="1" ht="19.899999999999999" customHeight="1" x14ac:dyDescent="0.25">
      <c r="A5" s="7" t="s">
        <v>15</v>
      </c>
      <c r="B5" s="7">
        <f>'Master Sheet'!E38</f>
        <v>0</v>
      </c>
    </row>
    <row r="6" spans="1:2" s="8" customFormat="1" ht="19.899999999999999" customHeight="1" x14ac:dyDescent="0.25">
      <c r="A6" s="7" t="s">
        <v>16</v>
      </c>
      <c r="B6" s="7">
        <f>'Master Sheet'!F38</f>
        <v>1000</v>
      </c>
    </row>
    <row r="7" spans="1:2" s="8" customFormat="1" ht="19.899999999999999" customHeight="1" x14ac:dyDescent="0.25">
      <c r="A7" s="7" t="s">
        <v>17</v>
      </c>
      <c r="B7" s="7">
        <f>'Master Sheet'!G38</f>
        <v>0</v>
      </c>
    </row>
    <row r="8" spans="1:2" s="8" customFormat="1" ht="19.899999999999999" customHeight="1" x14ac:dyDescent="0.25">
      <c r="A8" s="7" t="s">
        <v>18</v>
      </c>
      <c r="B8" s="7">
        <f>'Master Sheet'!H38</f>
        <v>0</v>
      </c>
    </row>
    <row r="9" spans="1:2" s="8" customFormat="1" ht="19.899999999999999" customHeight="1" x14ac:dyDescent="0.25">
      <c r="A9" s="7" t="s">
        <v>19</v>
      </c>
      <c r="B9" s="7">
        <f>'Master Sheet'!I38</f>
        <v>0</v>
      </c>
    </row>
    <row r="10" spans="1:2" s="8" customFormat="1" ht="19.899999999999999" customHeight="1" x14ac:dyDescent="0.25">
      <c r="A10" s="7" t="s">
        <v>20</v>
      </c>
      <c r="B10" s="7">
        <f>'Master Sheet'!J38</f>
        <v>0</v>
      </c>
    </row>
    <row r="11" spans="1:2" s="8" customFormat="1" ht="19.899999999999999" customHeight="1" x14ac:dyDescent="0.25">
      <c r="A11" s="7" t="s">
        <v>21</v>
      </c>
      <c r="B11" s="7">
        <f>'Master Sheet'!K38</f>
        <v>0</v>
      </c>
    </row>
    <row r="12" spans="1:2" s="8" customFormat="1" ht="19.899999999999999" customHeight="1" x14ac:dyDescent="0.25">
      <c r="A12" s="7" t="s">
        <v>22</v>
      </c>
      <c r="B12" s="7">
        <f>'Master Sheet'!L38</f>
        <v>0</v>
      </c>
    </row>
    <row r="13" spans="1:2" s="8" customFormat="1" ht="19.899999999999999" customHeight="1" x14ac:dyDescent="0.25">
      <c r="A13" s="7" t="s">
        <v>23</v>
      </c>
      <c r="B13" s="7">
        <f>'Master Sheet'!M38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1350</v>
      </c>
    </row>
    <row r="15" spans="1:2" s="8" customFormat="1" ht="19.899999999999999" customHeight="1" x14ac:dyDescent="0.25">
      <c r="A15" s="7" t="s">
        <v>25</v>
      </c>
      <c r="B15" s="7">
        <f>3500-B14</f>
        <v>2150</v>
      </c>
    </row>
  </sheetData>
  <mergeCells count="1">
    <mergeCell ref="A1:B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Sheet'!B39</f>
        <v>Sona , Vadakekavala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Sheet'!D39</f>
        <v>0</v>
      </c>
    </row>
    <row r="5" spans="1:2" s="8" customFormat="1" ht="19.899999999999999" customHeight="1" x14ac:dyDescent="0.25">
      <c r="A5" s="7" t="s">
        <v>15</v>
      </c>
      <c r="B5" s="7">
        <f>'Master Sheet'!E39</f>
        <v>700</v>
      </c>
    </row>
    <row r="6" spans="1:2" s="8" customFormat="1" ht="19.899999999999999" customHeight="1" x14ac:dyDescent="0.25">
      <c r="A6" s="7" t="s">
        <v>16</v>
      </c>
      <c r="B6" s="7">
        <f>'Master Sheet'!F39</f>
        <v>0</v>
      </c>
    </row>
    <row r="7" spans="1:2" s="8" customFormat="1" ht="19.899999999999999" customHeight="1" x14ac:dyDescent="0.25">
      <c r="A7" s="7" t="s">
        <v>17</v>
      </c>
      <c r="B7" s="7">
        <f>'Master Sheet'!G39</f>
        <v>0</v>
      </c>
    </row>
    <row r="8" spans="1:2" s="8" customFormat="1" ht="19.899999999999999" customHeight="1" x14ac:dyDescent="0.25">
      <c r="A8" s="7" t="s">
        <v>18</v>
      </c>
      <c r="B8" s="7">
        <f>'Master Sheet'!H39</f>
        <v>0</v>
      </c>
    </row>
    <row r="9" spans="1:2" s="8" customFormat="1" ht="19.899999999999999" customHeight="1" x14ac:dyDescent="0.25">
      <c r="A9" s="7" t="s">
        <v>19</v>
      </c>
      <c r="B9" s="7">
        <f>'Master Sheet'!I39</f>
        <v>0</v>
      </c>
    </row>
    <row r="10" spans="1:2" s="8" customFormat="1" ht="19.899999999999999" customHeight="1" x14ac:dyDescent="0.25">
      <c r="A10" s="7" t="s">
        <v>20</v>
      </c>
      <c r="B10" s="7">
        <f>'Master Sheet'!J39</f>
        <v>0</v>
      </c>
    </row>
    <row r="11" spans="1:2" s="8" customFormat="1" ht="19.899999999999999" customHeight="1" x14ac:dyDescent="0.25">
      <c r="A11" s="7" t="s">
        <v>21</v>
      </c>
      <c r="B11" s="7">
        <f>'Master Sheet'!K39</f>
        <v>0</v>
      </c>
    </row>
    <row r="12" spans="1:2" s="8" customFormat="1" ht="19.899999999999999" customHeight="1" x14ac:dyDescent="0.25">
      <c r="A12" s="7" t="s">
        <v>22</v>
      </c>
      <c r="B12" s="7">
        <f>'Master Sheet'!L39</f>
        <v>0</v>
      </c>
    </row>
    <row r="13" spans="1:2" s="8" customFormat="1" ht="19.899999999999999" customHeight="1" x14ac:dyDescent="0.25">
      <c r="A13" s="7" t="s">
        <v>23</v>
      </c>
      <c r="B13" s="7">
        <f>'Master Sheet'!M39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700</v>
      </c>
    </row>
    <row r="15" spans="1:2" s="8" customFormat="1" ht="19.899999999999999" customHeight="1" x14ac:dyDescent="0.25">
      <c r="A15" s="7" t="s">
        <v>25</v>
      </c>
      <c r="B15" s="7">
        <f>3500-B14</f>
        <v>2800</v>
      </c>
    </row>
  </sheetData>
  <mergeCells count="1">
    <mergeCell ref="A1:B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Sheet'!B40</f>
        <v>Indira Vijayan , Pullad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Sheet'!D40</f>
        <v>0</v>
      </c>
    </row>
    <row r="5" spans="1:2" s="8" customFormat="1" ht="19.899999999999999" customHeight="1" x14ac:dyDescent="0.25">
      <c r="A5" s="7" t="s">
        <v>15</v>
      </c>
      <c r="B5" s="7">
        <f>'Master Sheet'!E40</f>
        <v>400</v>
      </c>
    </row>
    <row r="6" spans="1:2" s="8" customFormat="1" ht="19.899999999999999" customHeight="1" x14ac:dyDescent="0.25">
      <c r="A6" s="7" t="s">
        <v>16</v>
      </c>
      <c r="B6" s="7">
        <f>'Master Sheet'!F40</f>
        <v>0</v>
      </c>
    </row>
    <row r="7" spans="1:2" s="8" customFormat="1" ht="19.899999999999999" customHeight="1" x14ac:dyDescent="0.25">
      <c r="A7" s="7" t="s">
        <v>17</v>
      </c>
      <c r="B7" s="7">
        <f>'Master Sheet'!G40</f>
        <v>300</v>
      </c>
    </row>
    <row r="8" spans="1:2" s="8" customFormat="1" ht="19.899999999999999" customHeight="1" x14ac:dyDescent="0.25">
      <c r="A8" s="7" t="s">
        <v>18</v>
      </c>
      <c r="B8" s="7">
        <f>'Master Sheet'!H40</f>
        <v>0</v>
      </c>
    </row>
    <row r="9" spans="1:2" s="8" customFormat="1" ht="19.899999999999999" customHeight="1" x14ac:dyDescent="0.25">
      <c r="A9" s="7" t="s">
        <v>19</v>
      </c>
      <c r="B9" s="7">
        <f>'Master Sheet'!I40</f>
        <v>0</v>
      </c>
    </row>
    <row r="10" spans="1:2" s="8" customFormat="1" ht="19.899999999999999" customHeight="1" x14ac:dyDescent="0.25">
      <c r="A10" s="7" t="s">
        <v>20</v>
      </c>
      <c r="B10" s="7">
        <f>'Master Sheet'!J40</f>
        <v>0</v>
      </c>
    </row>
    <row r="11" spans="1:2" s="8" customFormat="1" ht="19.899999999999999" customHeight="1" x14ac:dyDescent="0.25">
      <c r="A11" s="7" t="s">
        <v>21</v>
      </c>
      <c r="B11" s="7">
        <f>'Master Sheet'!K40</f>
        <v>0</v>
      </c>
    </row>
    <row r="12" spans="1:2" s="8" customFormat="1" ht="19.899999999999999" customHeight="1" x14ac:dyDescent="0.25">
      <c r="A12" s="7" t="s">
        <v>22</v>
      </c>
      <c r="B12" s="7">
        <f>'Master Sheet'!L40</f>
        <v>0</v>
      </c>
    </row>
    <row r="13" spans="1:2" s="8" customFormat="1" ht="19.899999999999999" customHeight="1" x14ac:dyDescent="0.25">
      <c r="A13" s="7" t="s">
        <v>23</v>
      </c>
      <c r="B13" s="7">
        <f>'Master Sheet'!M40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700</v>
      </c>
    </row>
    <row r="15" spans="1:2" s="8" customFormat="1" ht="19.899999999999999" customHeight="1" x14ac:dyDescent="0.25">
      <c r="A15" s="7" t="s">
        <v>25</v>
      </c>
      <c r="B15" s="7">
        <f>3500-B14</f>
        <v>2800</v>
      </c>
    </row>
  </sheetData>
  <mergeCells count="1">
    <mergeCell ref="A1:B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Sheet'!B41</f>
        <v>Prabha Girish , Kumbanad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Sheet'!D41</f>
        <v>350</v>
      </c>
    </row>
    <row r="5" spans="1:2" s="8" customFormat="1" ht="19.899999999999999" customHeight="1" x14ac:dyDescent="0.25">
      <c r="A5" s="7" t="s">
        <v>15</v>
      </c>
      <c r="B5" s="7">
        <f>'Master Sheet'!E41</f>
        <v>0</v>
      </c>
    </row>
    <row r="6" spans="1:2" s="8" customFormat="1" ht="19.899999999999999" customHeight="1" x14ac:dyDescent="0.25">
      <c r="A6" s="7" t="s">
        <v>16</v>
      </c>
      <c r="B6" s="7">
        <f>'Master Sheet'!F41</f>
        <v>350</v>
      </c>
    </row>
    <row r="7" spans="1:2" s="8" customFormat="1" ht="19.899999999999999" customHeight="1" x14ac:dyDescent="0.25">
      <c r="A7" s="7" t="s">
        <v>17</v>
      </c>
      <c r="B7" s="7">
        <f>'Master Sheet'!G41</f>
        <v>700</v>
      </c>
    </row>
    <row r="8" spans="1:2" s="8" customFormat="1" ht="19.899999999999999" customHeight="1" x14ac:dyDescent="0.25">
      <c r="A8" s="7" t="s">
        <v>18</v>
      </c>
      <c r="B8" s="7">
        <f>'Master Sheet'!H41</f>
        <v>0</v>
      </c>
    </row>
    <row r="9" spans="1:2" s="8" customFormat="1" ht="19.899999999999999" customHeight="1" x14ac:dyDescent="0.25">
      <c r="A9" s="7" t="s">
        <v>19</v>
      </c>
      <c r="B9" s="7">
        <f>'Master Sheet'!I41</f>
        <v>0</v>
      </c>
    </row>
    <row r="10" spans="1:2" s="8" customFormat="1" ht="19.899999999999999" customHeight="1" x14ac:dyDescent="0.25">
      <c r="A10" s="7" t="s">
        <v>20</v>
      </c>
      <c r="B10" s="7">
        <f>'Master Sheet'!J41</f>
        <v>0</v>
      </c>
    </row>
    <row r="11" spans="1:2" s="8" customFormat="1" ht="19.899999999999999" customHeight="1" x14ac:dyDescent="0.25">
      <c r="A11" s="7" t="s">
        <v>21</v>
      </c>
      <c r="B11" s="7">
        <f>'Master Sheet'!K41</f>
        <v>0</v>
      </c>
    </row>
    <row r="12" spans="1:2" s="8" customFormat="1" ht="19.899999999999999" customHeight="1" x14ac:dyDescent="0.25">
      <c r="A12" s="7" t="s">
        <v>22</v>
      </c>
      <c r="B12" s="7">
        <f>'Master Sheet'!L41</f>
        <v>0</v>
      </c>
    </row>
    <row r="13" spans="1:2" s="8" customFormat="1" ht="19.899999999999999" customHeight="1" x14ac:dyDescent="0.25">
      <c r="A13" s="7" t="s">
        <v>23</v>
      </c>
      <c r="B13" s="7">
        <f>'Master Sheet'!M41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Sheet'!B42</f>
        <v>Biji N.S ,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Sheet'!D42</f>
        <v>0</v>
      </c>
    </row>
    <row r="5" spans="1:2" s="8" customFormat="1" ht="19.899999999999999" customHeight="1" x14ac:dyDescent="0.25">
      <c r="A5" s="7" t="s">
        <v>15</v>
      </c>
      <c r="B5" s="7">
        <f>'Master Sheet'!E42</f>
        <v>350</v>
      </c>
    </row>
    <row r="6" spans="1:2" s="8" customFormat="1" ht="19.899999999999999" customHeight="1" x14ac:dyDescent="0.25">
      <c r="A6" s="7" t="s">
        <v>16</v>
      </c>
      <c r="B6" s="7">
        <f>'Master Sheet'!F42</f>
        <v>350</v>
      </c>
    </row>
    <row r="7" spans="1:2" s="8" customFormat="1" ht="19.899999999999999" customHeight="1" x14ac:dyDescent="0.25">
      <c r="A7" s="7" t="s">
        <v>17</v>
      </c>
      <c r="B7" s="7">
        <f>'Master Sheet'!G42</f>
        <v>350</v>
      </c>
    </row>
    <row r="8" spans="1:2" s="8" customFormat="1" ht="19.899999999999999" customHeight="1" x14ac:dyDescent="0.25">
      <c r="A8" s="7" t="s">
        <v>18</v>
      </c>
      <c r="B8" s="7">
        <f>'Master Sheet'!H42</f>
        <v>0</v>
      </c>
    </row>
    <row r="9" spans="1:2" s="8" customFormat="1" ht="19.899999999999999" customHeight="1" x14ac:dyDescent="0.25">
      <c r="A9" s="7" t="s">
        <v>19</v>
      </c>
      <c r="B9" s="7">
        <f>'Master Sheet'!I42</f>
        <v>0</v>
      </c>
    </row>
    <row r="10" spans="1:2" s="8" customFormat="1" ht="19.899999999999999" customHeight="1" x14ac:dyDescent="0.25">
      <c r="A10" s="7" t="s">
        <v>20</v>
      </c>
      <c r="B10" s="7">
        <f>'Master Sheet'!J42</f>
        <v>0</v>
      </c>
    </row>
    <row r="11" spans="1:2" s="8" customFormat="1" ht="19.899999999999999" customHeight="1" x14ac:dyDescent="0.25">
      <c r="A11" s="7" t="s">
        <v>21</v>
      </c>
      <c r="B11" s="7">
        <f>'Master Sheet'!K42</f>
        <v>0</v>
      </c>
    </row>
    <row r="12" spans="1:2" s="8" customFormat="1" ht="19.899999999999999" customHeight="1" x14ac:dyDescent="0.25">
      <c r="A12" s="7" t="s">
        <v>22</v>
      </c>
      <c r="B12" s="7">
        <f>'Master Sheet'!L42</f>
        <v>0</v>
      </c>
    </row>
    <row r="13" spans="1:2" s="8" customFormat="1" ht="19.899999999999999" customHeight="1" x14ac:dyDescent="0.25">
      <c r="A13" s="7" t="s">
        <v>23</v>
      </c>
      <c r="B13" s="7">
        <f>'Master Sheet'!M42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Sheet'!B43</f>
        <v>Viswakala Sunil ,Pullad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Sheet'!D43</f>
        <v>0</v>
      </c>
    </row>
    <row r="5" spans="1:2" s="8" customFormat="1" ht="19.899999999999999" customHeight="1" x14ac:dyDescent="0.25">
      <c r="A5" s="7" t="s">
        <v>15</v>
      </c>
      <c r="B5" s="7">
        <f>'Master Sheet'!E43</f>
        <v>0</v>
      </c>
    </row>
    <row r="6" spans="1:2" s="8" customFormat="1" ht="19.899999999999999" customHeight="1" x14ac:dyDescent="0.25">
      <c r="A6" s="7" t="s">
        <v>16</v>
      </c>
      <c r="B6" s="7">
        <f>'Master Sheet'!F43</f>
        <v>0</v>
      </c>
    </row>
    <row r="7" spans="1:2" s="8" customFormat="1" ht="19.899999999999999" customHeight="1" x14ac:dyDescent="0.25">
      <c r="A7" s="7" t="s">
        <v>17</v>
      </c>
      <c r="B7" s="7">
        <f>'Master Sheet'!G43</f>
        <v>0</v>
      </c>
    </row>
    <row r="8" spans="1:2" s="8" customFormat="1" ht="19.899999999999999" customHeight="1" x14ac:dyDescent="0.25">
      <c r="A8" s="7" t="s">
        <v>18</v>
      </c>
      <c r="B8" s="7">
        <f>'Master Sheet'!H43</f>
        <v>0</v>
      </c>
    </row>
    <row r="9" spans="1:2" s="8" customFormat="1" ht="19.899999999999999" customHeight="1" x14ac:dyDescent="0.25">
      <c r="A9" s="7" t="s">
        <v>19</v>
      </c>
      <c r="B9" s="7">
        <f>'Master Sheet'!I43</f>
        <v>0</v>
      </c>
    </row>
    <row r="10" spans="1:2" s="8" customFormat="1" ht="19.899999999999999" customHeight="1" x14ac:dyDescent="0.25">
      <c r="A10" s="7" t="s">
        <v>20</v>
      </c>
      <c r="B10" s="7">
        <f>'Master Sheet'!J43</f>
        <v>0</v>
      </c>
    </row>
    <row r="11" spans="1:2" s="8" customFormat="1" ht="19.899999999999999" customHeight="1" x14ac:dyDescent="0.25">
      <c r="A11" s="7" t="s">
        <v>21</v>
      </c>
      <c r="B11" s="7">
        <f>'Master Sheet'!K43</f>
        <v>0</v>
      </c>
    </row>
    <row r="12" spans="1:2" s="8" customFormat="1" ht="19.899999999999999" customHeight="1" x14ac:dyDescent="0.25">
      <c r="A12" s="7" t="s">
        <v>22</v>
      </c>
      <c r="B12" s="7">
        <f>'Master Sheet'!L43</f>
        <v>0</v>
      </c>
    </row>
    <row r="13" spans="1:2" s="8" customFormat="1" ht="19.899999999999999" customHeight="1" x14ac:dyDescent="0.25">
      <c r="A13" s="7" t="s">
        <v>23</v>
      </c>
      <c r="B13" s="7">
        <f>'Master Sheet'!M43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Sheet'!B44</f>
        <v>Tinu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Sheet'!D44</f>
        <v>0</v>
      </c>
    </row>
    <row r="5" spans="1:2" s="8" customFormat="1" ht="19.899999999999999" customHeight="1" x14ac:dyDescent="0.25">
      <c r="A5" s="7" t="s">
        <v>15</v>
      </c>
      <c r="B5" s="7">
        <f>'Master Sheet'!E44</f>
        <v>0</v>
      </c>
    </row>
    <row r="6" spans="1:2" s="8" customFormat="1" ht="19.899999999999999" customHeight="1" x14ac:dyDescent="0.25">
      <c r="A6" s="7" t="s">
        <v>16</v>
      </c>
      <c r="B6" s="7">
        <f>'Master Sheet'!F44</f>
        <v>0</v>
      </c>
    </row>
    <row r="7" spans="1:2" s="8" customFormat="1" ht="19.899999999999999" customHeight="1" x14ac:dyDescent="0.25">
      <c r="A7" s="7" t="s">
        <v>17</v>
      </c>
      <c r="B7" s="7">
        <f>'Master Sheet'!G44</f>
        <v>0</v>
      </c>
    </row>
    <row r="8" spans="1:2" s="8" customFormat="1" ht="19.899999999999999" customHeight="1" x14ac:dyDescent="0.25">
      <c r="A8" s="7" t="s">
        <v>18</v>
      </c>
      <c r="B8" s="7">
        <f>'Master Sheet'!H44</f>
        <v>0</v>
      </c>
    </row>
    <row r="9" spans="1:2" s="8" customFormat="1" ht="19.899999999999999" customHeight="1" x14ac:dyDescent="0.25">
      <c r="A9" s="7" t="s">
        <v>19</v>
      </c>
      <c r="B9" s="7">
        <f>'Master Sheet'!I44</f>
        <v>0</v>
      </c>
    </row>
    <row r="10" spans="1:2" s="8" customFormat="1" ht="19.899999999999999" customHeight="1" x14ac:dyDescent="0.25">
      <c r="A10" s="7" t="s">
        <v>20</v>
      </c>
      <c r="B10" s="7">
        <f>'Master Sheet'!J44</f>
        <v>0</v>
      </c>
    </row>
    <row r="11" spans="1:2" s="8" customFormat="1" ht="19.899999999999999" customHeight="1" x14ac:dyDescent="0.25">
      <c r="A11" s="7" t="s">
        <v>21</v>
      </c>
      <c r="B11" s="7">
        <f>'Master Sheet'!K44</f>
        <v>0</v>
      </c>
    </row>
    <row r="12" spans="1:2" s="8" customFormat="1" ht="19.899999999999999" customHeight="1" x14ac:dyDescent="0.25">
      <c r="A12" s="7" t="s">
        <v>22</v>
      </c>
      <c r="B12" s="7">
        <f>'Master Sheet'!L44</f>
        <v>0</v>
      </c>
    </row>
    <row r="13" spans="1:2" s="8" customFormat="1" ht="19.899999999999999" customHeight="1" x14ac:dyDescent="0.25">
      <c r="A13" s="7" t="s">
        <v>23</v>
      </c>
      <c r="B13" s="7">
        <f>'Master Sheet'!M44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Sheet'!B45</f>
        <v>Abhiya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Sheet'!D45</f>
        <v>0</v>
      </c>
    </row>
    <row r="5" spans="1:2" s="8" customFormat="1" ht="19.899999999999999" customHeight="1" x14ac:dyDescent="0.25">
      <c r="A5" s="7" t="s">
        <v>15</v>
      </c>
      <c r="B5" s="7">
        <f>'Master Sheet'!E45</f>
        <v>500</v>
      </c>
    </row>
    <row r="6" spans="1:2" s="8" customFormat="1" ht="19.899999999999999" customHeight="1" x14ac:dyDescent="0.25">
      <c r="A6" s="7" t="s">
        <v>16</v>
      </c>
      <c r="B6" s="7">
        <f>'Master Sheet'!F45</f>
        <v>500</v>
      </c>
    </row>
    <row r="7" spans="1:2" s="8" customFormat="1" ht="19.899999999999999" customHeight="1" x14ac:dyDescent="0.25">
      <c r="A7" s="7" t="s">
        <v>17</v>
      </c>
      <c r="B7" s="7">
        <f>'Master Sheet'!G45</f>
        <v>0</v>
      </c>
    </row>
    <row r="8" spans="1:2" s="8" customFormat="1" ht="19.899999999999999" customHeight="1" x14ac:dyDescent="0.25">
      <c r="A8" s="7" t="s">
        <v>18</v>
      </c>
      <c r="B8" s="7">
        <f>'Master Sheet'!H45</f>
        <v>0</v>
      </c>
    </row>
    <row r="9" spans="1:2" s="8" customFormat="1" ht="19.899999999999999" customHeight="1" x14ac:dyDescent="0.25">
      <c r="A9" s="7" t="s">
        <v>19</v>
      </c>
      <c r="B9" s="7">
        <f>'Master Sheet'!I45</f>
        <v>0</v>
      </c>
    </row>
    <row r="10" spans="1:2" s="8" customFormat="1" ht="19.899999999999999" customHeight="1" x14ac:dyDescent="0.25">
      <c r="A10" s="7" t="s">
        <v>20</v>
      </c>
      <c r="B10" s="7">
        <f>'Master Sheet'!J45</f>
        <v>0</v>
      </c>
    </row>
    <row r="11" spans="1:2" s="8" customFormat="1" ht="19.899999999999999" customHeight="1" x14ac:dyDescent="0.25">
      <c r="A11" s="7" t="s">
        <v>21</v>
      </c>
      <c r="B11" s="7">
        <f>'Master Sheet'!K45</f>
        <v>0</v>
      </c>
    </row>
    <row r="12" spans="1:2" s="8" customFormat="1" ht="19.899999999999999" customHeight="1" x14ac:dyDescent="0.25">
      <c r="A12" s="7" t="s">
        <v>22</v>
      </c>
      <c r="B12" s="7">
        <f>'Master Sheet'!L45</f>
        <v>0</v>
      </c>
    </row>
    <row r="13" spans="1:2" s="8" customFormat="1" ht="19.899999999999999" customHeight="1" x14ac:dyDescent="0.25">
      <c r="A13" s="7" t="s">
        <v>23</v>
      </c>
      <c r="B13" s="7">
        <f>'Master Sheet'!M45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1000</v>
      </c>
    </row>
    <row r="15" spans="1:2" s="8" customFormat="1" ht="19.899999999999999" customHeight="1" x14ac:dyDescent="0.25">
      <c r="A15" s="7" t="s">
        <v>25</v>
      </c>
      <c r="B15" s="7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Sheet'!B46</f>
        <v>Syam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Sheet'!D46</f>
        <v>500</v>
      </c>
    </row>
    <row r="5" spans="1:2" s="8" customFormat="1" ht="19.899999999999999" customHeight="1" x14ac:dyDescent="0.25">
      <c r="A5" s="7" t="s">
        <v>15</v>
      </c>
      <c r="B5" s="7">
        <f>'Master Sheet'!E46</f>
        <v>600</v>
      </c>
    </row>
    <row r="6" spans="1:2" s="8" customFormat="1" ht="19.899999999999999" customHeight="1" x14ac:dyDescent="0.25">
      <c r="A6" s="7" t="s">
        <v>16</v>
      </c>
      <c r="B6" s="7">
        <f>'Master Sheet'!F46</f>
        <v>150</v>
      </c>
    </row>
    <row r="7" spans="1:2" s="8" customFormat="1" ht="19.899999999999999" customHeight="1" x14ac:dyDescent="0.25">
      <c r="A7" s="7" t="s">
        <v>17</v>
      </c>
      <c r="B7" s="7">
        <f>'Master Sheet'!G46</f>
        <v>500</v>
      </c>
    </row>
    <row r="8" spans="1:2" s="8" customFormat="1" ht="19.899999999999999" customHeight="1" x14ac:dyDescent="0.25">
      <c r="A8" s="7" t="s">
        <v>18</v>
      </c>
      <c r="B8" s="7">
        <f>'Master Sheet'!H46</f>
        <v>0</v>
      </c>
    </row>
    <row r="9" spans="1:2" s="8" customFormat="1" ht="19.899999999999999" customHeight="1" x14ac:dyDescent="0.25">
      <c r="A9" s="7" t="s">
        <v>19</v>
      </c>
      <c r="B9" s="7">
        <f>'Master Sheet'!I46</f>
        <v>0</v>
      </c>
    </row>
    <row r="10" spans="1:2" s="8" customFormat="1" ht="19.899999999999999" customHeight="1" x14ac:dyDescent="0.25">
      <c r="A10" s="7" t="s">
        <v>20</v>
      </c>
      <c r="B10" s="7">
        <f>'Master Sheet'!J46</f>
        <v>0</v>
      </c>
    </row>
    <row r="11" spans="1:2" s="8" customFormat="1" ht="19.899999999999999" customHeight="1" x14ac:dyDescent="0.25">
      <c r="A11" s="7" t="s">
        <v>21</v>
      </c>
      <c r="B11" s="7">
        <f>'Master Sheet'!K46</f>
        <v>0</v>
      </c>
    </row>
    <row r="12" spans="1:2" s="8" customFormat="1" ht="19.899999999999999" customHeight="1" x14ac:dyDescent="0.25">
      <c r="A12" s="7" t="s">
        <v>22</v>
      </c>
      <c r="B12" s="7">
        <f>'Master Sheet'!L46</f>
        <v>0</v>
      </c>
    </row>
    <row r="13" spans="1:2" s="8" customFormat="1" ht="19.899999999999999" customHeight="1" x14ac:dyDescent="0.25">
      <c r="A13" s="7" t="s">
        <v>23</v>
      </c>
      <c r="B13" s="7">
        <f>'Master Sheet'!M46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1750</v>
      </c>
    </row>
    <row r="15" spans="1:2" s="8" customFormat="1" ht="19.899999999999999" customHeight="1" x14ac:dyDescent="0.25">
      <c r="A15" s="7" t="s">
        <v>25</v>
      </c>
      <c r="B15" s="7">
        <f>3500-B14</f>
        <v>1750</v>
      </c>
    </row>
  </sheetData>
  <mergeCells count="1">
    <mergeCell ref="A1:B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Sheet'!B47</f>
        <v>Chithra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Sheet'!D47</f>
        <v>0</v>
      </c>
    </row>
    <row r="5" spans="1:2" s="8" customFormat="1" ht="19.899999999999999" customHeight="1" x14ac:dyDescent="0.25">
      <c r="A5" s="7" t="s">
        <v>15</v>
      </c>
      <c r="B5" s="7">
        <f>'Master Sheet'!E47</f>
        <v>500</v>
      </c>
    </row>
    <row r="6" spans="1:2" s="8" customFormat="1" ht="19.899999999999999" customHeight="1" x14ac:dyDescent="0.25">
      <c r="A6" s="7" t="s">
        <v>16</v>
      </c>
      <c r="B6" s="7">
        <f>'Master Sheet'!F47</f>
        <v>0</v>
      </c>
    </row>
    <row r="7" spans="1:2" s="8" customFormat="1" ht="19.899999999999999" customHeight="1" x14ac:dyDescent="0.25">
      <c r="A7" s="7" t="s">
        <v>17</v>
      </c>
      <c r="B7" s="7">
        <f>'Master Sheet'!G47</f>
        <v>0</v>
      </c>
    </row>
    <row r="8" spans="1:2" s="8" customFormat="1" ht="19.899999999999999" customHeight="1" x14ac:dyDescent="0.25">
      <c r="A8" s="7" t="s">
        <v>18</v>
      </c>
      <c r="B8" s="7">
        <f>'Master Sheet'!H47</f>
        <v>0</v>
      </c>
    </row>
    <row r="9" spans="1:2" s="8" customFormat="1" ht="19.899999999999999" customHeight="1" x14ac:dyDescent="0.25">
      <c r="A9" s="7" t="s">
        <v>19</v>
      </c>
      <c r="B9" s="7">
        <f>'Master Sheet'!I47</f>
        <v>0</v>
      </c>
    </row>
    <row r="10" spans="1:2" s="8" customFormat="1" ht="19.899999999999999" customHeight="1" x14ac:dyDescent="0.25">
      <c r="A10" s="7" t="s">
        <v>20</v>
      </c>
      <c r="B10" s="7">
        <f>'Master Sheet'!J47</f>
        <v>0</v>
      </c>
    </row>
    <row r="11" spans="1:2" s="8" customFormat="1" ht="19.899999999999999" customHeight="1" x14ac:dyDescent="0.25">
      <c r="A11" s="7" t="s">
        <v>21</v>
      </c>
      <c r="B11" s="7">
        <f>'Master Sheet'!K47</f>
        <v>0</v>
      </c>
    </row>
    <row r="12" spans="1:2" s="8" customFormat="1" ht="19.899999999999999" customHeight="1" x14ac:dyDescent="0.25">
      <c r="A12" s="7" t="s">
        <v>22</v>
      </c>
      <c r="B12" s="7">
        <f>'Master Sheet'!L47</f>
        <v>0</v>
      </c>
    </row>
    <row r="13" spans="1:2" s="8" customFormat="1" ht="19.899999999999999" customHeight="1" x14ac:dyDescent="0.25">
      <c r="A13" s="7" t="s">
        <v>23</v>
      </c>
      <c r="B13" s="7">
        <f>'Master Sheet'!M47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500</v>
      </c>
    </row>
    <row r="15" spans="1:2" s="8" customFormat="1" ht="19.899999999999999" customHeight="1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Sheet'!B48</f>
        <v xml:space="preserve">Bindhu 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Sheet'!D48</f>
        <v>0</v>
      </c>
    </row>
    <row r="5" spans="1:2" s="8" customFormat="1" ht="19.899999999999999" customHeight="1" x14ac:dyDescent="0.25">
      <c r="A5" s="7" t="s">
        <v>15</v>
      </c>
      <c r="B5" s="7">
        <f>'Master Sheet'!E48</f>
        <v>0</v>
      </c>
    </row>
    <row r="6" spans="1:2" s="8" customFormat="1" ht="19.899999999999999" customHeight="1" x14ac:dyDescent="0.25">
      <c r="A6" s="7" t="s">
        <v>16</v>
      </c>
      <c r="B6" s="7">
        <f>'Master Sheet'!F48</f>
        <v>500</v>
      </c>
    </row>
    <row r="7" spans="1:2" s="8" customFormat="1" ht="19.899999999999999" customHeight="1" x14ac:dyDescent="0.25">
      <c r="A7" s="7" t="s">
        <v>17</v>
      </c>
      <c r="B7" s="7">
        <f>'Master Sheet'!G48</f>
        <v>0</v>
      </c>
    </row>
    <row r="8" spans="1:2" s="8" customFormat="1" ht="19.899999999999999" customHeight="1" x14ac:dyDescent="0.25">
      <c r="A8" s="7" t="s">
        <v>18</v>
      </c>
      <c r="B8" s="7">
        <f>'Master Sheet'!H48</f>
        <v>0</v>
      </c>
    </row>
    <row r="9" spans="1:2" s="8" customFormat="1" ht="19.899999999999999" customHeight="1" x14ac:dyDescent="0.25">
      <c r="A9" s="7" t="s">
        <v>19</v>
      </c>
      <c r="B9" s="7">
        <f>'Master Sheet'!I48</f>
        <v>0</v>
      </c>
    </row>
    <row r="10" spans="1:2" s="8" customFormat="1" ht="19.899999999999999" customHeight="1" x14ac:dyDescent="0.25">
      <c r="A10" s="7" t="s">
        <v>20</v>
      </c>
      <c r="B10" s="7">
        <f>'Master Sheet'!J48</f>
        <v>0</v>
      </c>
    </row>
    <row r="11" spans="1:2" s="8" customFormat="1" ht="19.899999999999999" customHeight="1" x14ac:dyDescent="0.25">
      <c r="A11" s="7" t="s">
        <v>21</v>
      </c>
      <c r="B11" s="7">
        <f>'Master Sheet'!K48</f>
        <v>0</v>
      </c>
    </row>
    <row r="12" spans="1:2" s="8" customFormat="1" ht="19.899999999999999" customHeight="1" x14ac:dyDescent="0.25">
      <c r="A12" s="7" t="s">
        <v>22</v>
      </c>
      <c r="B12" s="7">
        <f>'Master Sheet'!L48</f>
        <v>0</v>
      </c>
    </row>
    <row r="13" spans="1:2" s="8" customFormat="1" ht="19.899999999999999" customHeight="1" x14ac:dyDescent="0.25">
      <c r="A13" s="7" t="s">
        <v>23</v>
      </c>
      <c r="B13" s="7">
        <f>'Master Sheet'!M48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500</v>
      </c>
    </row>
    <row r="15" spans="1:2" s="8" customFormat="1" ht="19.899999999999999" customHeight="1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Sheet'!B49</f>
        <v>Mincy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Sheet'!D49</f>
        <v>0</v>
      </c>
    </row>
    <row r="5" spans="1:2" s="8" customFormat="1" ht="19.899999999999999" customHeight="1" x14ac:dyDescent="0.25">
      <c r="A5" s="7" t="s">
        <v>15</v>
      </c>
      <c r="B5" s="7">
        <f>'Master Sheet'!E49</f>
        <v>0</v>
      </c>
    </row>
    <row r="6" spans="1:2" s="8" customFormat="1" ht="19.899999999999999" customHeight="1" x14ac:dyDescent="0.25">
      <c r="A6" s="7" t="s">
        <v>16</v>
      </c>
      <c r="B6" s="7">
        <f>'Master Sheet'!F49</f>
        <v>0</v>
      </c>
    </row>
    <row r="7" spans="1:2" s="8" customFormat="1" ht="19.899999999999999" customHeight="1" x14ac:dyDescent="0.25">
      <c r="A7" s="7" t="s">
        <v>17</v>
      </c>
      <c r="B7" s="7">
        <f>'Master Sheet'!G49</f>
        <v>0</v>
      </c>
    </row>
    <row r="8" spans="1:2" s="8" customFormat="1" ht="19.899999999999999" customHeight="1" x14ac:dyDescent="0.25">
      <c r="A8" s="7" t="s">
        <v>18</v>
      </c>
      <c r="B8" s="7">
        <f>'Master Sheet'!H49</f>
        <v>0</v>
      </c>
    </row>
    <row r="9" spans="1:2" s="8" customFormat="1" ht="19.899999999999999" customHeight="1" x14ac:dyDescent="0.25">
      <c r="A9" s="7" t="s">
        <v>19</v>
      </c>
      <c r="B9" s="7">
        <f>'Master Sheet'!I49</f>
        <v>0</v>
      </c>
    </row>
    <row r="10" spans="1:2" s="8" customFormat="1" ht="19.899999999999999" customHeight="1" x14ac:dyDescent="0.25">
      <c r="A10" s="7" t="s">
        <v>20</v>
      </c>
      <c r="B10" s="7">
        <f>'Master Sheet'!J49</f>
        <v>0</v>
      </c>
    </row>
    <row r="11" spans="1:2" s="8" customFormat="1" ht="19.899999999999999" customHeight="1" x14ac:dyDescent="0.25">
      <c r="A11" s="7" t="s">
        <v>21</v>
      </c>
      <c r="B11" s="7">
        <f>'Master Sheet'!K49</f>
        <v>0</v>
      </c>
    </row>
    <row r="12" spans="1:2" s="8" customFormat="1" ht="19.899999999999999" customHeight="1" x14ac:dyDescent="0.25">
      <c r="A12" s="7" t="s">
        <v>22</v>
      </c>
      <c r="B12" s="7">
        <f>'Master Sheet'!L49</f>
        <v>0</v>
      </c>
    </row>
    <row r="13" spans="1:2" s="8" customFormat="1" ht="19.899999999999999" customHeight="1" x14ac:dyDescent="0.25">
      <c r="A13" s="7" t="s">
        <v>23</v>
      </c>
      <c r="B13" s="7">
        <f>'Master Sheet'!M49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Sheet'!B50</f>
        <v>Ammini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Sheet'!D50</f>
        <v>0</v>
      </c>
    </row>
    <row r="5" spans="1:2" s="8" customFormat="1" ht="19.899999999999999" customHeight="1" x14ac:dyDescent="0.25">
      <c r="A5" s="7" t="s">
        <v>15</v>
      </c>
      <c r="B5" s="7">
        <f>'Master Sheet'!E50</f>
        <v>0</v>
      </c>
    </row>
    <row r="6" spans="1:2" s="8" customFormat="1" ht="19.899999999999999" customHeight="1" x14ac:dyDescent="0.25">
      <c r="A6" s="7" t="s">
        <v>16</v>
      </c>
      <c r="B6" s="7">
        <f>'Master Sheet'!F50</f>
        <v>1000</v>
      </c>
    </row>
    <row r="7" spans="1:2" s="8" customFormat="1" ht="19.899999999999999" customHeight="1" x14ac:dyDescent="0.25">
      <c r="A7" s="7" t="s">
        <v>17</v>
      </c>
      <c r="B7" s="7">
        <f>'Master Sheet'!G50</f>
        <v>0</v>
      </c>
    </row>
    <row r="8" spans="1:2" s="8" customFormat="1" ht="19.899999999999999" customHeight="1" x14ac:dyDescent="0.25">
      <c r="A8" s="7" t="s">
        <v>18</v>
      </c>
      <c r="B8" s="7">
        <f>'Master Sheet'!H50</f>
        <v>0</v>
      </c>
    </row>
    <row r="9" spans="1:2" s="8" customFormat="1" ht="19.899999999999999" customHeight="1" x14ac:dyDescent="0.25">
      <c r="A9" s="7" t="s">
        <v>19</v>
      </c>
      <c r="B9" s="7">
        <f>'Master Sheet'!I50</f>
        <v>0</v>
      </c>
    </row>
    <row r="10" spans="1:2" s="8" customFormat="1" ht="19.899999999999999" customHeight="1" x14ac:dyDescent="0.25">
      <c r="A10" s="7" t="s">
        <v>20</v>
      </c>
      <c r="B10" s="7">
        <f>'Master Sheet'!J50</f>
        <v>0</v>
      </c>
    </row>
    <row r="11" spans="1:2" s="8" customFormat="1" ht="19.899999999999999" customHeight="1" x14ac:dyDescent="0.25">
      <c r="A11" s="7" t="s">
        <v>21</v>
      </c>
      <c r="B11" s="7">
        <f>'Master Sheet'!K50</f>
        <v>0</v>
      </c>
    </row>
    <row r="12" spans="1:2" s="8" customFormat="1" ht="19.899999999999999" customHeight="1" x14ac:dyDescent="0.25">
      <c r="A12" s="7" t="s">
        <v>22</v>
      </c>
      <c r="B12" s="7">
        <f>'Master Sheet'!L50</f>
        <v>0</v>
      </c>
    </row>
    <row r="13" spans="1:2" s="8" customFormat="1" ht="19.899999999999999" customHeight="1" x14ac:dyDescent="0.25">
      <c r="A13" s="7" t="s">
        <v>23</v>
      </c>
      <c r="B13" s="7">
        <f>'Master Sheet'!M50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1000</v>
      </c>
    </row>
    <row r="15" spans="1:2" s="8" customFormat="1" ht="19.899999999999999" customHeight="1" x14ac:dyDescent="0.25">
      <c r="A15" s="7" t="s">
        <v>25</v>
      </c>
      <c r="B15" s="7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ht="19.899999999999999" customHeight="1" x14ac:dyDescent="0.25">
      <c r="A1" s="28" t="s">
        <v>179</v>
      </c>
      <c r="B1" s="28"/>
    </row>
    <row r="2" spans="1:2" ht="19.899999999999999" customHeight="1" x14ac:dyDescent="0.25">
      <c r="A2" s="16" t="s">
        <v>12</v>
      </c>
      <c r="B2" s="17" t="str">
        <f>'Master Sheet'!B51</f>
        <v>Babu</v>
      </c>
    </row>
    <row r="3" spans="1:2" ht="19.899999999999999" customHeight="1" x14ac:dyDescent="0.25">
      <c r="A3" s="16" t="s">
        <v>176</v>
      </c>
      <c r="B3" s="16" t="s">
        <v>177</v>
      </c>
    </row>
    <row r="4" spans="1:2" ht="19.899999999999999" customHeight="1" x14ac:dyDescent="0.25">
      <c r="A4" s="7" t="s">
        <v>14</v>
      </c>
      <c r="B4" s="7">
        <f>'Master Sheet'!D51</f>
        <v>0</v>
      </c>
    </row>
    <row r="5" spans="1:2" ht="19.899999999999999" customHeight="1" x14ac:dyDescent="0.25">
      <c r="A5" s="7" t="s">
        <v>15</v>
      </c>
      <c r="B5" s="7">
        <f>'Master Sheet'!E51</f>
        <v>0</v>
      </c>
    </row>
    <row r="6" spans="1:2" ht="19.899999999999999" customHeight="1" x14ac:dyDescent="0.25">
      <c r="A6" s="7" t="s">
        <v>16</v>
      </c>
      <c r="B6" s="7">
        <f>'Master Sheet'!F51</f>
        <v>0</v>
      </c>
    </row>
    <row r="7" spans="1:2" ht="19.899999999999999" customHeight="1" x14ac:dyDescent="0.25">
      <c r="A7" s="7" t="s">
        <v>17</v>
      </c>
      <c r="B7" s="7">
        <f>'Master Sheet'!G51</f>
        <v>500</v>
      </c>
    </row>
    <row r="8" spans="1:2" ht="19.899999999999999" customHeight="1" x14ac:dyDescent="0.25">
      <c r="A8" s="7" t="s">
        <v>18</v>
      </c>
      <c r="B8" s="7">
        <f>'Master Sheet'!H51</f>
        <v>0</v>
      </c>
    </row>
    <row r="9" spans="1:2" ht="19.899999999999999" customHeight="1" x14ac:dyDescent="0.25">
      <c r="A9" s="7" t="s">
        <v>19</v>
      </c>
      <c r="B9" s="7">
        <f>'Master Sheet'!I51</f>
        <v>0</v>
      </c>
    </row>
    <row r="10" spans="1:2" ht="19.899999999999999" customHeight="1" x14ac:dyDescent="0.25">
      <c r="A10" s="7" t="s">
        <v>20</v>
      </c>
      <c r="B10" s="7">
        <f>'Master Sheet'!J51</f>
        <v>0</v>
      </c>
    </row>
    <row r="11" spans="1:2" ht="19.899999999999999" customHeight="1" x14ac:dyDescent="0.25">
      <c r="A11" s="7" t="s">
        <v>21</v>
      </c>
      <c r="B11" s="7">
        <f>'Master Sheet'!K51</f>
        <v>0</v>
      </c>
    </row>
    <row r="12" spans="1:2" ht="19.899999999999999" customHeight="1" x14ac:dyDescent="0.25">
      <c r="A12" s="7" t="s">
        <v>22</v>
      </c>
      <c r="B12" s="7">
        <f>'Master Sheet'!L51</f>
        <v>0</v>
      </c>
    </row>
    <row r="13" spans="1:2" ht="19.899999999999999" customHeight="1" x14ac:dyDescent="0.25">
      <c r="A13" s="7" t="s">
        <v>23</v>
      </c>
      <c r="B13" s="7">
        <f>'Master Sheet'!M51</f>
        <v>0</v>
      </c>
    </row>
    <row r="14" spans="1:2" ht="19.899999999999999" customHeight="1" x14ac:dyDescent="0.25">
      <c r="A14" s="7" t="s">
        <v>178</v>
      </c>
      <c r="B14" s="7">
        <f>SUM(B4:B13)</f>
        <v>500</v>
      </c>
    </row>
    <row r="15" spans="1:2" ht="19.899999999999999" customHeight="1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Sheet'!B52</f>
        <v>Geethu Renjith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Sheet'!D52</f>
        <v>0</v>
      </c>
    </row>
    <row r="5" spans="1:2" s="8" customFormat="1" ht="19.899999999999999" customHeight="1" x14ac:dyDescent="0.25">
      <c r="A5" s="7" t="s">
        <v>15</v>
      </c>
      <c r="B5" s="7">
        <f>'Master Sheet'!E52</f>
        <v>0</v>
      </c>
    </row>
    <row r="6" spans="1:2" s="8" customFormat="1" ht="19.899999999999999" customHeight="1" x14ac:dyDescent="0.25">
      <c r="A6" s="7" t="s">
        <v>16</v>
      </c>
      <c r="B6" s="7">
        <f>'Master Sheet'!F52</f>
        <v>0</v>
      </c>
    </row>
    <row r="7" spans="1:2" s="8" customFormat="1" ht="19.899999999999999" customHeight="1" x14ac:dyDescent="0.25">
      <c r="A7" s="7" t="s">
        <v>17</v>
      </c>
      <c r="B7" s="7">
        <f>'Master Sheet'!G52</f>
        <v>500</v>
      </c>
    </row>
    <row r="8" spans="1:2" s="8" customFormat="1" ht="19.899999999999999" customHeight="1" x14ac:dyDescent="0.25">
      <c r="A8" s="7" t="s">
        <v>18</v>
      </c>
      <c r="B8" s="7">
        <f>'Master Sheet'!H52</f>
        <v>0</v>
      </c>
    </row>
    <row r="9" spans="1:2" s="8" customFormat="1" ht="19.899999999999999" customHeight="1" x14ac:dyDescent="0.25">
      <c r="A9" s="7" t="s">
        <v>19</v>
      </c>
      <c r="B9" s="7">
        <f>'Master Sheet'!I52</f>
        <v>0</v>
      </c>
    </row>
    <row r="10" spans="1:2" s="8" customFormat="1" ht="19.899999999999999" customHeight="1" x14ac:dyDescent="0.25">
      <c r="A10" s="7" t="s">
        <v>20</v>
      </c>
      <c r="B10" s="7">
        <f>'Master Sheet'!J52</f>
        <v>0</v>
      </c>
    </row>
    <row r="11" spans="1:2" s="8" customFormat="1" ht="19.899999999999999" customHeight="1" x14ac:dyDescent="0.25">
      <c r="A11" s="7" t="s">
        <v>21</v>
      </c>
      <c r="B11" s="7">
        <f>'Master Sheet'!K52</f>
        <v>0</v>
      </c>
    </row>
    <row r="12" spans="1:2" s="8" customFormat="1" ht="19.899999999999999" customHeight="1" x14ac:dyDescent="0.25">
      <c r="A12" s="7" t="s">
        <v>22</v>
      </c>
      <c r="B12" s="7">
        <f>'Master Sheet'!L52</f>
        <v>0</v>
      </c>
    </row>
    <row r="13" spans="1:2" s="8" customFormat="1" ht="19.899999999999999" customHeight="1" x14ac:dyDescent="0.25">
      <c r="A13" s="7" t="s">
        <v>23</v>
      </c>
      <c r="B13" s="7">
        <f>'Master Sheet'!M52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500</v>
      </c>
    </row>
    <row r="15" spans="1:2" s="8" customFormat="1" ht="19.899999999999999" customHeight="1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Sheet'!B53</f>
        <v>Manu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Sheet'!D53</f>
        <v>0</v>
      </c>
    </row>
    <row r="5" spans="1:2" s="8" customFormat="1" ht="19.899999999999999" customHeight="1" x14ac:dyDescent="0.25">
      <c r="A5" s="7" t="s">
        <v>15</v>
      </c>
      <c r="B5" s="7">
        <f>'Master Sheet'!E53</f>
        <v>0</v>
      </c>
    </row>
    <row r="6" spans="1:2" s="8" customFormat="1" ht="19.899999999999999" customHeight="1" x14ac:dyDescent="0.25">
      <c r="A6" s="7" t="s">
        <v>16</v>
      </c>
      <c r="B6" s="7">
        <f>'Master Sheet'!F53</f>
        <v>0</v>
      </c>
    </row>
    <row r="7" spans="1:2" s="8" customFormat="1" ht="19.899999999999999" customHeight="1" x14ac:dyDescent="0.25">
      <c r="A7" s="7" t="s">
        <v>17</v>
      </c>
      <c r="B7" s="7">
        <f>'Master Sheet'!G53</f>
        <v>0</v>
      </c>
    </row>
    <row r="8" spans="1:2" s="8" customFormat="1" ht="19.899999999999999" customHeight="1" x14ac:dyDescent="0.25">
      <c r="A8" s="7" t="s">
        <v>18</v>
      </c>
      <c r="B8" s="7">
        <f>'Master Sheet'!H53</f>
        <v>0</v>
      </c>
    </row>
    <row r="9" spans="1:2" s="8" customFormat="1" ht="19.899999999999999" customHeight="1" x14ac:dyDescent="0.25">
      <c r="A9" s="7" t="s">
        <v>19</v>
      </c>
      <c r="B9" s="7">
        <f>'Master Sheet'!I53</f>
        <v>0</v>
      </c>
    </row>
    <row r="10" spans="1:2" s="8" customFormat="1" ht="19.899999999999999" customHeight="1" x14ac:dyDescent="0.25">
      <c r="A10" s="7" t="s">
        <v>20</v>
      </c>
      <c r="B10" s="7">
        <f>'Master Sheet'!J53</f>
        <v>0</v>
      </c>
    </row>
    <row r="11" spans="1:2" s="8" customFormat="1" ht="19.899999999999999" customHeight="1" x14ac:dyDescent="0.25">
      <c r="A11" s="7" t="s">
        <v>21</v>
      </c>
      <c r="B11" s="7">
        <f>'Master Sheet'!K53</f>
        <v>0</v>
      </c>
    </row>
    <row r="12" spans="1:2" s="8" customFormat="1" ht="19.899999999999999" customHeight="1" x14ac:dyDescent="0.25">
      <c r="A12" s="7" t="s">
        <v>22</v>
      </c>
      <c r="B12" s="7">
        <f>'Master Sheet'!L53</f>
        <v>0</v>
      </c>
    </row>
    <row r="13" spans="1:2" s="8" customFormat="1" ht="19.899999999999999" customHeight="1" x14ac:dyDescent="0.25">
      <c r="A13" s="7" t="s">
        <v>23</v>
      </c>
      <c r="B13" s="7">
        <f>'Master Sheet'!M53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Sheet'!B54</f>
        <v>Shobha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Sheet'!D54</f>
        <v>0</v>
      </c>
    </row>
    <row r="5" spans="1:2" s="8" customFormat="1" ht="19.899999999999999" customHeight="1" x14ac:dyDescent="0.25">
      <c r="A5" s="7" t="s">
        <v>15</v>
      </c>
      <c r="B5" s="7">
        <f>'Master Sheet'!E54</f>
        <v>500</v>
      </c>
    </row>
    <row r="6" spans="1:2" s="8" customFormat="1" ht="19.899999999999999" customHeight="1" x14ac:dyDescent="0.25">
      <c r="A6" s="7" t="s">
        <v>16</v>
      </c>
      <c r="B6" s="7">
        <f>'Master Sheet'!F54</f>
        <v>0</v>
      </c>
    </row>
    <row r="7" spans="1:2" s="8" customFormat="1" ht="19.899999999999999" customHeight="1" x14ac:dyDescent="0.25">
      <c r="A7" s="7" t="s">
        <v>17</v>
      </c>
      <c r="B7" s="7">
        <f>'Master Sheet'!G54</f>
        <v>500</v>
      </c>
    </row>
    <row r="8" spans="1:2" s="8" customFormat="1" ht="19.899999999999999" customHeight="1" x14ac:dyDescent="0.25">
      <c r="A8" s="7" t="s">
        <v>18</v>
      </c>
      <c r="B8" s="7">
        <f>'Master Sheet'!H54</f>
        <v>0</v>
      </c>
    </row>
    <row r="9" spans="1:2" s="8" customFormat="1" ht="19.899999999999999" customHeight="1" x14ac:dyDescent="0.25">
      <c r="A9" s="7" t="s">
        <v>19</v>
      </c>
      <c r="B9" s="7">
        <f>'Master Sheet'!I54</f>
        <v>0</v>
      </c>
    </row>
    <row r="10" spans="1:2" s="8" customFormat="1" ht="19.899999999999999" customHeight="1" x14ac:dyDescent="0.25">
      <c r="A10" s="7" t="s">
        <v>20</v>
      </c>
      <c r="B10" s="7">
        <f>'Master Sheet'!J54</f>
        <v>0</v>
      </c>
    </row>
    <row r="11" spans="1:2" s="8" customFormat="1" ht="19.899999999999999" customHeight="1" x14ac:dyDescent="0.25">
      <c r="A11" s="7" t="s">
        <v>21</v>
      </c>
      <c r="B11" s="7">
        <f>'Master Sheet'!K54</f>
        <v>0</v>
      </c>
    </row>
    <row r="12" spans="1:2" s="8" customFormat="1" ht="19.899999999999999" customHeight="1" x14ac:dyDescent="0.25">
      <c r="A12" s="7" t="s">
        <v>22</v>
      </c>
      <c r="B12" s="7">
        <f>'Master Sheet'!L54</f>
        <v>0</v>
      </c>
    </row>
    <row r="13" spans="1:2" s="8" customFormat="1" ht="19.899999999999999" customHeight="1" x14ac:dyDescent="0.25">
      <c r="A13" s="7" t="s">
        <v>23</v>
      </c>
      <c r="B13" s="7">
        <f>'Master Sheet'!M54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1000</v>
      </c>
    </row>
    <row r="15" spans="1:2" s="8" customFormat="1" ht="19.899999999999999" customHeight="1" x14ac:dyDescent="0.25">
      <c r="A15" s="7" t="s">
        <v>25</v>
      </c>
      <c r="B15" s="7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Sheet'!B55</f>
        <v>Jayan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Sheet'!D55</f>
        <v>0</v>
      </c>
    </row>
    <row r="5" spans="1:2" s="8" customFormat="1" ht="19.899999999999999" customHeight="1" x14ac:dyDescent="0.25">
      <c r="A5" s="7" t="s">
        <v>15</v>
      </c>
      <c r="B5" s="7">
        <f>'Master Sheet'!E55</f>
        <v>1000</v>
      </c>
    </row>
    <row r="6" spans="1:2" s="8" customFormat="1" ht="19.899999999999999" customHeight="1" x14ac:dyDescent="0.25">
      <c r="A6" s="7" t="s">
        <v>16</v>
      </c>
      <c r="B6" s="7">
        <f>'Master Sheet'!F55</f>
        <v>0</v>
      </c>
    </row>
    <row r="7" spans="1:2" s="8" customFormat="1" ht="19.899999999999999" customHeight="1" x14ac:dyDescent="0.25">
      <c r="A7" s="7" t="s">
        <v>17</v>
      </c>
      <c r="B7" s="7">
        <f>'Master Sheet'!G55</f>
        <v>0</v>
      </c>
    </row>
    <row r="8" spans="1:2" s="8" customFormat="1" ht="19.899999999999999" customHeight="1" x14ac:dyDescent="0.25">
      <c r="A8" s="7" t="s">
        <v>18</v>
      </c>
      <c r="B8" s="7">
        <f>'Master Sheet'!H55</f>
        <v>0</v>
      </c>
    </row>
    <row r="9" spans="1:2" s="8" customFormat="1" ht="19.899999999999999" customHeight="1" x14ac:dyDescent="0.25">
      <c r="A9" s="7" t="s">
        <v>19</v>
      </c>
      <c r="B9" s="7">
        <f>'Master Sheet'!I55</f>
        <v>0</v>
      </c>
    </row>
    <row r="10" spans="1:2" s="8" customFormat="1" ht="19.899999999999999" customHeight="1" x14ac:dyDescent="0.25">
      <c r="A10" s="7" t="s">
        <v>20</v>
      </c>
      <c r="B10" s="7">
        <f>'Master Sheet'!J55</f>
        <v>0</v>
      </c>
    </row>
    <row r="11" spans="1:2" s="8" customFormat="1" ht="19.899999999999999" customHeight="1" x14ac:dyDescent="0.25">
      <c r="A11" s="7" t="s">
        <v>21</v>
      </c>
      <c r="B11" s="7">
        <f>'Master Sheet'!K55</f>
        <v>0</v>
      </c>
    </row>
    <row r="12" spans="1:2" s="8" customFormat="1" ht="19.899999999999999" customHeight="1" x14ac:dyDescent="0.25">
      <c r="A12" s="7" t="s">
        <v>22</v>
      </c>
      <c r="B12" s="7">
        <f>'Master Sheet'!L55</f>
        <v>0</v>
      </c>
    </row>
    <row r="13" spans="1:2" s="8" customFormat="1" ht="19.899999999999999" customHeight="1" x14ac:dyDescent="0.25">
      <c r="A13" s="7" t="s">
        <v>23</v>
      </c>
      <c r="B13" s="7">
        <f>'Master Sheet'!M55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1000</v>
      </c>
    </row>
    <row r="15" spans="1:2" s="8" customFormat="1" ht="19.899999999999999" customHeight="1" x14ac:dyDescent="0.25">
      <c r="A15" s="7" t="s">
        <v>25</v>
      </c>
      <c r="B15" s="7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opLeftCell="A7"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Sheet'!B56</f>
        <v>Anu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Sheet'!D56</f>
        <v>0</v>
      </c>
    </row>
    <row r="5" spans="1:2" s="8" customFormat="1" ht="19.899999999999999" customHeight="1" x14ac:dyDescent="0.25">
      <c r="A5" s="7" t="s">
        <v>15</v>
      </c>
      <c r="B5" s="7">
        <f>'Master Sheet'!E56</f>
        <v>350</v>
      </c>
    </row>
    <row r="6" spans="1:2" s="8" customFormat="1" ht="19.899999999999999" customHeight="1" x14ac:dyDescent="0.25">
      <c r="A6" s="7" t="s">
        <v>16</v>
      </c>
      <c r="B6" s="7">
        <f>'Master Sheet'!F56</f>
        <v>350</v>
      </c>
    </row>
    <row r="7" spans="1:2" s="8" customFormat="1" ht="19.899999999999999" customHeight="1" x14ac:dyDescent="0.25">
      <c r="A7" s="7" t="s">
        <v>17</v>
      </c>
      <c r="B7" s="7">
        <f>'Master Sheet'!G56</f>
        <v>0</v>
      </c>
    </row>
    <row r="8" spans="1:2" s="8" customFormat="1" ht="19.899999999999999" customHeight="1" x14ac:dyDescent="0.25">
      <c r="A8" s="7" t="s">
        <v>18</v>
      </c>
      <c r="B8" s="7">
        <f>'Master Sheet'!H56</f>
        <v>0</v>
      </c>
    </row>
    <row r="9" spans="1:2" s="8" customFormat="1" ht="19.899999999999999" customHeight="1" x14ac:dyDescent="0.25">
      <c r="A9" s="7" t="s">
        <v>19</v>
      </c>
      <c r="B9" s="7">
        <f>'Master Sheet'!I56</f>
        <v>0</v>
      </c>
    </row>
    <row r="10" spans="1:2" s="8" customFormat="1" ht="19.899999999999999" customHeight="1" x14ac:dyDescent="0.25">
      <c r="A10" s="7" t="s">
        <v>20</v>
      </c>
      <c r="B10" s="7">
        <f>'Master Sheet'!J56</f>
        <v>0</v>
      </c>
    </row>
    <row r="11" spans="1:2" s="8" customFormat="1" ht="19.899999999999999" customHeight="1" x14ac:dyDescent="0.25">
      <c r="A11" s="7" t="s">
        <v>21</v>
      </c>
      <c r="B11" s="7">
        <f>'Master Sheet'!K56</f>
        <v>0</v>
      </c>
    </row>
    <row r="12" spans="1:2" s="8" customFormat="1" ht="19.899999999999999" customHeight="1" x14ac:dyDescent="0.25">
      <c r="A12" s="7" t="s">
        <v>22</v>
      </c>
      <c r="B12" s="7">
        <f>'Master Sheet'!L56</f>
        <v>0</v>
      </c>
    </row>
    <row r="13" spans="1:2" s="8" customFormat="1" ht="19.899999999999999" customHeight="1" x14ac:dyDescent="0.25">
      <c r="A13" s="7" t="s">
        <v>23</v>
      </c>
      <c r="B13" s="7">
        <f>'Master Sheet'!M56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700</v>
      </c>
    </row>
    <row r="15" spans="1:2" s="8" customFormat="1" ht="19.899999999999999" customHeight="1" x14ac:dyDescent="0.25">
      <c r="A15" s="7" t="s">
        <v>25</v>
      </c>
      <c r="B15" s="7">
        <f>3500-B14</f>
        <v>2800</v>
      </c>
    </row>
  </sheetData>
  <mergeCells count="1">
    <mergeCell ref="A1:B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Sheet'!B57</f>
        <v>Lillikutty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Sheet'!D57</f>
        <v>0</v>
      </c>
    </row>
    <row r="5" spans="1:2" s="8" customFormat="1" ht="19.899999999999999" customHeight="1" x14ac:dyDescent="0.25">
      <c r="A5" s="7" t="s">
        <v>15</v>
      </c>
      <c r="B5" s="7">
        <f>'Master Sheet'!E57</f>
        <v>350</v>
      </c>
    </row>
    <row r="6" spans="1:2" s="8" customFormat="1" ht="19.899999999999999" customHeight="1" x14ac:dyDescent="0.25">
      <c r="A6" s="7" t="s">
        <v>16</v>
      </c>
      <c r="B6" s="7">
        <f>'Master Sheet'!F57</f>
        <v>0</v>
      </c>
    </row>
    <row r="7" spans="1:2" s="8" customFormat="1" ht="19.899999999999999" customHeight="1" x14ac:dyDescent="0.25">
      <c r="A7" s="7" t="s">
        <v>17</v>
      </c>
      <c r="B7" s="7">
        <f>'Master Sheet'!G57</f>
        <v>0</v>
      </c>
    </row>
    <row r="8" spans="1:2" s="8" customFormat="1" ht="19.899999999999999" customHeight="1" x14ac:dyDescent="0.25">
      <c r="A8" s="7" t="s">
        <v>18</v>
      </c>
      <c r="B8" s="7">
        <f>'Master Sheet'!H57</f>
        <v>0</v>
      </c>
    </row>
    <row r="9" spans="1:2" s="8" customFormat="1" ht="19.899999999999999" customHeight="1" x14ac:dyDescent="0.25">
      <c r="A9" s="7" t="s">
        <v>19</v>
      </c>
      <c r="B9" s="7">
        <f>'Master Sheet'!I57</f>
        <v>0</v>
      </c>
    </row>
    <row r="10" spans="1:2" s="8" customFormat="1" ht="19.899999999999999" customHeight="1" x14ac:dyDescent="0.25">
      <c r="A10" s="7" t="s">
        <v>20</v>
      </c>
      <c r="B10" s="7">
        <f>'Master Sheet'!J57</f>
        <v>0</v>
      </c>
    </row>
    <row r="11" spans="1:2" s="8" customFormat="1" ht="19.899999999999999" customHeight="1" x14ac:dyDescent="0.25">
      <c r="A11" s="7" t="s">
        <v>21</v>
      </c>
      <c r="B11" s="7">
        <f>'Master Sheet'!K57</f>
        <v>0</v>
      </c>
    </row>
    <row r="12" spans="1:2" s="8" customFormat="1" ht="19.899999999999999" customHeight="1" x14ac:dyDescent="0.25">
      <c r="A12" s="7" t="s">
        <v>22</v>
      </c>
      <c r="B12" s="7">
        <f>'Master Sheet'!L57</f>
        <v>0</v>
      </c>
    </row>
    <row r="13" spans="1:2" s="8" customFormat="1" ht="19.899999999999999" customHeight="1" x14ac:dyDescent="0.25">
      <c r="A13" s="7" t="s">
        <v>23</v>
      </c>
      <c r="B13" s="7">
        <f>'Master Sheet'!M57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Sheet'!B58</f>
        <v>Jeena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Sheet'!D58</f>
        <v>0</v>
      </c>
    </row>
    <row r="5" spans="1:2" s="8" customFormat="1" ht="19.899999999999999" customHeight="1" x14ac:dyDescent="0.25">
      <c r="A5" s="7" t="s">
        <v>15</v>
      </c>
      <c r="B5" s="7">
        <f>'Master Sheet'!E58</f>
        <v>0</v>
      </c>
    </row>
    <row r="6" spans="1:2" s="8" customFormat="1" ht="19.899999999999999" customHeight="1" x14ac:dyDescent="0.25">
      <c r="A6" s="7" t="s">
        <v>16</v>
      </c>
      <c r="B6" s="7">
        <f>'Master Sheet'!F58</f>
        <v>0</v>
      </c>
    </row>
    <row r="7" spans="1:2" s="8" customFormat="1" ht="19.899999999999999" customHeight="1" x14ac:dyDescent="0.25">
      <c r="A7" s="7" t="s">
        <v>17</v>
      </c>
      <c r="B7" s="7">
        <f>'Master Sheet'!G58</f>
        <v>300</v>
      </c>
    </row>
    <row r="8" spans="1:2" s="8" customFormat="1" ht="19.899999999999999" customHeight="1" x14ac:dyDescent="0.25">
      <c r="A8" s="7" t="s">
        <v>18</v>
      </c>
      <c r="B8" s="7">
        <f>'Master Sheet'!H58</f>
        <v>0</v>
      </c>
    </row>
    <row r="9" spans="1:2" s="8" customFormat="1" ht="19.899999999999999" customHeight="1" x14ac:dyDescent="0.25">
      <c r="A9" s="7" t="s">
        <v>19</v>
      </c>
      <c r="B9" s="7">
        <f>'Master Sheet'!I58</f>
        <v>0</v>
      </c>
    </row>
    <row r="10" spans="1:2" s="8" customFormat="1" ht="19.899999999999999" customHeight="1" x14ac:dyDescent="0.25">
      <c r="A10" s="7" t="s">
        <v>20</v>
      </c>
      <c r="B10" s="7">
        <f>'Master Sheet'!J58</f>
        <v>0</v>
      </c>
    </row>
    <row r="11" spans="1:2" s="8" customFormat="1" ht="19.899999999999999" customHeight="1" x14ac:dyDescent="0.25">
      <c r="A11" s="7" t="s">
        <v>21</v>
      </c>
      <c r="B11" s="7">
        <f>'Master Sheet'!K58</f>
        <v>0</v>
      </c>
    </row>
    <row r="12" spans="1:2" s="8" customFormat="1" ht="19.899999999999999" customHeight="1" x14ac:dyDescent="0.25">
      <c r="A12" s="7" t="s">
        <v>22</v>
      </c>
      <c r="B12" s="7">
        <f>'Master Sheet'!L58</f>
        <v>0</v>
      </c>
    </row>
    <row r="13" spans="1:2" s="8" customFormat="1" ht="19.899999999999999" customHeight="1" x14ac:dyDescent="0.25">
      <c r="A13" s="7" t="s">
        <v>23</v>
      </c>
      <c r="B13" s="7">
        <f>'Master Sheet'!M58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300</v>
      </c>
    </row>
    <row r="15" spans="1:2" s="8" customFormat="1" ht="19.899999999999999" customHeight="1" x14ac:dyDescent="0.25">
      <c r="A15" s="7" t="s">
        <v>25</v>
      </c>
      <c r="B15" s="7">
        <f>3500-B14</f>
        <v>3200</v>
      </c>
    </row>
  </sheetData>
  <mergeCells count="1">
    <mergeCell ref="A1:B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Sheet'!B59</f>
        <v>Reshma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Sheet'!D59</f>
        <v>400</v>
      </c>
    </row>
    <row r="5" spans="1:2" s="8" customFormat="1" ht="19.899999999999999" customHeight="1" x14ac:dyDescent="0.25">
      <c r="A5" s="7" t="s">
        <v>15</v>
      </c>
      <c r="B5" s="7">
        <f>'Master Sheet'!E59</f>
        <v>0</v>
      </c>
    </row>
    <row r="6" spans="1:2" s="8" customFormat="1" ht="19.899999999999999" customHeight="1" x14ac:dyDescent="0.25">
      <c r="A6" s="7" t="s">
        <v>16</v>
      </c>
      <c r="B6" s="7">
        <f>'Master Sheet'!F59</f>
        <v>0</v>
      </c>
    </row>
    <row r="7" spans="1:2" s="8" customFormat="1" ht="19.899999999999999" customHeight="1" x14ac:dyDescent="0.25">
      <c r="A7" s="7" t="s">
        <v>17</v>
      </c>
      <c r="B7" s="7">
        <f>'Master Sheet'!G59</f>
        <v>0</v>
      </c>
    </row>
    <row r="8" spans="1:2" s="8" customFormat="1" ht="19.899999999999999" customHeight="1" x14ac:dyDescent="0.25">
      <c r="A8" s="7" t="s">
        <v>18</v>
      </c>
      <c r="B8" s="7">
        <f>'Master Sheet'!H59</f>
        <v>0</v>
      </c>
    </row>
    <row r="9" spans="1:2" s="8" customFormat="1" ht="19.899999999999999" customHeight="1" x14ac:dyDescent="0.25">
      <c r="A9" s="7" t="s">
        <v>19</v>
      </c>
      <c r="B9" s="7">
        <f>'Master Sheet'!I59</f>
        <v>0</v>
      </c>
    </row>
    <row r="10" spans="1:2" s="8" customFormat="1" ht="19.899999999999999" customHeight="1" x14ac:dyDescent="0.25">
      <c r="A10" s="7" t="s">
        <v>20</v>
      </c>
      <c r="B10" s="7">
        <f>'Master Sheet'!J59</f>
        <v>0</v>
      </c>
    </row>
    <row r="11" spans="1:2" s="8" customFormat="1" ht="19.899999999999999" customHeight="1" x14ac:dyDescent="0.25">
      <c r="A11" s="7" t="s">
        <v>21</v>
      </c>
      <c r="B11" s="7">
        <f>'Master Sheet'!K59</f>
        <v>0</v>
      </c>
    </row>
    <row r="12" spans="1:2" s="8" customFormat="1" ht="19.899999999999999" customHeight="1" x14ac:dyDescent="0.25">
      <c r="A12" s="7" t="s">
        <v>22</v>
      </c>
      <c r="B12" s="7">
        <f>'Master Sheet'!L59</f>
        <v>0</v>
      </c>
    </row>
    <row r="13" spans="1:2" s="8" customFormat="1" ht="19.899999999999999" customHeight="1" x14ac:dyDescent="0.25">
      <c r="A13" s="7" t="s">
        <v>23</v>
      </c>
      <c r="B13" s="7">
        <f>'Master Sheet'!M59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400</v>
      </c>
    </row>
    <row r="15" spans="1:2" s="8" customFormat="1" ht="19.899999999999999" customHeight="1" x14ac:dyDescent="0.25">
      <c r="A15" s="7" t="s">
        <v>25</v>
      </c>
      <c r="B15" s="7">
        <f>3500-B14</f>
        <v>3100</v>
      </c>
    </row>
  </sheetData>
  <mergeCells count="1">
    <mergeCell ref="A1:B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Sheet'!B60</f>
        <v>Rani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Sheet'!D60</f>
        <v>0</v>
      </c>
    </row>
    <row r="5" spans="1:2" s="8" customFormat="1" ht="19.899999999999999" customHeight="1" x14ac:dyDescent="0.25">
      <c r="A5" s="7" t="s">
        <v>15</v>
      </c>
      <c r="B5" s="7">
        <f>'Master Sheet'!E60</f>
        <v>500</v>
      </c>
    </row>
    <row r="6" spans="1:2" s="8" customFormat="1" ht="19.899999999999999" customHeight="1" x14ac:dyDescent="0.25">
      <c r="A6" s="7" t="s">
        <v>16</v>
      </c>
      <c r="B6" s="7">
        <f>'Master Sheet'!F60</f>
        <v>0</v>
      </c>
    </row>
    <row r="7" spans="1:2" s="8" customFormat="1" ht="19.899999999999999" customHeight="1" x14ac:dyDescent="0.25">
      <c r="A7" s="7" t="s">
        <v>17</v>
      </c>
      <c r="B7" s="7">
        <f>'Master Sheet'!G60</f>
        <v>500</v>
      </c>
    </row>
    <row r="8" spans="1:2" s="8" customFormat="1" ht="19.899999999999999" customHeight="1" x14ac:dyDescent="0.25">
      <c r="A8" s="7" t="s">
        <v>18</v>
      </c>
      <c r="B8" s="7">
        <f>'Master Sheet'!H60</f>
        <v>0</v>
      </c>
    </row>
    <row r="9" spans="1:2" s="8" customFormat="1" ht="19.899999999999999" customHeight="1" x14ac:dyDescent="0.25">
      <c r="A9" s="7" t="s">
        <v>19</v>
      </c>
      <c r="B9" s="7">
        <f>'Master Sheet'!I60</f>
        <v>0</v>
      </c>
    </row>
    <row r="10" spans="1:2" s="8" customFormat="1" ht="19.899999999999999" customHeight="1" x14ac:dyDescent="0.25">
      <c r="A10" s="7" t="s">
        <v>20</v>
      </c>
      <c r="B10" s="7">
        <f>'Master Sheet'!J60</f>
        <v>0</v>
      </c>
    </row>
    <row r="11" spans="1:2" s="8" customFormat="1" ht="19.899999999999999" customHeight="1" x14ac:dyDescent="0.25">
      <c r="A11" s="7" t="s">
        <v>21</v>
      </c>
      <c r="B11" s="7">
        <f>'Master Sheet'!K60</f>
        <v>0</v>
      </c>
    </row>
    <row r="12" spans="1:2" s="8" customFormat="1" ht="19.899999999999999" customHeight="1" x14ac:dyDescent="0.25">
      <c r="A12" s="7" t="s">
        <v>22</v>
      </c>
      <c r="B12" s="7">
        <f>'Master Sheet'!L60</f>
        <v>0</v>
      </c>
    </row>
    <row r="13" spans="1:2" s="8" customFormat="1" ht="19.899999999999999" customHeight="1" x14ac:dyDescent="0.25">
      <c r="A13" s="7" t="s">
        <v>23</v>
      </c>
      <c r="B13" s="7">
        <f>'Master Sheet'!M60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1000</v>
      </c>
    </row>
    <row r="15" spans="1:2" s="8" customFormat="1" ht="19.899999999999999" customHeight="1" x14ac:dyDescent="0.25">
      <c r="A15" s="7" t="s">
        <v>25</v>
      </c>
      <c r="B15" s="7">
        <f>3500-B14</f>
        <v>2500</v>
      </c>
    </row>
  </sheetData>
  <mergeCells count="1">
    <mergeCell ref="A1:B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Sheet'!B61</f>
        <v>Saranya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Sheet'!D61</f>
        <v>0</v>
      </c>
    </row>
    <row r="5" spans="1:2" s="8" customFormat="1" ht="19.899999999999999" customHeight="1" x14ac:dyDescent="0.25">
      <c r="A5" s="7" t="s">
        <v>15</v>
      </c>
      <c r="B5" s="7">
        <f>'Master Sheet'!E61</f>
        <v>0</v>
      </c>
    </row>
    <row r="6" spans="1:2" s="8" customFormat="1" ht="19.899999999999999" customHeight="1" x14ac:dyDescent="0.25">
      <c r="A6" s="7" t="s">
        <v>16</v>
      </c>
      <c r="B6" s="7">
        <f>'Master Sheet'!F61</f>
        <v>0</v>
      </c>
    </row>
    <row r="7" spans="1:2" s="8" customFormat="1" ht="19.899999999999999" customHeight="1" x14ac:dyDescent="0.25">
      <c r="A7" s="7" t="s">
        <v>17</v>
      </c>
      <c r="B7" s="7">
        <f>'Master Sheet'!G61</f>
        <v>500</v>
      </c>
    </row>
    <row r="8" spans="1:2" s="8" customFormat="1" ht="19.899999999999999" customHeight="1" x14ac:dyDescent="0.25">
      <c r="A8" s="7" t="s">
        <v>18</v>
      </c>
      <c r="B8" s="7">
        <f>'Master Sheet'!H61</f>
        <v>0</v>
      </c>
    </row>
    <row r="9" spans="1:2" s="8" customFormat="1" ht="19.899999999999999" customHeight="1" x14ac:dyDescent="0.25">
      <c r="A9" s="7" t="s">
        <v>19</v>
      </c>
      <c r="B9" s="7">
        <f>'Master Sheet'!I61</f>
        <v>0</v>
      </c>
    </row>
    <row r="10" spans="1:2" s="8" customFormat="1" ht="19.899999999999999" customHeight="1" x14ac:dyDescent="0.25">
      <c r="A10" s="7" t="s">
        <v>20</v>
      </c>
      <c r="B10" s="7">
        <f>'Master Sheet'!J61</f>
        <v>0</v>
      </c>
    </row>
    <row r="11" spans="1:2" s="8" customFormat="1" ht="19.899999999999999" customHeight="1" x14ac:dyDescent="0.25">
      <c r="A11" s="7" t="s">
        <v>21</v>
      </c>
      <c r="B11" s="7">
        <f>'Master Sheet'!K61</f>
        <v>0</v>
      </c>
    </row>
    <row r="12" spans="1:2" s="8" customFormat="1" ht="19.899999999999999" customHeight="1" x14ac:dyDescent="0.25">
      <c r="A12" s="7" t="s">
        <v>22</v>
      </c>
      <c r="B12" s="7">
        <f>'Master Sheet'!L61</f>
        <v>0</v>
      </c>
    </row>
    <row r="13" spans="1:2" s="8" customFormat="1" ht="19.899999999999999" customHeight="1" x14ac:dyDescent="0.25">
      <c r="A13" s="7" t="s">
        <v>23</v>
      </c>
      <c r="B13" s="7">
        <f>'Master Sheet'!M61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500</v>
      </c>
    </row>
    <row r="15" spans="1:2" s="8" customFormat="1" ht="19.899999999999999" customHeight="1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Sheet'!B62</f>
        <v>Geethu Renjith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Sheet'!D62</f>
        <v>0</v>
      </c>
    </row>
    <row r="5" spans="1:2" s="8" customFormat="1" ht="19.899999999999999" customHeight="1" x14ac:dyDescent="0.25">
      <c r="A5" s="7" t="s">
        <v>15</v>
      </c>
      <c r="B5" s="7">
        <f>'Master Sheet'!E62</f>
        <v>0</v>
      </c>
    </row>
    <row r="6" spans="1:2" s="8" customFormat="1" ht="19.899999999999999" customHeight="1" x14ac:dyDescent="0.25">
      <c r="A6" s="7" t="s">
        <v>16</v>
      </c>
      <c r="B6" s="7">
        <f>'Master Sheet'!F62</f>
        <v>0</v>
      </c>
    </row>
    <row r="7" spans="1:2" s="8" customFormat="1" ht="19.899999999999999" customHeight="1" x14ac:dyDescent="0.25">
      <c r="A7" s="7" t="s">
        <v>17</v>
      </c>
      <c r="B7" s="7">
        <f>'Master Sheet'!G62</f>
        <v>500</v>
      </c>
    </row>
    <row r="8" spans="1:2" s="8" customFormat="1" ht="19.899999999999999" customHeight="1" x14ac:dyDescent="0.25">
      <c r="A8" s="7" t="s">
        <v>18</v>
      </c>
      <c r="B8" s="7">
        <f>'Master Sheet'!H62</f>
        <v>0</v>
      </c>
    </row>
    <row r="9" spans="1:2" s="8" customFormat="1" ht="19.899999999999999" customHeight="1" x14ac:dyDescent="0.25">
      <c r="A9" s="7" t="s">
        <v>19</v>
      </c>
      <c r="B9" s="7">
        <f>'Master Sheet'!I62</f>
        <v>0</v>
      </c>
    </row>
    <row r="10" spans="1:2" s="8" customFormat="1" ht="19.899999999999999" customHeight="1" x14ac:dyDescent="0.25">
      <c r="A10" s="7" t="s">
        <v>20</v>
      </c>
      <c r="B10" s="7">
        <f>'Master Sheet'!J62</f>
        <v>0</v>
      </c>
    </row>
    <row r="11" spans="1:2" s="8" customFormat="1" ht="19.899999999999999" customHeight="1" x14ac:dyDescent="0.25">
      <c r="A11" s="7" t="s">
        <v>21</v>
      </c>
      <c r="B11" s="7">
        <f>'Master Sheet'!K62</f>
        <v>0</v>
      </c>
    </row>
    <row r="12" spans="1:2" s="8" customFormat="1" ht="19.899999999999999" customHeight="1" x14ac:dyDescent="0.25">
      <c r="A12" s="7" t="s">
        <v>22</v>
      </c>
      <c r="B12" s="7">
        <f>'Master Sheet'!L62</f>
        <v>0</v>
      </c>
    </row>
    <row r="13" spans="1:2" s="8" customFormat="1" ht="19.899999999999999" customHeight="1" x14ac:dyDescent="0.25">
      <c r="A13" s="7" t="s">
        <v>23</v>
      </c>
      <c r="B13" s="7">
        <f>'Master Sheet'!M62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500</v>
      </c>
    </row>
    <row r="15" spans="1:2" s="8" customFormat="1" ht="19.899999999999999" customHeight="1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Sheet'!B63</f>
        <v>Lici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Sheet'!D63</f>
        <v>0</v>
      </c>
    </row>
    <row r="5" spans="1:2" s="8" customFormat="1" ht="19.899999999999999" customHeight="1" x14ac:dyDescent="0.25">
      <c r="A5" s="7" t="s">
        <v>15</v>
      </c>
      <c r="B5" s="7">
        <f>'Master Sheet'!E63</f>
        <v>350</v>
      </c>
    </row>
    <row r="6" spans="1:2" s="8" customFormat="1" ht="19.899999999999999" customHeight="1" x14ac:dyDescent="0.25">
      <c r="A6" s="7" t="s">
        <v>16</v>
      </c>
      <c r="B6" s="7">
        <f>'Master Sheet'!F63</f>
        <v>0</v>
      </c>
    </row>
    <row r="7" spans="1:2" s="8" customFormat="1" ht="19.899999999999999" customHeight="1" x14ac:dyDescent="0.25">
      <c r="A7" s="7" t="s">
        <v>17</v>
      </c>
      <c r="B7" s="7">
        <f>'Master Sheet'!G63</f>
        <v>500</v>
      </c>
    </row>
    <row r="8" spans="1:2" s="8" customFormat="1" ht="19.899999999999999" customHeight="1" x14ac:dyDescent="0.25">
      <c r="A8" s="7" t="s">
        <v>18</v>
      </c>
      <c r="B8" s="7">
        <f>'Master Sheet'!H63</f>
        <v>0</v>
      </c>
    </row>
    <row r="9" spans="1:2" s="8" customFormat="1" ht="19.899999999999999" customHeight="1" x14ac:dyDescent="0.25">
      <c r="A9" s="7" t="s">
        <v>19</v>
      </c>
      <c r="B9" s="7">
        <f>'Master Sheet'!I63</f>
        <v>0</v>
      </c>
    </row>
    <row r="10" spans="1:2" s="8" customFormat="1" ht="19.899999999999999" customHeight="1" x14ac:dyDescent="0.25">
      <c r="A10" s="7" t="s">
        <v>20</v>
      </c>
      <c r="B10" s="7">
        <f>'Master Sheet'!J63</f>
        <v>0</v>
      </c>
    </row>
    <row r="11" spans="1:2" s="8" customFormat="1" ht="19.899999999999999" customHeight="1" x14ac:dyDescent="0.25">
      <c r="A11" s="7" t="s">
        <v>21</v>
      </c>
      <c r="B11" s="7">
        <f>'Master Sheet'!K63</f>
        <v>0</v>
      </c>
    </row>
    <row r="12" spans="1:2" s="8" customFormat="1" ht="19.899999999999999" customHeight="1" x14ac:dyDescent="0.25">
      <c r="A12" s="7" t="s">
        <v>22</v>
      </c>
      <c r="B12" s="7">
        <f>'Master Sheet'!L63</f>
        <v>0</v>
      </c>
    </row>
    <row r="13" spans="1:2" s="8" customFormat="1" ht="19.899999999999999" customHeight="1" x14ac:dyDescent="0.25">
      <c r="A13" s="7" t="s">
        <v>23</v>
      </c>
      <c r="B13" s="7">
        <f>'Master Sheet'!M63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850</v>
      </c>
    </row>
    <row r="15" spans="1:2" s="8" customFormat="1" ht="19.899999999999999" customHeight="1" x14ac:dyDescent="0.25">
      <c r="A15" s="7" t="s">
        <v>25</v>
      </c>
      <c r="B15" s="7">
        <f>3500-B14</f>
        <v>2650</v>
      </c>
    </row>
  </sheetData>
  <mergeCells count="1">
    <mergeCell ref="A1:B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F7" sqref="F7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Sheet'!B64</f>
        <v>Sheeba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Sheet'!D64</f>
        <v>0</v>
      </c>
    </row>
    <row r="5" spans="1:2" s="8" customFormat="1" ht="19.899999999999999" customHeight="1" x14ac:dyDescent="0.25">
      <c r="A5" s="7" t="s">
        <v>15</v>
      </c>
      <c r="B5" s="7">
        <f>'Master Sheet'!E64</f>
        <v>0</v>
      </c>
    </row>
    <row r="6" spans="1:2" s="8" customFormat="1" ht="19.899999999999999" customHeight="1" x14ac:dyDescent="0.25">
      <c r="A6" s="7" t="s">
        <v>16</v>
      </c>
      <c r="B6" s="7">
        <f>'Master Sheet'!F64</f>
        <v>0</v>
      </c>
    </row>
    <row r="7" spans="1:2" s="8" customFormat="1" ht="19.899999999999999" customHeight="1" x14ac:dyDescent="0.25">
      <c r="A7" s="7" t="s">
        <v>17</v>
      </c>
      <c r="B7" s="7">
        <f>'Master Sheet'!G64</f>
        <v>0</v>
      </c>
    </row>
    <row r="8" spans="1:2" s="8" customFormat="1" ht="19.899999999999999" customHeight="1" x14ac:dyDescent="0.25">
      <c r="A8" s="7" t="s">
        <v>18</v>
      </c>
      <c r="B8" s="7">
        <f>'Master Sheet'!H64</f>
        <v>0</v>
      </c>
    </row>
    <row r="9" spans="1:2" s="8" customFormat="1" ht="19.899999999999999" customHeight="1" x14ac:dyDescent="0.25">
      <c r="A9" s="7" t="s">
        <v>19</v>
      </c>
      <c r="B9" s="7">
        <f>'Master Sheet'!I64</f>
        <v>0</v>
      </c>
    </row>
    <row r="10" spans="1:2" s="8" customFormat="1" ht="19.899999999999999" customHeight="1" x14ac:dyDescent="0.25">
      <c r="A10" s="7" t="s">
        <v>20</v>
      </c>
      <c r="B10" s="7">
        <f>'Master Sheet'!J64</f>
        <v>0</v>
      </c>
    </row>
    <row r="11" spans="1:2" s="8" customFormat="1" ht="19.899999999999999" customHeight="1" x14ac:dyDescent="0.25">
      <c r="A11" s="7" t="s">
        <v>21</v>
      </c>
      <c r="B11" s="7">
        <f>'Master Sheet'!K64</f>
        <v>0</v>
      </c>
    </row>
    <row r="12" spans="1:2" s="8" customFormat="1" ht="19.899999999999999" customHeight="1" x14ac:dyDescent="0.25">
      <c r="A12" s="7" t="s">
        <v>22</v>
      </c>
      <c r="B12" s="7">
        <f>'Master Sheet'!L64</f>
        <v>0</v>
      </c>
    </row>
    <row r="13" spans="1:2" s="8" customFormat="1" ht="19.899999999999999" customHeight="1" x14ac:dyDescent="0.25">
      <c r="A13" s="7" t="s">
        <v>23</v>
      </c>
      <c r="B13" s="7">
        <f>'Master Sheet'!M64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Sheet'!B65</f>
        <v>Pramela Rajan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Sheet'!D65</f>
        <v>0</v>
      </c>
    </row>
    <row r="5" spans="1:2" s="8" customFormat="1" ht="19.899999999999999" customHeight="1" x14ac:dyDescent="0.25">
      <c r="A5" s="7" t="s">
        <v>15</v>
      </c>
      <c r="B5" s="7">
        <f>'Master Sheet'!E65</f>
        <v>350</v>
      </c>
    </row>
    <row r="6" spans="1:2" s="8" customFormat="1" ht="19.899999999999999" customHeight="1" x14ac:dyDescent="0.25">
      <c r="A6" s="7" t="s">
        <v>16</v>
      </c>
      <c r="B6" s="7">
        <f>'Master Sheet'!F65</f>
        <v>0</v>
      </c>
    </row>
    <row r="7" spans="1:2" s="8" customFormat="1" ht="19.899999999999999" customHeight="1" x14ac:dyDescent="0.25">
      <c r="A7" s="7" t="s">
        <v>17</v>
      </c>
      <c r="B7" s="7">
        <f>'Master Sheet'!G65</f>
        <v>0</v>
      </c>
    </row>
    <row r="8" spans="1:2" s="8" customFormat="1" ht="19.899999999999999" customHeight="1" x14ac:dyDescent="0.25">
      <c r="A8" s="7" t="s">
        <v>18</v>
      </c>
      <c r="B8" s="7">
        <f>'Master Sheet'!H65</f>
        <v>0</v>
      </c>
    </row>
    <row r="9" spans="1:2" s="8" customFormat="1" ht="19.899999999999999" customHeight="1" x14ac:dyDescent="0.25">
      <c r="A9" s="7" t="s">
        <v>19</v>
      </c>
      <c r="B9" s="7">
        <f>'Master Sheet'!I65</f>
        <v>0</v>
      </c>
    </row>
    <row r="10" spans="1:2" s="8" customFormat="1" ht="19.899999999999999" customHeight="1" x14ac:dyDescent="0.25">
      <c r="A10" s="7" t="s">
        <v>20</v>
      </c>
      <c r="B10" s="7">
        <f>'Master Sheet'!J65</f>
        <v>0</v>
      </c>
    </row>
    <row r="11" spans="1:2" s="8" customFormat="1" ht="19.899999999999999" customHeight="1" x14ac:dyDescent="0.25">
      <c r="A11" s="7" t="s">
        <v>21</v>
      </c>
      <c r="B11" s="7">
        <f>'Master Sheet'!K65</f>
        <v>0</v>
      </c>
    </row>
    <row r="12" spans="1:2" s="8" customFormat="1" ht="19.899999999999999" customHeight="1" x14ac:dyDescent="0.25">
      <c r="A12" s="7" t="s">
        <v>22</v>
      </c>
      <c r="B12" s="7">
        <f>'Master Sheet'!L65</f>
        <v>0</v>
      </c>
    </row>
    <row r="13" spans="1:2" s="8" customFormat="1" ht="19.899999999999999" customHeight="1" x14ac:dyDescent="0.25">
      <c r="A13" s="7" t="s">
        <v>23</v>
      </c>
      <c r="B13" s="7">
        <f>'Master Sheet'!M65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Sheet'!B66</f>
        <v>Jaya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Sheet'!D66</f>
        <v>0</v>
      </c>
    </row>
    <row r="5" spans="1:2" s="8" customFormat="1" ht="19.899999999999999" customHeight="1" x14ac:dyDescent="0.25">
      <c r="A5" s="7" t="s">
        <v>15</v>
      </c>
      <c r="B5" s="7">
        <f>'Master Sheet'!E66</f>
        <v>0</v>
      </c>
    </row>
    <row r="6" spans="1:2" s="8" customFormat="1" ht="19.899999999999999" customHeight="1" x14ac:dyDescent="0.25">
      <c r="A6" s="7" t="s">
        <v>16</v>
      </c>
      <c r="B6" s="7">
        <f>'Master Sheet'!F66</f>
        <v>0</v>
      </c>
    </row>
    <row r="7" spans="1:2" s="8" customFormat="1" ht="19.899999999999999" customHeight="1" x14ac:dyDescent="0.25">
      <c r="A7" s="7" t="s">
        <v>17</v>
      </c>
      <c r="B7" s="7">
        <f>'Master Sheet'!G66</f>
        <v>0</v>
      </c>
    </row>
    <row r="8" spans="1:2" s="8" customFormat="1" ht="19.899999999999999" customHeight="1" x14ac:dyDescent="0.25">
      <c r="A8" s="7" t="s">
        <v>18</v>
      </c>
      <c r="B8" s="7">
        <f>'Master Sheet'!H66</f>
        <v>0</v>
      </c>
    </row>
    <row r="9" spans="1:2" s="8" customFormat="1" ht="19.899999999999999" customHeight="1" x14ac:dyDescent="0.25">
      <c r="A9" s="7" t="s">
        <v>19</v>
      </c>
      <c r="B9" s="7">
        <f>'Master Sheet'!I66</f>
        <v>0</v>
      </c>
    </row>
    <row r="10" spans="1:2" s="8" customFormat="1" ht="19.899999999999999" customHeight="1" x14ac:dyDescent="0.25">
      <c r="A10" s="7" t="s">
        <v>20</v>
      </c>
      <c r="B10" s="7">
        <f>'Master Sheet'!J66</f>
        <v>0</v>
      </c>
    </row>
    <row r="11" spans="1:2" s="8" customFormat="1" ht="19.899999999999999" customHeight="1" x14ac:dyDescent="0.25">
      <c r="A11" s="7" t="s">
        <v>21</v>
      </c>
      <c r="B11" s="7">
        <f>'Master Sheet'!K66</f>
        <v>0</v>
      </c>
    </row>
    <row r="12" spans="1:2" s="8" customFormat="1" ht="19.899999999999999" customHeight="1" x14ac:dyDescent="0.25">
      <c r="A12" s="7" t="s">
        <v>22</v>
      </c>
      <c r="B12" s="7">
        <f>'Master Sheet'!L66</f>
        <v>0</v>
      </c>
    </row>
    <row r="13" spans="1:2" s="8" customFormat="1" ht="19.899999999999999" customHeight="1" x14ac:dyDescent="0.25">
      <c r="A13" s="7" t="s">
        <v>23</v>
      </c>
      <c r="B13" s="7">
        <f>'Master Sheet'!M66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Sheet'!B67</f>
        <v>Maya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Sheet'!D67</f>
        <v>0</v>
      </c>
    </row>
    <row r="5" spans="1:2" s="8" customFormat="1" ht="19.899999999999999" customHeight="1" x14ac:dyDescent="0.25">
      <c r="A5" s="7" t="s">
        <v>15</v>
      </c>
      <c r="B5" s="7">
        <f>'Master Sheet'!E67</f>
        <v>0</v>
      </c>
    </row>
    <row r="6" spans="1:2" s="8" customFormat="1" ht="19.899999999999999" customHeight="1" x14ac:dyDescent="0.25">
      <c r="A6" s="7" t="s">
        <v>16</v>
      </c>
      <c r="B6" s="7">
        <f>'Master Sheet'!F67</f>
        <v>0</v>
      </c>
    </row>
    <row r="7" spans="1:2" s="8" customFormat="1" ht="19.899999999999999" customHeight="1" x14ac:dyDescent="0.25">
      <c r="A7" s="7" t="s">
        <v>17</v>
      </c>
      <c r="B7" s="7">
        <f>'Master Sheet'!G67</f>
        <v>3500</v>
      </c>
    </row>
    <row r="8" spans="1:2" s="8" customFormat="1" ht="19.899999999999999" customHeight="1" x14ac:dyDescent="0.25">
      <c r="A8" s="7" t="s">
        <v>18</v>
      </c>
      <c r="B8" s="7">
        <f>'Master Sheet'!H67</f>
        <v>0</v>
      </c>
    </row>
    <row r="9" spans="1:2" s="8" customFormat="1" ht="19.899999999999999" customHeight="1" x14ac:dyDescent="0.25">
      <c r="A9" s="7" t="s">
        <v>19</v>
      </c>
      <c r="B9" s="7">
        <f>'Master Sheet'!I67</f>
        <v>0</v>
      </c>
    </row>
    <row r="10" spans="1:2" s="8" customFormat="1" ht="19.899999999999999" customHeight="1" x14ac:dyDescent="0.25">
      <c r="A10" s="7" t="s">
        <v>20</v>
      </c>
      <c r="B10" s="7">
        <f>'Master Sheet'!J67</f>
        <v>0</v>
      </c>
    </row>
    <row r="11" spans="1:2" s="8" customFormat="1" ht="19.899999999999999" customHeight="1" x14ac:dyDescent="0.25">
      <c r="A11" s="7" t="s">
        <v>21</v>
      </c>
      <c r="B11" s="7">
        <f>'Master Sheet'!K67</f>
        <v>0</v>
      </c>
    </row>
    <row r="12" spans="1:2" s="8" customFormat="1" ht="19.899999999999999" customHeight="1" x14ac:dyDescent="0.25">
      <c r="A12" s="7" t="s">
        <v>22</v>
      </c>
      <c r="B12" s="7">
        <f>'Master Sheet'!L67</f>
        <v>0</v>
      </c>
    </row>
    <row r="13" spans="1:2" s="8" customFormat="1" ht="19.899999999999999" customHeight="1" x14ac:dyDescent="0.25">
      <c r="A13" s="7" t="s">
        <v>23</v>
      </c>
      <c r="B13" s="7">
        <f>'Master Sheet'!M67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3500</v>
      </c>
    </row>
    <row r="15" spans="1:2" s="8" customFormat="1" ht="19.899999999999999" customHeight="1" x14ac:dyDescent="0.25">
      <c r="A15" s="7" t="s">
        <v>25</v>
      </c>
      <c r="B15" s="7">
        <f>3500-B14</f>
        <v>0</v>
      </c>
    </row>
  </sheetData>
  <mergeCells count="1">
    <mergeCell ref="A1:B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Sheet'!B68</f>
        <v>Renjini Uthaman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Sheet'!D68</f>
        <v>500</v>
      </c>
    </row>
    <row r="5" spans="1:2" s="8" customFormat="1" ht="19.899999999999999" customHeight="1" x14ac:dyDescent="0.25">
      <c r="A5" s="7" t="s">
        <v>15</v>
      </c>
      <c r="B5" s="7">
        <f>'Master Sheet'!E68</f>
        <v>0</v>
      </c>
    </row>
    <row r="6" spans="1:2" s="8" customFormat="1" ht="19.899999999999999" customHeight="1" x14ac:dyDescent="0.25">
      <c r="A6" s="7" t="s">
        <v>16</v>
      </c>
      <c r="B6" s="7">
        <f>'Master Sheet'!F68</f>
        <v>0</v>
      </c>
    </row>
    <row r="7" spans="1:2" s="8" customFormat="1" ht="19.899999999999999" customHeight="1" x14ac:dyDescent="0.25">
      <c r="A7" s="7" t="s">
        <v>17</v>
      </c>
      <c r="B7" s="7">
        <f>'Master Sheet'!G68</f>
        <v>1000</v>
      </c>
    </row>
    <row r="8" spans="1:2" s="8" customFormat="1" ht="19.899999999999999" customHeight="1" x14ac:dyDescent="0.25">
      <c r="A8" s="7" t="s">
        <v>18</v>
      </c>
      <c r="B8" s="7">
        <f>'Master Sheet'!H68</f>
        <v>0</v>
      </c>
    </row>
    <row r="9" spans="1:2" s="8" customFormat="1" ht="19.899999999999999" customHeight="1" x14ac:dyDescent="0.25">
      <c r="A9" s="7" t="s">
        <v>19</v>
      </c>
      <c r="B9" s="7">
        <f>'Master Sheet'!I68</f>
        <v>0</v>
      </c>
    </row>
    <row r="10" spans="1:2" s="8" customFormat="1" ht="19.899999999999999" customHeight="1" x14ac:dyDescent="0.25">
      <c r="A10" s="7" t="s">
        <v>20</v>
      </c>
      <c r="B10" s="7">
        <f>'Master Sheet'!J68</f>
        <v>0</v>
      </c>
    </row>
    <row r="11" spans="1:2" s="8" customFormat="1" ht="19.899999999999999" customHeight="1" x14ac:dyDescent="0.25">
      <c r="A11" s="7" t="s">
        <v>21</v>
      </c>
      <c r="B11" s="7">
        <f>'Master Sheet'!K68</f>
        <v>0</v>
      </c>
    </row>
    <row r="12" spans="1:2" s="8" customFormat="1" ht="19.899999999999999" customHeight="1" x14ac:dyDescent="0.25">
      <c r="A12" s="7" t="s">
        <v>22</v>
      </c>
      <c r="B12" s="7">
        <f>'Master Sheet'!L68</f>
        <v>0</v>
      </c>
    </row>
    <row r="13" spans="1:2" s="8" customFormat="1" ht="19.899999999999999" customHeight="1" x14ac:dyDescent="0.25">
      <c r="A13" s="7" t="s">
        <v>23</v>
      </c>
      <c r="B13" s="7">
        <f>'Master Sheet'!M68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1500</v>
      </c>
    </row>
    <row r="15" spans="1:2" s="8" customFormat="1" ht="19.899999999999999" customHeight="1" x14ac:dyDescent="0.25">
      <c r="A15" s="7" t="s">
        <v>25</v>
      </c>
      <c r="B15" s="7">
        <f>3500-B14</f>
        <v>2000</v>
      </c>
    </row>
  </sheetData>
  <mergeCells count="1">
    <mergeCell ref="A1:B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Sheet'!B69</f>
        <v>Pinky Prasanth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Sheet'!D69</f>
        <v>0</v>
      </c>
    </row>
    <row r="5" spans="1:2" s="8" customFormat="1" ht="19.899999999999999" customHeight="1" x14ac:dyDescent="0.25">
      <c r="A5" s="7" t="s">
        <v>15</v>
      </c>
      <c r="B5" s="7">
        <f>'Master Sheet'!E69</f>
        <v>0</v>
      </c>
    </row>
    <row r="6" spans="1:2" s="8" customFormat="1" ht="19.899999999999999" customHeight="1" x14ac:dyDescent="0.25">
      <c r="A6" s="7" t="s">
        <v>16</v>
      </c>
      <c r="B6" s="7">
        <f>'Master Sheet'!F69</f>
        <v>0</v>
      </c>
    </row>
    <row r="7" spans="1:2" s="8" customFormat="1" ht="19.899999999999999" customHeight="1" x14ac:dyDescent="0.25">
      <c r="A7" s="7" t="s">
        <v>17</v>
      </c>
      <c r="B7" s="7">
        <f>'Master Sheet'!G69</f>
        <v>0</v>
      </c>
    </row>
    <row r="8" spans="1:2" s="8" customFormat="1" ht="19.899999999999999" customHeight="1" x14ac:dyDescent="0.25">
      <c r="A8" s="7" t="s">
        <v>18</v>
      </c>
      <c r="B8" s="7">
        <f>'Master Sheet'!H69</f>
        <v>0</v>
      </c>
    </row>
    <row r="9" spans="1:2" s="8" customFormat="1" ht="19.899999999999999" customHeight="1" x14ac:dyDescent="0.25">
      <c r="A9" s="7" t="s">
        <v>19</v>
      </c>
      <c r="B9" s="7">
        <f>'Master Sheet'!I69</f>
        <v>0</v>
      </c>
    </row>
    <row r="10" spans="1:2" s="8" customFormat="1" ht="19.899999999999999" customHeight="1" x14ac:dyDescent="0.25">
      <c r="A10" s="7" t="s">
        <v>20</v>
      </c>
      <c r="B10" s="7">
        <f>'Master Sheet'!J69</f>
        <v>0</v>
      </c>
    </row>
    <row r="11" spans="1:2" s="8" customFormat="1" ht="19.899999999999999" customHeight="1" x14ac:dyDescent="0.25">
      <c r="A11" s="7" t="s">
        <v>21</v>
      </c>
      <c r="B11" s="7">
        <f>'Master Sheet'!K69</f>
        <v>0</v>
      </c>
    </row>
    <row r="12" spans="1:2" s="8" customFormat="1" ht="19.899999999999999" customHeight="1" x14ac:dyDescent="0.25">
      <c r="A12" s="7" t="s">
        <v>22</v>
      </c>
      <c r="B12" s="7">
        <f>'Master Sheet'!L69</f>
        <v>0</v>
      </c>
    </row>
    <row r="13" spans="1:2" s="8" customFormat="1" ht="19.899999999999999" customHeight="1" x14ac:dyDescent="0.25">
      <c r="A13" s="7" t="s">
        <v>23</v>
      </c>
      <c r="B13" s="7">
        <f>'Master Sheet'!M69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e">
        <f>'Master Sheet'!#REF!</f>
        <v>#REF!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Sheet'!D68</f>
        <v>500</v>
      </c>
    </row>
    <row r="5" spans="1:2" s="8" customFormat="1" ht="19.899999999999999" customHeight="1" x14ac:dyDescent="0.25">
      <c r="A5" s="7" t="s">
        <v>15</v>
      </c>
      <c r="B5" s="7">
        <f>'Master Sheet'!E68</f>
        <v>0</v>
      </c>
    </row>
    <row r="6" spans="1:2" s="8" customFormat="1" ht="19.899999999999999" customHeight="1" x14ac:dyDescent="0.25">
      <c r="A6" s="7" t="s">
        <v>16</v>
      </c>
      <c r="B6" s="7">
        <f>'Master Sheet'!F68</f>
        <v>0</v>
      </c>
    </row>
    <row r="7" spans="1:2" s="8" customFormat="1" ht="19.899999999999999" customHeight="1" x14ac:dyDescent="0.25">
      <c r="A7" s="7" t="s">
        <v>17</v>
      </c>
      <c r="B7" s="7">
        <f>'Master Sheet'!G68</f>
        <v>1000</v>
      </c>
    </row>
    <row r="8" spans="1:2" s="8" customFormat="1" ht="19.899999999999999" customHeight="1" x14ac:dyDescent="0.25">
      <c r="A8" s="7" t="s">
        <v>18</v>
      </c>
      <c r="B8" s="7">
        <f>'Master Sheet'!H68</f>
        <v>0</v>
      </c>
    </row>
    <row r="9" spans="1:2" s="8" customFormat="1" ht="19.899999999999999" customHeight="1" x14ac:dyDescent="0.25">
      <c r="A9" s="7" t="s">
        <v>19</v>
      </c>
      <c r="B9" s="7">
        <f>'Master Sheet'!I68</f>
        <v>0</v>
      </c>
    </row>
    <row r="10" spans="1:2" s="8" customFormat="1" ht="19.899999999999999" customHeight="1" x14ac:dyDescent="0.25">
      <c r="A10" s="7" t="s">
        <v>20</v>
      </c>
      <c r="B10" s="7">
        <f>'Master Sheet'!J68</f>
        <v>0</v>
      </c>
    </row>
    <row r="11" spans="1:2" s="8" customFormat="1" ht="19.899999999999999" customHeight="1" x14ac:dyDescent="0.25">
      <c r="A11" s="7" t="s">
        <v>21</v>
      </c>
      <c r="B11" s="7">
        <f>'Master Sheet'!K68</f>
        <v>0</v>
      </c>
    </row>
    <row r="12" spans="1:2" s="8" customFormat="1" ht="19.899999999999999" customHeight="1" x14ac:dyDescent="0.25">
      <c r="A12" s="7" t="s">
        <v>22</v>
      </c>
      <c r="B12" s="7">
        <f>'Master Sheet'!L68</f>
        <v>0</v>
      </c>
    </row>
    <row r="13" spans="1:2" s="8" customFormat="1" ht="19.899999999999999" customHeight="1" x14ac:dyDescent="0.25">
      <c r="A13" s="7" t="s">
        <v>23</v>
      </c>
      <c r="B13" s="7">
        <f>'Master Sheet'!M68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1500</v>
      </c>
    </row>
    <row r="15" spans="1:2" s="8" customFormat="1" ht="19.899999999999999" customHeight="1" x14ac:dyDescent="0.25">
      <c r="A15" s="7" t="s">
        <v>25</v>
      </c>
      <c r="B15" s="7">
        <f>3500-B14</f>
        <v>2000</v>
      </c>
    </row>
  </sheetData>
  <mergeCells count="1">
    <mergeCell ref="A1:B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Sheet'!B70</f>
        <v>Mini Vennikulam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Sheet'!D70</f>
        <v>350</v>
      </c>
    </row>
    <row r="5" spans="1:2" s="8" customFormat="1" ht="19.899999999999999" customHeight="1" x14ac:dyDescent="0.25">
      <c r="A5" s="7" t="s">
        <v>15</v>
      </c>
      <c r="B5" s="7">
        <f>'Master Sheet'!E70</f>
        <v>350</v>
      </c>
    </row>
    <row r="6" spans="1:2" s="8" customFormat="1" ht="19.899999999999999" customHeight="1" x14ac:dyDescent="0.25">
      <c r="A6" s="7" t="s">
        <v>16</v>
      </c>
      <c r="B6" s="7">
        <f>'Master Sheet'!F70</f>
        <v>350</v>
      </c>
    </row>
    <row r="7" spans="1:2" s="8" customFormat="1" ht="19.899999999999999" customHeight="1" x14ac:dyDescent="0.25">
      <c r="A7" s="7" t="s">
        <v>17</v>
      </c>
      <c r="B7" s="7">
        <f>'Master Sheet'!G70</f>
        <v>0</v>
      </c>
    </row>
    <row r="8" spans="1:2" s="8" customFormat="1" ht="19.899999999999999" customHeight="1" x14ac:dyDescent="0.25">
      <c r="A8" s="7" t="s">
        <v>18</v>
      </c>
      <c r="B8" s="7">
        <f>'Master Sheet'!H70</f>
        <v>0</v>
      </c>
    </row>
    <row r="9" spans="1:2" s="8" customFormat="1" ht="19.899999999999999" customHeight="1" x14ac:dyDescent="0.25">
      <c r="A9" s="7" t="s">
        <v>19</v>
      </c>
      <c r="B9" s="7">
        <f>'Master Sheet'!I70</f>
        <v>0</v>
      </c>
    </row>
    <row r="10" spans="1:2" s="8" customFormat="1" ht="19.899999999999999" customHeight="1" x14ac:dyDescent="0.25">
      <c r="A10" s="7" t="s">
        <v>20</v>
      </c>
      <c r="B10" s="7">
        <f>'Master Sheet'!J70</f>
        <v>0</v>
      </c>
    </row>
    <row r="11" spans="1:2" s="8" customFormat="1" ht="19.899999999999999" customHeight="1" x14ac:dyDescent="0.25">
      <c r="A11" s="7" t="s">
        <v>21</v>
      </c>
      <c r="B11" s="7">
        <f>'Master Sheet'!K70</f>
        <v>0</v>
      </c>
    </row>
    <row r="12" spans="1:2" s="8" customFormat="1" ht="19.899999999999999" customHeight="1" x14ac:dyDescent="0.25">
      <c r="A12" s="7" t="s">
        <v>22</v>
      </c>
      <c r="B12" s="7">
        <f>'Master Sheet'!L70</f>
        <v>0</v>
      </c>
    </row>
    <row r="13" spans="1:2" s="8" customFormat="1" ht="19.899999999999999" customHeight="1" x14ac:dyDescent="0.25">
      <c r="A13" s="7" t="s">
        <v>23</v>
      </c>
      <c r="B13" s="7">
        <f>'Master Sheet'!M70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Sheet'!B71</f>
        <v>Anitha Gopakumar Vennikulam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Sheet'!D71</f>
        <v>350</v>
      </c>
    </row>
    <row r="5" spans="1:2" s="8" customFormat="1" ht="19.899999999999999" customHeight="1" x14ac:dyDescent="0.25">
      <c r="A5" s="7" t="s">
        <v>15</v>
      </c>
      <c r="B5" s="7">
        <f>'Master Sheet'!E71</f>
        <v>350</v>
      </c>
    </row>
    <row r="6" spans="1:2" s="8" customFormat="1" ht="19.899999999999999" customHeight="1" x14ac:dyDescent="0.25">
      <c r="A6" s="7" t="s">
        <v>16</v>
      </c>
      <c r="B6" s="7">
        <f>'Master Sheet'!F71</f>
        <v>350</v>
      </c>
    </row>
    <row r="7" spans="1:2" s="8" customFormat="1" ht="19.899999999999999" customHeight="1" x14ac:dyDescent="0.25">
      <c r="A7" s="7" t="s">
        <v>17</v>
      </c>
      <c r="B7" s="7">
        <f>'Master Sheet'!G71</f>
        <v>350</v>
      </c>
    </row>
    <row r="8" spans="1:2" s="8" customFormat="1" ht="19.899999999999999" customHeight="1" x14ac:dyDescent="0.25">
      <c r="A8" s="7" t="s">
        <v>18</v>
      </c>
      <c r="B8" s="7">
        <f>'Master Sheet'!H71</f>
        <v>0</v>
      </c>
    </row>
    <row r="9" spans="1:2" s="8" customFormat="1" ht="19.899999999999999" customHeight="1" x14ac:dyDescent="0.25">
      <c r="A9" s="7" t="s">
        <v>19</v>
      </c>
      <c r="B9" s="7">
        <f>'Master Sheet'!I71</f>
        <v>0</v>
      </c>
    </row>
    <row r="10" spans="1:2" s="8" customFormat="1" ht="19.899999999999999" customHeight="1" x14ac:dyDescent="0.25">
      <c r="A10" s="7" t="s">
        <v>20</v>
      </c>
      <c r="B10" s="7">
        <f>'Master Sheet'!J71</f>
        <v>0</v>
      </c>
    </row>
    <row r="11" spans="1:2" s="8" customFormat="1" ht="19.899999999999999" customHeight="1" x14ac:dyDescent="0.25">
      <c r="A11" s="7" t="s">
        <v>21</v>
      </c>
      <c r="B11" s="7">
        <f>'Master Sheet'!K71</f>
        <v>0</v>
      </c>
    </row>
    <row r="12" spans="1:2" s="8" customFormat="1" ht="19.899999999999999" customHeight="1" x14ac:dyDescent="0.25">
      <c r="A12" s="7" t="s">
        <v>22</v>
      </c>
      <c r="B12" s="7">
        <f>'Master Sheet'!L71</f>
        <v>0</v>
      </c>
    </row>
    <row r="13" spans="1:2" s="8" customFormat="1" ht="19.899999999999999" customHeight="1" x14ac:dyDescent="0.25">
      <c r="A13" s="7" t="s">
        <v>23</v>
      </c>
      <c r="B13" s="7">
        <f>'Master Sheet'!M71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I11" sqref="I11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Sheet'!B72</f>
        <v>Vidya Susanth Vennikulam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Sheet'!D72</f>
        <v>350</v>
      </c>
    </row>
    <row r="5" spans="1:2" s="8" customFormat="1" ht="19.899999999999999" customHeight="1" x14ac:dyDescent="0.25">
      <c r="A5" s="7" t="s">
        <v>15</v>
      </c>
      <c r="B5" s="7">
        <f>'Master Sheet'!E72</f>
        <v>350</v>
      </c>
    </row>
    <row r="6" spans="1:2" s="8" customFormat="1" ht="19.899999999999999" customHeight="1" x14ac:dyDescent="0.25">
      <c r="A6" s="7" t="s">
        <v>16</v>
      </c>
      <c r="B6" s="7">
        <f>'Master Sheet'!F72</f>
        <v>350</v>
      </c>
    </row>
    <row r="7" spans="1:2" s="8" customFormat="1" ht="19.899999999999999" customHeight="1" x14ac:dyDescent="0.25">
      <c r="A7" s="7" t="s">
        <v>17</v>
      </c>
      <c r="B7" s="7">
        <f>'Master Sheet'!G72</f>
        <v>350</v>
      </c>
    </row>
    <row r="8" spans="1:2" s="8" customFormat="1" ht="19.899999999999999" customHeight="1" x14ac:dyDescent="0.25">
      <c r="A8" s="7" t="s">
        <v>18</v>
      </c>
      <c r="B8" s="7">
        <f>'Master Sheet'!H72</f>
        <v>0</v>
      </c>
    </row>
    <row r="9" spans="1:2" s="8" customFormat="1" ht="19.899999999999999" customHeight="1" x14ac:dyDescent="0.25">
      <c r="A9" s="7" t="s">
        <v>19</v>
      </c>
      <c r="B9" s="7">
        <f>'Master Sheet'!I72</f>
        <v>0</v>
      </c>
    </row>
    <row r="10" spans="1:2" s="8" customFormat="1" ht="19.899999999999999" customHeight="1" x14ac:dyDescent="0.25">
      <c r="A10" s="7" t="s">
        <v>20</v>
      </c>
      <c r="B10" s="7">
        <f>'Master Sheet'!J72</f>
        <v>0</v>
      </c>
    </row>
    <row r="11" spans="1:2" s="8" customFormat="1" ht="19.899999999999999" customHeight="1" x14ac:dyDescent="0.25">
      <c r="A11" s="7" t="s">
        <v>21</v>
      </c>
      <c r="B11" s="7">
        <f>'Master Sheet'!K72</f>
        <v>0</v>
      </c>
    </row>
    <row r="12" spans="1:2" s="8" customFormat="1" ht="19.899999999999999" customHeight="1" x14ac:dyDescent="0.25">
      <c r="A12" s="7" t="s">
        <v>22</v>
      </c>
      <c r="B12" s="7">
        <f>'Master Sheet'!L72</f>
        <v>0</v>
      </c>
    </row>
    <row r="13" spans="1:2" s="8" customFormat="1" ht="19.899999999999999" customHeight="1" x14ac:dyDescent="0.25">
      <c r="A13" s="7" t="s">
        <v>23</v>
      </c>
      <c r="B13" s="7">
        <f>'Master Sheet'!M72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Sheet'!B73</f>
        <v>Indra Vennikulam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Sheet'!D73</f>
        <v>350</v>
      </c>
    </row>
    <row r="5" spans="1:2" s="8" customFormat="1" ht="19.899999999999999" customHeight="1" x14ac:dyDescent="0.25">
      <c r="A5" s="7" t="s">
        <v>15</v>
      </c>
      <c r="B5" s="7">
        <f>'Master Sheet'!E73</f>
        <v>500</v>
      </c>
    </row>
    <row r="6" spans="1:2" s="8" customFormat="1" ht="19.899999999999999" customHeight="1" x14ac:dyDescent="0.25">
      <c r="A6" s="7" t="s">
        <v>16</v>
      </c>
      <c r="B6" s="7">
        <f>'Master Sheet'!F73</f>
        <v>500</v>
      </c>
    </row>
    <row r="7" spans="1:2" s="8" customFormat="1" ht="19.899999999999999" customHeight="1" x14ac:dyDescent="0.25">
      <c r="A7" s="7" t="s">
        <v>17</v>
      </c>
      <c r="B7" s="7">
        <f>'Master Sheet'!G73</f>
        <v>0</v>
      </c>
    </row>
    <row r="8" spans="1:2" s="8" customFormat="1" ht="19.899999999999999" customHeight="1" x14ac:dyDescent="0.25">
      <c r="A8" s="7" t="s">
        <v>18</v>
      </c>
      <c r="B8" s="7">
        <f>'Master Sheet'!H73</f>
        <v>0</v>
      </c>
    </row>
    <row r="9" spans="1:2" s="8" customFormat="1" ht="19.899999999999999" customHeight="1" x14ac:dyDescent="0.25">
      <c r="A9" s="7" t="s">
        <v>19</v>
      </c>
      <c r="B9" s="7">
        <f>'Master Sheet'!I73</f>
        <v>0</v>
      </c>
    </row>
    <row r="10" spans="1:2" s="8" customFormat="1" ht="19.899999999999999" customHeight="1" x14ac:dyDescent="0.25">
      <c r="A10" s="7" t="s">
        <v>20</v>
      </c>
      <c r="B10" s="7">
        <f>'Master Sheet'!J73</f>
        <v>0</v>
      </c>
    </row>
    <row r="11" spans="1:2" s="8" customFormat="1" ht="19.899999999999999" customHeight="1" x14ac:dyDescent="0.25">
      <c r="A11" s="7" t="s">
        <v>21</v>
      </c>
      <c r="B11" s="7">
        <f>'Master Sheet'!K73</f>
        <v>0</v>
      </c>
    </row>
    <row r="12" spans="1:2" s="8" customFormat="1" ht="19.899999999999999" customHeight="1" x14ac:dyDescent="0.25">
      <c r="A12" s="7" t="s">
        <v>22</v>
      </c>
      <c r="B12" s="7">
        <f>'Master Sheet'!L73</f>
        <v>0</v>
      </c>
    </row>
    <row r="13" spans="1:2" s="8" customFormat="1" ht="19.899999999999999" customHeight="1" x14ac:dyDescent="0.25">
      <c r="A13" s="7" t="s">
        <v>23</v>
      </c>
      <c r="B13" s="7">
        <f>'Master Sheet'!M73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1350</v>
      </c>
    </row>
    <row r="15" spans="1:2" s="8" customFormat="1" ht="19.899999999999999" customHeight="1" x14ac:dyDescent="0.25">
      <c r="A15" s="7" t="s">
        <v>25</v>
      </c>
      <c r="B15" s="7">
        <f>3500-B14</f>
        <v>2150</v>
      </c>
    </row>
  </sheetData>
  <mergeCells count="1">
    <mergeCell ref="A1:B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Sheet'!B74</f>
        <v>Santhosh Vennikulam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Sheet'!D74</f>
        <v>350</v>
      </c>
    </row>
    <row r="5" spans="1:2" s="8" customFormat="1" ht="19.899999999999999" customHeight="1" x14ac:dyDescent="0.25">
      <c r="A5" s="7" t="s">
        <v>15</v>
      </c>
      <c r="B5" s="7">
        <f>'Master Sheet'!E74</f>
        <v>350</v>
      </c>
    </row>
    <row r="6" spans="1:2" s="8" customFormat="1" ht="19.899999999999999" customHeight="1" x14ac:dyDescent="0.25">
      <c r="A6" s="7" t="s">
        <v>16</v>
      </c>
      <c r="B6" s="7">
        <f>'Master Sheet'!F74</f>
        <v>350</v>
      </c>
    </row>
    <row r="7" spans="1:2" s="8" customFormat="1" ht="19.899999999999999" customHeight="1" x14ac:dyDescent="0.25">
      <c r="A7" s="7" t="s">
        <v>17</v>
      </c>
      <c r="B7" s="7">
        <f>'Master Sheet'!G74</f>
        <v>350</v>
      </c>
    </row>
    <row r="8" spans="1:2" s="8" customFormat="1" ht="19.899999999999999" customHeight="1" x14ac:dyDescent="0.25">
      <c r="A8" s="7" t="s">
        <v>18</v>
      </c>
      <c r="B8" s="7">
        <f>'Master Sheet'!H74</f>
        <v>0</v>
      </c>
    </row>
    <row r="9" spans="1:2" s="8" customFormat="1" ht="19.899999999999999" customHeight="1" x14ac:dyDescent="0.25">
      <c r="A9" s="7" t="s">
        <v>19</v>
      </c>
      <c r="B9" s="7">
        <f>'Master Sheet'!I74</f>
        <v>0</v>
      </c>
    </row>
    <row r="10" spans="1:2" s="8" customFormat="1" ht="19.899999999999999" customHeight="1" x14ac:dyDescent="0.25">
      <c r="A10" s="7" t="s">
        <v>20</v>
      </c>
      <c r="B10" s="7">
        <f>'Master Sheet'!J74</f>
        <v>0</v>
      </c>
    </row>
    <row r="11" spans="1:2" s="8" customFormat="1" ht="19.899999999999999" customHeight="1" x14ac:dyDescent="0.25">
      <c r="A11" s="7" t="s">
        <v>21</v>
      </c>
      <c r="B11" s="7">
        <f>'Master Sheet'!K74</f>
        <v>0</v>
      </c>
    </row>
    <row r="12" spans="1:2" s="8" customFormat="1" ht="19.899999999999999" customHeight="1" x14ac:dyDescent="0.25">
      <c r="A12" s="7" t="s">
        <v>22</v>
      </c>
      <c r="B12" s="7">
        <f>'Master Sheet'!L74</f>
        <v>0</v>
      </c>
    </row>
    <row r="13" spans="1:2" s="8" customFormat="1" ht="19.899999999999999" customHeight="1" x14ac:dyDescent="0.25">
      <c r="A13" s="7" t="s">
        <v>23</v>
      </c>
      <c r="B13" s="7">
        <f>'Master Sheet'!M74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Sheet'!B75</f>
        <v>Anitha Ravikumar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Sheet'!D75</f>
        <v>350</v>
      </c>
    </row>
    <row r="5" spans="1:2" s="8" customFormat="1" ht="19.899999999999999" customHeight="1" x14ac:dyDescent="0.25">
      <c r="A5" s="7" t="s">
        <v>15</v>
      </c>
      <c r="B5" s="7">
        <f>'Master Sheet'!E75</f>
        <v>350</v>
      </c>
    </row>
    <row r="6" spans="1:2" s="8" customFormat="1" ht="19.899999999999999" customHeight="1" x14ac:dyDescent="0.25">
      <c r="A6" s="7" t="s">
        <v>16</v>
      </c>
      <c r="B6" s="7">
        <f>'Master Sheet'!F75</f>
        <v>350</v>
      </c>
    </row>
    <row r="7" spans="1:2" s="8" customFormat="1" ht="19.899999999999999" customHeight="1" x14ac:dyDescent="0.25">
      <c r="A7" s="7" t="s">
        <v>17</v>
      </c>
      <c r="B7" s="7">
        <f>'Master Sheet'!G75</f>
        <v>350</v>
      </c>
    </row>
    <row r="8" spans="1:2" s="8" customFormat="1" ht="19.899999999999999" customHeight="1" x14ac:dyDescent="0.25">
      <c r="A8" s="7" t="s">
        <v>18</v>
      </c>
      <c r="B8" s="7">
        <f>'Master Sheet'!H75</f>
        <v>0</v>
      </c>
    </row>
    <row r="9" spans="1:2" s="8" customFormat="1" ht="19.899999999999999" customHeight="1" x14ac:dyDescent="0.25">
      <c r="A9" s="7" t="s">
        <v>19</v>
      </c>
      <c r="B9" s="7">
        <f>'Master Sheet'!I75</f>
        <v>0</v>
      </c>
    </row>
    <row r="10" spans="1:2" s="8" customFormat="1" ht="19.899999999999999" customHeight="1" x14ac:dyDescent="0.25">
      <c r="A10" s="7" t="s">
        <v>20</v>
      </c>
      <c r="B10" s="7">
        <f>'Master Sheet'!J75</f>
        <v>0</v>
      </c>
    </row>
    <row r="11" spans="1:2" s="8" customFormat="1" ht="19.899999999999999" customHeight="1" x14ac:dyDescent="0.25">
      <c r="A11" s="7" t="s">
        <v>21</v>
      </c>
      <c r="B11" s="7">
        <f>'Master Sheet'!K75</f>
        <v>0</v>
      </c>
    </row>
    <row r="12" spans="1:2" s="8" customFormat="1" ht="19.899999999999999" customHeight="1" x14ac:dyDescent="0.25">
      <c r="A12" s="7" t="s">
        <v>22</v>
      </c>
      <c r="B12" s="7">
        <f>'Master Sheet'!L75</f>
        <v>0</v>
      </c>
    </row>
    <row r="13" spans="1:2" s="8" customFormat="1" ht="19.899999999999999" customHeight="1" x14ac:dyDescent="0.25">
      <c r="A13" s="7" t="s">
        <v>23</v>
      </c>
      <c r="B13" s="7">
        <f>'Master Sheet'!M75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Sheet'!B76</f>
        <v>Anil vp Vellara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Sheet'!D76</f>
        <v>350</v>
      </c>
    </row>
    <row r="5" spans="1:2" s="8" customFormat="1" ht="19.899999999999999" customHeight="1" x14ac:dyDescent="0.25">
      <c r="A5" s="7" t="s">
        <v>15</v>
      </c>
      <c r="B5" s="7">
        <f>'Master Sheet'!E76</f>
        <v>350</v>
      </c>
    </row>
    <row r="6" spans="1:2" s="8" customFormat="1" ht="19.899999999999999" customHeight="1" x14ac:dyDescent="0.25">
      <c r="A6" s="7" t="s">
        <v>16</v>
      </c>
      <c r="B6" s="7">
        <f>'Master Sheet'!F76</f>
        <v>350</v>
      </c>
    </row>
    <row r="7" spans="1:2" s="8" customFormat="1" ht="19.899999999999999" customHeight="1" x14ac:dyDescent="0.25">
      <c r="A7" s="7" t="s">
        <v>17</v>
      </c>
      <c r="B7" s="7">
        <f>'Master Sheet'!G76</f>
        <v>350</v>
      </c>
    </row>
    <row r="8" spans="1:2" s="8" customFormat="1" ht="19.899999999999999" customHeight="1" x14ac:dyDescent="0.25">
      <c r="A8" s="7" t="s">
        <v>18</v>
      </c>
      <c r="B8" s="7">
        <f>'Master Sheet'!H76</f>
        <v>0</v>
      </c>
    </row>
    <row r="9" spans="1:2" s="8" customFormat="1" ht="19.899999999999999" customHeight="1" x14ac:dyDescent="0.25">
      <c r="A9" s="7" t="s">
        <v>19</v>
      </c>
      <c r="B9" s="7">
        <f>'Master Sheet'!I76</f>
        <v>0</v>
      </c>
    </row>
    <row r="10" spans="1:2" s="8" customFormat="1" ht="19.899999999999999" customHeight="1" x14ac:dyDescent="0.25">
      <c r="A10" s="7" t="s">
        <v>20</v>
      </c>
      <c r="B10" s="7">
        <f>'Master Sheet'!J76</f>
        <v>0</v>
      </c>
    </row>
    <row r="11" spans="1:2" s="8" customFormat="1" ht="19.899999999999999" customHeight="1" x14ac:dyDescent="0.25">
      <c r="A11" s="7" t="s">
        <v>21</v>
      </c>
      <c r="B11" s="7">
        <f>'Master Sheet'!K76</f>
        <v>0</v>
      </c>
    </row>
    <row r="12" spans="1:2" s="8" customFormat="1" ht="19.899999999999999" customHeight="1" x14ac:dyDescent="0.25">
      <c r="A12" s="7" t="s">
        <v>22</v>
      </c>
      <c r="B12" s="7">
        <f>'Master Sheet'!L76</f>
        <v>0</v>
      </c>
    </row>
    <row r="13" spans="1:2" s="8" customFormat="1" ht="19.899999999999999" customHeight="1" x14ac:dyDescent="0.25">
      <c r="A13" s="7" t="s">
        <v>23</v>
      </c>
      <c r="B13" s="7">
        <f>'Master Sheet'!M76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Sheet'!B77</f>
        <v>Drishya Vellara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Sheet'!D77</f>
        <v>350</v>
      </c>
    </row>
    <row r="5" spans="1:2" s="8" customFormat="1" ht="19.899999999999999" customHeight="1" x14ac:dyDescent="0.25">
      <c r="A5" s="7" t="s">
        <v>15</v>
      </c>
      <c r="B5" s="7">
        <f>'Master Sheet'!E77</f>
        <v>350</v>
      </c>
    </row>
    <row r="6" spans="1:2" s="8" customFormat="1" ht="19.899999999999999" customHeight="1" x14ac:dyDescent="0.25">
      <c r="A6" s="7" t="s">
        <v>16</v>
      </c>
      <c r="B6" s="7">
        <f>'Master Sheet'!F77</f>
        <v>350</v>
      </c>
    </row>
    <row r="7" spans="1:2" s="8" customFormat="1" ht="19.899999999999999" customHeight="1" x14ac:dyDescent="0.25">
      <c r="A7" s="7" t="s">
        <v>17</v>
      </c>
      <c r="B7" s="7">
        <f>'Master Sheet'!G77</f>
        <v>200</v>
      </c>
    </row>
    <row r="8" spans="1:2" s="8" customFormat="1" ht="19.899999999999999" customHeight="1" x14ac:dyDescent="0.25">
      <c r="A8" s="7" t="s">
        <v>18</v>
      </c>
      <c r="B8" s="7">
        <f>'Master Sheet'!H77</f>
        <v>0</v>
      </c>
    </row>
    <row r="9" spans="1:2" s="8" customFormat="1" ht="19.899999999999999" customHeight="1" x14ac:dyDescent="0.25">
      <c r="A9" s="7" t="s">
        <v>19</v>
      </c>
      <c r="B9" s="7">
        <f>'Master Sheet'!I77</f>
        <v>0</v>
      </c>
    </row>
    <row r="10" spans="1:2" s="8" customFormat="1" ht="19.899999999999999" customHeight="1" x14ac:dyDescent="0.25">
      <c r="A10" s="7" t="s">
        <v>20</v>
      </c>
      <c r="B10" s="7">
        <f>'Master Sheet'!J77</f>
        <v>0</v>
      </c>
    </row>
    <row r="11" spans="1:2" s="8" customFormat="1" ht="19.899999999999999" customHeight="1" x14ac:dyDescent="0.25">
      <c r="A11" s="7" t="s">
        <v>21</v>
      </c>
      <c r="B11" s="7">
        <f>'Master Sheet'!K77</f>
        <v>0</v>
      </c>
    </row>
    <row r="12" spans="1:2" s="8" customFormat="1" ht="19.899999999999999" customHeight="1" x14ac:dyDescent="0.25">
      <c r="A12" s="7" t="s">
        <v>22</v>
      </c>
      <c r="B12" s="7">
        <f>'Master Sheet'!L77</f>
        <v>0</v>
      </c>
    </row>
    <row r="13" spans="1:2" s="8" customFormat="1" ht="19.899999999999999" customHeight="1" x14ac:dyDescent="0.25">
      <c r="A13" s="7" t="s">
        <v>23</v>
      </c>
      <c r="B13" s="7">
        <f>'Master Sheet'!M77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1250</v>
      </c>
    </row>
    <row r="15" spans="1:2" s="8" customFormat="1" ht="19.899999999999999" customHeight="1" x14ac:dyDescent="0.25">
      <c r="A15" s="7" t="s">
        <v>25</v>
      </c>
      <c r="B15" s="7">
        <f>3500-B14</f>
        <v>2250</v>
      </c>
    </row>
  </sheetData>
  <mergeCells count="1">
    <mergeCell ref="A1:B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Sheet'!B78</f>
        <v>Ambika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Sheet'!D78</f>
        <v>0</v>
      </c>
    </row>
    <row r="5" spans="1:2" s="8" customFormat="1" ht="19.899999999999999" customHeight="1" x14ac:dyDescent="0.25">
      <c r="A5" s="7" t="s">
        <v>15</v>
      </c>
      <c r="B5" s="7">
        <f>'Master Sheet'!E78</f>
        <v>350</v>
      </c>
    </row>
    <row r="6" spans="1:2" s="8" customFormat="1" ht="19.899999999999999" customHeight="1" x14ac:dyDescent="0.25">
      <c r="A6" s="7" t="s">
        <v>16</v>
      </c>
      <c r="B6" s="7">
        <f>'Master Sheet'!F78</f>
        <v>0</v>
      </c>
    </row>
    <row r="7" spans="1:2" s="8" customFormat="1" ht="19.899999999999999" customHeight="1" x14ac:dyDescent="0.25">
      <c r="A7" s="7" t="s">
        <v>17</v>
      </c>
      <c r="B7" s="7">
        <f>'Master Sheet'!G78</f>
        <v>0</v>
      </c>
    </row>
    <row r="8" spans="1:2" s="8" customFormat="1" ht="19.899999999999999" customHeight="1" x14ac:dyDescent="0.25">
      <c r="A8" s="7" t="s">
        <v>18</v>
      </c>
      <c r="B8" s="7">
        <f>'Master Sheet'!H78</f>
        <v>0</v>
      </c>
    </row>
    <row r="9" spans="1:2" s="8" customFormat="1" ht="19.899999999999999" customHeight="1" x14ac:dyDescent="0.25">
      <c r="A9" s="7" t="s">
        <v>19</v>
      </c>
      <c r="B9" s="7">
        <f>'Master Sheet'!I78</f>
        <v>0</v>
      </c>
    </row>
    <row r="10" spans="1:2" s="8" customFormat="1" ht="19.899999999999999" customHeight="1" x14ac:dyDescent="0.25">
      <c r="A10" s="7" t="s">
        <v>20</v>
      </c>
      <c r="B10" s="7">
        <f>'Master Sheet'!J78</f>
        <v>0</v>
      </c>
    </row>
    <row r="11" spans="1:2" s="8" customFormat="1" ht="19.899999999999999" customHeight="1" x14ac:dyDescent="0.25">
      <c r="A11" s="7" t="s">
        <v>21</v>
      </c>
      <c r="B11" s="7">
        <f>'Master Sheet'!K78</f>
        <v>0</v>
      </c>
    </row>
    <row r="12" spans="1:2" s="8" customFormat="1" ht="19.899999999999999" customHeight="1" x14ac:dyDescent="0.25">
      <c r="A12" s="7" t="s">
        <v>22</v>
      </c>
      <c r="B12" s="7">
        <f>'Master Sheet'!L78</f>
        <v>0</v>
      </c>
    </row>
    <row r="13" spans="1:2" s="8" customFormat="1" ht="19.899999999999999" customHeight="1" x14ac:dyDescent="0.25">
      <c r="A13" s="7" t="s">
        <v>23</v>
      </c>
      <c r="B13" s="7">
        <f>'Master Sheet'!M78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Sheet'!B79</f>
        <v>Veena Satheesh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Sheet'!D79</f>
        <v>0</v>
      </c>
    </row>
    <row r="5" spans="1:2" s="8" customFormat="1" ht="19.899999999999999" customHeight="1" x14ac:dyDescent="0.25">
      <c r="A5" s="7" t="s">
        <v>15</v>
      </c>
      <c r="B5" s="7">
        <f>'Master Sheet'!E79</f>
        <v>0</v>
      </c>
    </row>
    <row r="6" spans="1:2" s="8" customFormat="1" ht="19.899999999999999" customHeight="1" x14ac:dyDescent="0.25">
      <c r="A6" s="7" t="s">
        <v>16</v>
      </c>
      <c r="B6" s="7">
        <f>'Master Sheet'!F79</f>
        <v>0</v>
      </c>
    </row>
    <row r="7" spans="1:2" s="8" customFormat="1" ht="19.899999999999999" customHeight="1" x14ac:dyDescent="0.25">
      <c r="A7" s="7" t="s">
        <v>17</v>
      </c>
      <c r="B7" s="7">
        <f>'Master Sheet'!G79</f>
        <v>0</v>
      </c>
    </row>
    <row r="8" spans="1:2" s="8" customFormat="1" ht="19.899999999999999" customHeight="1" x14ac:dyDescent="0.25">
      <c r="A8" s="7" t="s">
        <v>18</v>
      </c>
      <c r="B8" s="7">
        <f>'Master Sheet'!H79</f>
        <v>0</v>
      </c>
    </row>
    <row r="9" spans="1:2" s="8" customFormat="1" ht="19.899999999999999" customHeight="1" x14ac:dyDescent="0.25">
      <c r="A9" s="7" t="s">
        <v>19</v>
      </c>
      <c r="B9" s="7">
        <f>'Master Sheet'!I79</f>
        <v>0</v>
      </c>
    </row>
    <row r="10" spans="1:2" s="8" customFormat="1" ht="19.899999999999999" customHeight="1" x14ac:dyDescent="0.25">
      <c r="A10" s="7" t="s">
        <v>20</v>
      </c>
      <c r="B10" s="7">
        <f>'Master Sheet'!J79</f>
        <v>0</v>
      </c>
    </row>
    <row r="11" spans="1:2" s="8" customFormat="1" ht="19.899999999999999" customHeight="1" x14ac:dyDescent="0.25">
      <c r="A11" s="7" t="s">
        <v>21</v>
      </c>
      <c r="B11" s="7">
        <f>'Master Sheet'!K79</f>
        <v>0</v>
      </c>
    </row>
    <row r="12" spans="1:2" s="8" customFormat="1" ht="19.899999999999999" customHeight="1" x14ac:dyDescent="0.25">
      <c r="A12" s="7" t="s">
        <v>22</v>
      </c>
      <c r="B12" s="7">
        <f>'Master Sheet'!L79</f>
        <v>0</v>
      </c>
    </row>
    <row r="13" spans="1:2" s="8" customFormat="1" ht="19.899999999999999" customHeight="1" x14ac:dyDescent="0.25">
      <c r="A13" s="7" t="s">
        <v>23</v>
      </c>
      <c r="B13" s="7">
        <f>'Master Sheet'!M79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Sheet'!B80</f>
        <v>P.G Vijayan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Sheet'!D80</f>
        <v>0</v>
      </c>
    </row>
    <row r="5" spans="1:2" s="8" customFormat="1" ht="19.899999999999999" customHeight="1" x14ac:dyDescent="0.25">
      <c r="A5" s="7" t="s">
        <v>15</v>
      </c>
      <c r="B5" s="7">
        <f>'Master Sheet'!E80</f>
        <v>0</v>
      </c>
    </row>
    <row r="6" spans="1:2" s="8" customFormat="1" ht="19.899999999999999" customHeight="1" x14ac:dyDescent="0.25">
      <c r="A6" s="7" t="s">
        <v>16</v>
      </c>
      <c r="B6" s="7">
        <f>'Master Sheet'!F80</f>
        <v>0</v>
      </c>
    </row>
    <row r="7" spans="1:2" s="8" customFormat="1" ht="19.899999999999999" customHeight="1" x14ac:dyDescent="0.25">
      <c r="A7" s="7" t="s">
        <v>17</v>
      </c>
      <c r="B7" s="7">
        <f>'Master Sheet'!G80</f>
        <v>0</v>
      </c>
    </row>
    <row r="8" spans="1:2" s="8" customFormat="1" ht="19.899999999999999" customHeight="1" x14ac:dyDescent="0.25">
      <c r="A8" s="7" t="s">
        <v>18</v>
      </c>
      <c r="B8" s="7">
        <f>'Master Sheet'!H80</f>
        <v>0</v>
      </c>
    </row>
    <row r="9" spans="1:2" s="8" customFormat="1" ht="19.899999999999999" customHeight="1" x14ac:dyDescent="0.25">
      <c r="A9" s="7" t="s">
        <v>19</v>
      </c>
      <c r="B9" s="7">
        <f>'Master Sheet'!I80</f>
        <v>0</v>
      </c>
    </row>
    <row r="10" spans="1:2" s="8" customFormat="1" ht="19.899999999999999" customHeight="1" x14ac:dyDescent="0.25">
      <c r="A10" s="7" t="s">
        <v>20</v>
      </c>
      <c r="B10" s="7">
        <f>'Master Sheet'!J80</f>
        <v>0</v>
      </c>
    </row>
    <row r="11" spans="1:2" s="8" customFormat="1" ht="19.899999999999999" customHeight="1" x14ac:dyDescent="0.25">
      <c r="A11" s="7" t="s">
        <v>21</v>
      </c>
      <c r="B11" s="7">
        <f>'Master Sheet'!K80</f>
        <v>0</v>
      </c>
    </row>
    <row r="12" spans="1:2" s="8" customFormat="1" ht="19.899999999999999" customHeight="1" x14ac:dyDescent="0.25">
      <c r="A12" s="7" t="s">
        <v>22</v>
      </c>
      <c r="B12" s="7">
        <f>'Master Sheet'!L80</f>
        <v>0</v>
      </c>
    </row>
    <row r="13" spans="1:2" s="8" customFormat="1" ht="19.899999999999999" customHeight="1" x14ac:dyDescent="0.25">
      <c r="A13" s="7" t="s">
        <v>23</v>
      </c>
      <c r="B13" s="7">
        <f>'Master Sheet'!M80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Sheet'!B81</f>
        <v>Acharya Sunil Mahadeve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Sheet'!D81</f>
        <v>350</v>
      </c>
    </row>
    <row r="5" spans="1:2" s="8" customFormat="1" ht="19.899999999999999" customHeight="1" x14ac:dyDescent="0.25">
      <c r="A5" s="7" t="s">
        <v>15</v>
      </c>
      <c r="B5" s="7">
        <f>'Master Sheet'!E81</f>
        <v>350</v>
      </c>
    </row>
    <row r="6" spans="1:2" s="8" customFormat="1" ht="19.899999999999999" customHeight="1" x14ac:dyDescent="0.25">
      <c r="A6" s="7" t="s">
        <v>16</v>
      </c>
      <c r="B6" s="7">
        <f>'Master Sheet'!F81</f>
        <v>350</v>
      </c>
    </row>
    <row r="7" spans="1:2" s="8" customFormat="1" ht="19.899999999999999" customHeight="1" x14ac:dyDescent="0.25">
      <c r="A7" s="7" t="s">
        <v>17</v>
      </c>
      <c r="B7" s="7">
        <f>'Master Sheet'!G81</f>
        <v>0</v>
      </c>
    </row>
    <row r="8" spans="1:2" s="8" customFormat="1" ht="19.899999999999999" customHeight="1" x14ac:dyDescent="0.25">
      <c r="A8" s="7" t="s">
        <v>18</v>
      </c>
      <c r="B8" s="7">
        <f>'Master Sheet'!H81</f>
        <v>0</v>
      </c>
    </row>
    <row r="9" spans="1:2" s="8" customFormat="1" ht="19.899999999999999" customHeight="1" x14ac:dyDescent="0.25">
      <c r="A9" s="7" t="s">
        <v>19</v>
      </c>
      <c r="B9" s="7">
        <f>'Master Sheet'!I81</f>
        <v>0</v>
      </c>
    </row>
    <row r="10" spans="1:2" s="8" customFormat="1" ht="19.899999999999999" customHeight="1" x14ac:dyDescent="0.25">
      <c r="A10" s="7" t="s">
        <v>20</v>
      </c>
      <c r="B10" s="7">
        <f>'Master Sheet'!J81</f>
        <v>0</v>
      </c>
    </row>
    <row r="11" spans="1:2" s="8" customFormat="1" ht="19.899999999999999" customHeight="1" x14ac:dyDescent="0.25">
      <c r="A11" s="7" t="s">
        <v>21</v>
      </c>
      <c r="B11" s="7">
        <f>'Master Sheet'!K81</f>
        <v>0</v>
      </c>
    </row>
    <row r="12" spans="1:2" s="8" customFormat="1" ht="19.899999999999999" customHeight="1" x14ac:dyDescent="0.25">
      <c r="A12" s="7" t="s">
        <v>22</v>
      </c>
      <c r="B12" s="7">
        <f>'Master Sheet'!L81</f>
        <v>0</v>
      </c>
    </row>
    <row r="13" spans="1:2" s="8" customFormat="1" ht="19.899999999999999" customHeight="1" x14ac:dyDescent="0.25">
      <c r="A13" s="7" t="s">
        <v>23</v>
      </c>
      <c r="B13" s="7">
        <f>'Master Sheet'!M81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Sheet'!B82</f>
        <v>Manju  Manikandan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Sheet'!D82</f>
        <v>350</v>
      </c>
    </row>
    <row r="5" spans="1:2" s="8" customFormat="1" ht="19.899999999999999" customHeight="1" x14ac:dyDescent="0.25">
      <c r="A5" s="7" t="s">
        <v>15</v>
      </c>
      <c r="B5" s="7">
        <f>'Master Sheet'!E82</f>
        <v>350</v>
      </c>
    </row>
    <row r="6" spans="1:2" s="8" customFormat="1" ht="19.899999999999999" customHeight="1" x14ac:dyDescent="0.25">
      <c r="A6" s="7" t="s">
        <v>16</v>
      </c>
      <c r="B6" s="7">
        <f>'Master Sheet'!F82</f>
        <v>0</v>
      </c>
    </row>
    <row r="7" spans="1:2" s="8" customFormat="1" ht="19.899999999999999" customHeight="1" x14ac:dyDescent="0.25">
      <c r="A7" s="7" t="s">
        <v>17</v>
      </c>
      <c r="B7" s="7">
        <f>'Master Sheet'!G82</f>
        <v>350</v>
      </c>
    </row>
    <row r="8" spans="1:2" s="8" customFormat="1" ht="19.899999999999999" customHeight="1" x14ac:dyDescent="0.25">
      <c r="A8" s="7" t="s">
        <v>18</v>
      </c>
      <c r="B8" s="7">
        <f>'Master Sheet'!H82</f>
        <v>0</v>
      </c>
    </row>
    <row r="9" spans="1:2" s="8" customFormat="1" ht="19.899999999999999" customHeight="1" x14ac:dyDescent="0.25">
      <c r="A9" s="7" t="s">
        <v>19</v>
      </c>
      <c r="B9" s="7">
        <f>'Master Sheet'!I82</f>
        <v>0</v>
      </c>
    </row>
    <row r="10" spans="1:2" s="8" customFormat="1" ht="19.899999999999999" customHeight="1" x14ac:dyDescent="0.25">
      <c r="A10" s="7" t="s">
        <v>20</v>
      </c>
      <c r="B10" s="7">
        <f>'Master Sheet'!J82</f>
        <v>0</v>
      </c>
    </row>
    <row r="11" spans="1:2" s="8" customFormat="1" ht="19.899999999999999" customHeight="1" x14ac:dyDescent="0.25">
      <c r="A11" s="7" t="s">
        <v>21</v>
      </c>
      <c r="B11" s="7">
        <f>'Master Sheet'!K82</f>
        <v>0</v>
      </c>
    </row>
    <row r="12" spans="1:2" s="8" customFormat="1" ht="19.899999999999999" customHeight="1" x14ac:dyDescent="0.25">
      <c r="A12" s="7" t="s">
        <v>22</v>
      </c>
      <c r="B12" s="7">
        <f>'Master Sheet'!L82</f>
        <v>0</v>
      </c>
    </row>
    <row r="13" spans="1:2" s="8" customFormat="1" ht="19.899999999999999" customHeight="1" x14ac:dyDescent="0.25">
      <c r="A13" s="7" t="s">
        <v>23</v>
      </c>
      <c r="B13" s="7">
        <f>'Master Sheet'!M82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Sheet'!B83</f>
        <v>Surya Renjith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Sheet'!D83</f>
        <v>350</v>
      </c>
    </row>
    <row r="5" spans="1:2" s="8" customFormat="1" ht="19.899999999999999" customHeight="1" x14ac:dyDescent="0.25">
      <c r="A5" s="7" t="s">
        <v>15</v>
      </c>
      <c r="B5" s="7">
        <f>'Master Sheet'!E83</f>
        <v>350</v>
      </c>
    </row>
    <row r="6" spans="1:2" s="8" customFormat="1" ht="19.899999999999999" customHeight="1" x14ac:dyDescent="0.25">
      <c r="A6" s="7" t="s">
        <v>16</v>
      </c>
      <c r="B6" s="7">
        <f>'Master Sheet'!F83</f>
        <v>0</v>
      </c>
    </row>
    <row r="7" spans="1:2" s="8" customFormat="1" ht="19.899999999999999" customHeight="1" x14ac:dyDescent="0.25">
      <c r="A7" s="7" t="s">
        <v>17</v>
      </c>
      <c r="B7" s="7">
        <f>'Master Sheet'!G83</f>
        <v>700</v>
      </c>
    </row>
    <row r="8" spans="1:2" s="8" customFormat="1" ht="19.899999999999999" customHeight="1" x14ac:dyDescent="0.25">
      <c r="A8" s="7" t="s">
        <v>18</v>
      </c>
      <c r="B8" s="7">
        <f>'Master Sheet'!H83</f>
        <v>0</v>
      </c>
    </row>
    <row r="9" spans="1:2" s="8" customFormat="1" ht="19.899999999999999" customHeight="1" x14ac:dyDescent="0.25">
      <c r="A9" s="7" t="s">
        <v>19</v>
      </c>
      <c r="B9" s="7">
        <f>'Master Sheet'!I83</f>
        <v>0</v>
      </c>
    </row>
    <row r="10" spans="1:2" s="8" customFormat="1" ht="19.899999999999999" customHeight="1" x14ac:dyDescent="0.25">
      <c r="A10" s="7" t="s">
        <v>20</v>
      </c>
      <c r="B10" s="7">
        <f>'Master Sheet'!J83</f>
        <v>0</v>
      </c>
    </row>
    <row r="11" spans="1:2" s="8" customFormat="1" ht="19.899999999999999" customHeight="1" x14ac:dyDescent="0.25">
      <c r="A11" s="7" t="s">
        <v>21</v>
      </c>
      <c r="B11" s="7">
        <f>'Master Sheet'!K83</f>
        <v>0</v>
      </c>
    </row>
    <row r="12" spans="1:2" s="8" customFormat="1" ht="19.899999999999999" customHeight="1" x14ac:dyDescent="0.25">
      <c r="A12" s="7" t="s">
        <v>22</v>
      </c>
      <c r="B12" s="7">
        <f>'Master Sheet'!L83</f>
        <v>0</v>
      </c>
    </row>
    <row r="13" spans="1:2" s="8" customFormat="1" ht="19.899999999999999" customHeight="1" x14ac:dyDescent="0.25">
      <c r="A13" s="7" t="s">
        <v>23</v>
      </c>
      <c r="B13" s="7">
        <f>'Master Sheet'!M83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2" sqref="B1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Sheet'!B84</f>
        <v>Hari Kumar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Sheet'!D84</f>
        <v>350</v>
      </c>
    </row>
    <row r="5" spans="1:2" s="8" customFormat="1" ht="19.899999999999999" customHeight="1" x14ac:dyDescent="0.25">
      <c r="A5" s="7" t="s">
        <v>15</v>
      </c>
      <c r="B5" s="7">
        <f>'Master Sheet'!E84</f>
        <v>0</v>
      </c>
    </row>
    <row r="6" spans="1:2" s="8" customFormat="1" ht="19.899999999999999" customHeight="1" x14ac:dyDescent="0.25">
      <c r="A6" s="7" t="s">
        <v>16</v>
      </c>
      <c r="B6" s="7">
        <f>'Master Sheet'!F84</f>
        <v>0</v>
      </c>
    </row>
    <row r="7" spans="1:2" s="8" customFormat="1" ht="19.899999999999999" customHeight="1" x14ac:dyDescent="0.25">
      <c r="A7" s="7" t="s">
        <v>17</v>
      </c>
      <c r="B7" s="7">
        <f>'Master Sheet'!G84</f>
        <v>700</v>
      </c>
    </row>
    <row r="8" spans="1:2" s="8" customFormat="1" ht="19.899999999999999" customHeight="1" x14ac:dyDescent="0.25">
      <c r="A8" s="7" t="s">
        <v>18</v>
      </c>
      <c r="B8" s="7">
        <f>'Master Sheet'!H84</f>
        <v>0</v>
      </c>
    </row>
    <row r="9" spans="1:2" s="8" customFormat="1" ht="19.899999999999999" customHeight="1" x14ac:dyDescent="0.25">
      <c r="A9" s="7" t="s">
        <v>19</v>
      </c>
      <c r="B9" s="7">
        <f>'Master Sheet'!I84</f>
        <v>0</v>
      </c>
    </row>
    <row r="10" spans="1:2" s="8" customFormat="1" ht="19.899999999999999" customHeight="1" x14ac:dyDescent="0.25">
      <c r="A10" s="7" t="s">
        <v>20</v>
      </c>
      <c r="B10" s="7">
        <f>'Master Sheet'!J84</f>
        <v>0</v>
      </c>
    </row>
    <row r="11" spans="1:2" s="8" customFormat="1" ht="19.899999999999999" customHeight="1" x14ac:dyDescent="0.25">
      <c r="A11" s="7" t="s">
        <v>21</v>
      </c>
      <c r="B11" s="7">
        <f>'Master Sheet'!K84</f>
        <v>0</v>
      </c>
    </row>
    <row r="12" spans="1:2" s="8" customFormat="1" ht="19.899999999999999" customHeight="1" x14ac:dyDescent="0.25">
      <c r="A12" s="7" t="s">
        <v>22</v>
      </c>
      <c r="B12" s="7">
        <f>'Master Sheet'!L84</f>
        <v>0</v>
      </c>
    </row>
    <row r="13" spans="1:2" s="8" customFormat="1" ht="19.899999999999999" customHeight="1" x14ac:dyDescent="0.25">
      <c r="A13" s="7" t="s">
        <v>23</v>
      </c>
      <c r="B13" s="7">
        <f>'Master Sheet'!M84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3" sqref="B3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Sheet'!B85</f>
        <v>Prasad K.R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Sheet'!D85</f>
        <v>350</v>
      </c>
    </row>
    <row r="5" spans="1:2" s="8" customFormat="1" ht="19.899999999999999" customHeight="1" x14ac:dyDescent="0.25">
      <c r="A5" s="7" t="s">
        <v>15</v>
      </c>
      <c r="B5" s="7">
        <f>'Master Sheet'!E85</f>
        <v>350</v>
      </c>
    </row>
    <row r="6" spans="1:2" s="8" customFormat="1" ht="19.899999999999999" customHeight="1" x14ac:dyDescent="0.25">
      <c r="A6" s="7" t="s">
        <v>16</v>
      </c>
      <c r="B6" s="7">
        <f>'Master Sheet'!F85</f>
        <v>350</v>
      </c>
    </row>
    <row r="7" spans="1:2" s="8" customFormat="1" ht="19.899999999999999" customHeight="1" x14ac:dyDescent="0.25">
      <c r="A7" s="7" t="s">
        <v>17</v>
      </c>
      <c r="B7" s="7">
        <f>'Master Sheet'!G85</f>
        <v>350</v>
      </c>
    </row>
    <row r="8" spans="1:2" s="8" customFormat="1" ht="19.899999999999999" customHeight="1" x14ac:dyDescent="0.25">
      <c r="A8" s="7" t="s">
        <v>18</v>
      </c>
      <c r="B8" s="7">
        <f>'Master Sheet'!H85</f>
        <v>0</v>
      </c>
    </row>
    <row r="9" spans="1:2" s="8" customFormat="1" ht="19.899999999999999" customHeight="1" x14ac:dyDescent="0.25">
      <c r="A9" s="7" t="s">
        <v>19</v>
      </c>
      <c r="B9" s="7">
        <f>'Master Sheet'!I85</f>
        <v>0</v>
      </c>
    </row>
    <row r="10" spans="1:2" s="8" customFormat="1" ht="19.899999999999999" customHeight="1" x14ac:dyDescent="0.25">
      <c r="A10" s="7" t="s">
        <v>20</v>
      </c>
      <c r="B10" s="7">
        <f>'Master Sheet'!J85</f>
        <v>0</v>
      </c>
    </row>
    <row r="11" spans="1:2" s="8" customFormat="1" ht="19.899999999999999" customHeight="1" x14ac:dyDescent="0.25">
      <c r="A11" s="7" t="s">
        <v>21</v>
      </c>
      <c r="B11" s="7">
        <f>'Master Sheet'!K85</f>
        <v>0</v>
      </c>
    </row>
    <row r="12" spans="1:2" s="8" customFormat="1" ht="19.899999999999999" customHeight="1" x14ac:dyDescent="0.25">
      <c r="A12" s="7" t="s">
        <v>22</v>
      </c>
      <c r="B12" s="7">
        <f>'Master Sheet'!L85</f>
        <v>0</v>
      </c>
    </row>
    <row r="13" spans="1:2" s="8" customFormat="1" ht="19.899999999999999" customHeight="1" x14ac:dyDescent="0.25">
      <c r="A13" s="7" t="s">
        <v>23</v>
      </c>
      <c r="B13" s="7">
        <f>'Master Sheet'!M85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3" sqref="B3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Sheet'!B86</f>
        <v>Aravind Kadapra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Sheet'!D86</f>
        <v>350</v>
      </c>
    </row>
    <row r="5" spans="1:2" s="8" customFormat="1" ht="19.899999999999999" customHeight="1" x14ac:dyDescent="0.25">
      <c r="A5" s="7" t="s">
        <v>15</v>
      </c>
      <c r="B5" s="7">
        <f>'Master Sheet'!E86</f>
        <v>0</v>
      </c>
    </row>
    <row r="6" spans="1:2" s="8" customFormat="1" ht="19.899999999999999" customHeight="1" x14ac:dyDescent="0.25">
      <c r="A6" s="7" t="s">
        <v>16</v>
      </c>
      <c r="B6" s="7">
        <f>'Master Sheet'!F86</f>
        <v>0</v>
      </c>
    </row>
    <row r="7" spans="1:2" s="8" customFormat="1" ht="19.899999999999999" customHeight="1" x14ac:dyDescent="0.25">
      <c r="A7" s="7" t="s">
        <v>17</v>
      </c>
      <c r="B7" s="7">
        <f>'Master Sheet'!G86</f>
        <v>350</v>
      </c>
    </row>
    <row r="8" spans="1:2" s="8" customFormat="1" ht="19.899999999999999" customHeight="1" x14ac:dyDescent="0.25">
      <c r="A8" s="7" t="s">
        <v>18</v>
      </c>
      <c r="B8" s="7">
        <f>'Master Sheet'!H86</f>
        <v>0</v>
      </c>
    </row>
    <row r="9" spans="1:2" s="8" customFormat="1" ht="19.899999999999999" customHeight="1" x14ac:dyDescent="0.25">
      <c r="A9" s="7" t="s">
        <v>19</v>
      </c>
      <c r="B9" s="7">
        <f>'Master Sheet'!I86</f>
        <v>0</v>
      </c>
    </row>
    <row r="10" spans="1:2" s="8" customFormat="1" ht="19.899999999999999" customHeight="1" x14ac:dyDescent="0.25">
      <c r="A10" s="7" t="s">
        <v>20</v>
      </c>
      <c r="B10" s="7">
        <f>'Master Sheet'!J86</f>
        <v>0</v>
      </c>
    </row>
    <row r="11" spans="1:2" s="8" customFormat="1" ht="19.899999999999999" customHeight="1" x14ac:dyDescent="0.25">
      <c r="A11" s="7" t="s">
        <v>21</v>
      </c>
      <c r="B11" s="7">
        <f>'Master Sheet'!K86</f>
        <v>0</v>
      </c>
    </row>
    <row r="12" spans="1:2" s="8" customFormat="1" ht="19.899999999999999" customHeight="1" x14ac:dyDescent="0.25">
      <c r="A12" s="7" t="s">
        <v>22</v>
      </c>
      <c r="B12" s="7">
        <f>'Master Sheet'!L86</f>
        <v>0</v>
      </c>
    </row>
    <row r="13" spans="1:2" s="8" customFormat="1" ht="19.899999999999999" customHeight="1" x14ac:dyDescent="0.25">
      <c r="A13" s="7" t="s">
        <v>23</v>
      </c>
      <c r="B13" s="7">
        <f>'Master Sheet'!M86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700</v>
      </c>
    </row>
    <row r="15" spans="1:2" s="8" customFormat="1" ht="19.899999999999999" customHeight="1" x14ac:dyDescent="0.25">
      <c r="A15" s="7" t="s">
        <v>25</v>
      </c>
      <c r="B15" s="7">
        <f>3500-B14</f>
        <v>2800</v>
      </c>
    </row>
  </sheetData>
  <mergeCells count="1">
    <mergeCell ref="A1:B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6" sqref="B6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Sheet'!B87</f>
        <v>Rakesh Babu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Sheet'!D87</f>
        <v>0</v>
      </c>
    </row>
    <row r="5" spans="1:2" s="8" customFormat="1" ht="19.899999999999999" customHeight="1" x14ac:dyDescent="0.25">
      <c r="A5" s="7" t="s">
        <v>15</v>
      </c>
      <c r="B5" s="7">
        <f>'Master Sheet'!E87</f>
        <v>0</v>
      </c>
    </row>
    <row r="6" spans="1:2" s="8" customFormat="1" ht="19.899999999999999" customHeight="1" x14ac:dyDescent="0.25">
      <c r="A6" s="7" t="s">
        <v>16</v>
      </c>
      <c r="B6" s="7">
        <f>'Master Sheet'!F87</f>
        <v>0</v>
      </c>
    </row>
    <row r="7" spans="1:2" s="8" customFormat="1" ht="19.899999999999999" customHeight="1" x14ac:dyDescent="0.25">
      <c r="A7" s="7" t="s">
        <v>17</v>
      </c>
      <c r="B7" s="7">
        <f>'Master Sheet'!G87</f>
        <v>0</v>
      </c>
    </row>
    <row r="8" spans="1:2" s="8" customFormat="1" ht="19.899999999999999" customHeight="1" x14ac:dyDescent="0.25">
      <c r="A8" s="7" t="s">
        <v>18</v>
      </c>
      <c r="B8" s="7">
        <f>'Master Sheet'!H87</f>
        <v>0</v>
      </c>
    </row>
    <row r="9" spans="1:2" s="8" customFormat="1" ht="19.899999999999999" customHeight="1" x14ac:dyDescent="0.25">
      <c r="A9" s="7" t="s">
        <v>19</v>
      </c>
      <c r="B9" s="7">
        <f>'Master Sheet'!I87</f>
        <v>0</v>
      </c>
    </row>
    <row r="10" spans="1:2" s="8" customFormat="1" ht="19.899999999999999" customHeight="1" x14ac:dyDescent="0.25">
      <c r="A10" s="7" t="s">
        <v>20</v>
      </c>
      <c r="B10" s="7">
        <f>'Master Sheet'!J87</f>
        <v>0</v>
      </c>
    </row>
    <row r="11" spans="1:2" s="8" customFormat="1" ht="19.899999999999999" customHeight="1" x14ac:dyDescent="0.25">
      <c r="A11" s="7" t="s">
        <v>21</v>
      </c>
      <c r="B11" s="7">
        <f>'Master Sheet'!K87</f>
        <v>0</v>
      </c>
    </row>
    <row r="12" spans="1:2" s="8" customFormat="1" ht="19.899999999999999" customHeight="1" x14ac:dyDescent="0.25">
      <c r="A12" s="7" t="s">
        <v>22</v>
      </c>
      <c r="B12" s="7">
        <f>'Master Sheet'!L87</f>
        <v>0</v>
      </c>
    </row>
    <row r="13" spans="1:2" s="8" customFormat="1" ht="19.899999999999999" customHeight="1" x14ac:dyDescent="0.25">
      <c r="A13" s="7" t="s">
        <v>23</v>
      </c>
      <c r="B13" s="7">
        <f>'Master Sheet'!M87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Sheet'!B88</f>
        <v>Manju Mol PS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Sheet'!D88</f>
        <v>0</v>
      </c>
    </row>
    <row r="5" spans="1:2" s="8" customFormat="1" ht="19.899999999999999" customHeight="1" x14ac:dyDescent="0.25">
      <c r="A5" s="7" t="s">
        <v>15</v>
      </c>
      <c r="B5" s="7">
        <f>'Master Sheet'!E88</f>
        <v>0</v>
      </c>
    </row>
    <row r="6" spans="1:2" s="8" customFormat="1" ht="19.899999999999999" customHeight="1" x14ac:dyDescent="0.25">
      <c r="A6" s="7" t="s">
        <v>16</v>
      </c>
      <c r="B6" s="7">
        <f>'Master Sheet'!F88</f>
        <v>0</v>
      </c>
    </row>
    <row r="7" spans="1:2" s="8" customFormat="1" ht="19.899999999999999" customHeight="1" x14ac:dyDescent="0.25">
      <c r="A7" s="7" t="s">
        <v>17</v>
      </c>
      <c r="B7" s="7">
        <f>'Master Sheet'!G88</f>
        <v>0</v>
      </c>
    </row>
    <row r="8" spans="1:2" s="8" customFormat="1" ht="19.899999999999999" customHeight="1" x14ac:dyDescent="0.25">
      <c r="A8" s="7" t="s">
        <v>18</v>
      </c>
      <c r="B8" s="7">
        <f>'Master Sheet'!H88</f>
        <v>0</v>
      </c>
    </row>
    <row r="9" spans="1:2" s="8" customFormat="1" ht="19.899999999999999" customHeight="1" x14ac:dyDescent="0.25">
      <c r="A9" s="7" t="s">
        <v>19</v>
      </c>
      <c r="B9" s="7">
        <f>'Master Sheet'!I88</f>
        <v>0</v>
      </c>
    </row>
    <row r="10" spans="1:2" s="8" customFormat="1" ht="19.899999999999999" customHeight="1" x14ac:dyDescent="0.25">
      <c r="A10" s="7" t="s">
        <v>20</v>
      </c>
      <c r="B10" s="7">
        <f>'Master Sheet'!J88</f>
        <v>0</v>
      </c>
    </row>
    <row r="11" spans="1:2" s="8" customFormat="1" ht="19.899999999999999" customHeight="1" x14ac:dyDescent="0.25">
      <c r="A11" s="7" t="s">
        <v>21</v>
      </c>
      <c r="B11" s="7">
        <f>'Master Sheet'!K88</f>
        <v>0</v>
      </c>
    </row>
    <row r="12" spans="1:2" s="8" customFormat="1" ht="19.899999999999999" customHeight="1" x14ac:dyDescent="0.25">
      <c r="A12" s="7" t="s">
        <v>22</v>
      </c>
      <c r="B12" s="7">
        <f>'Master Sheet'!L88</f>
        <v>0</v>
      </c>
    </row>
    <row r="13" spans="1:2" s="8" customFormat="1" ht="19.899999999999999" customHeight="1" x14ac:dyDescent="0.25">
      <c r="A13" s="7" t="s">
        <v>23</v>
      </c>
      <c r="B13" s="7">
        <f>'Master Sheet'!M88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Sheet'!B89</f>
        <v xml:space="preserve">Remya 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Sheet'!D89</f>
        <v>0</v>
      </c>
    </row>
    <row r="5" spans="1:2" s="8" customFormat="1" ht="19.899999999999999" customHeight="1" x14ac:dyDescent="0.25">
      <c r="A5" s="7" t="s">
        <v>15</v>
      </c>
      <c r="B5" s="7">
        <f>'Master Sheet'!E89</f>
        <v>0</v>
      </c>
    </row>
    <row r="6" spans="1:2" s="8" customFormat="1" ht="19.899999999999999" customHeight="1" x14ac:dyDescent="0.25">
      <c r="A6" s="7" t="s">
        <v>16</v>
      </c>
      <c r="B6" s="7">
        <f>'Master Sheet'!F89</f>
        <v>0</v>
      </c>
    </row>
    <row r="7" spans="1:2" s="8" customFormat="1" ht="19.899999999999999" customHeight="1" x14ac:dyDescent="0.25">
      <c r="A7" s="7" t="s">
        <v>17</v>
      </c>
      <c r="B7" s="7">
        <f>'Master Sheet'!G89</f>
        <v>350</v>
      </c>
    </row>
    <row r="8" spans="1:2" s="8" customFormat="1" ht="19.899999999999999" customHeight="1" x14ac:dyDescent="0.25">
      <c r="A8" s="7" t="s">
        <v>18</v>
      </c>
      <c r="B8" s="7">
        <f>'Master Sheet'!H89</f>
        <v>0</v>
      </c>
    </row>
    <row r="9" spans="1:2" s="8" customFormat="1" ht="19.899999999999999" customHeight="1" x14ac:dyDescent="0.25">
      <c r="A9" s="7" t="s">
        <v>19</v>
      </c>
      <c r="B9" s="7">
        <f>'Master Sheet'!I89</f>
        <v>0</v>
      </c>
    </row>
    <row r="10" spans="1:2" s="8" customFormat="1" ht="19.899999999999999" customHeight="1" x14ac:dyDescent="0.25">
      <c r="A10" s="7" t="s">
        <v>20</v>
      </c>
      <c r="B10" s="7">
        <f>'Master Sheet'!J89</f>
        <v>0</v>
      </c>
    </row>
    <row r="11" spans="1:2" s="8" customFormat="1" ht="19.899999999999999" customHeight="1" x14ac:dyDescent="0.25">
      <c r="A11" s="7" t="s">
        <v>21</v>
      </c>
      <c r="B11" s="7">
        <f>'Master Sheet'!K89</f>
        <v>0</v>
      </c>
    </row>
    <row r="12" spans="1:2" s="8" customFormat="1" ht="19.899999999999999" customHeight="1" x14ac:dyDescent="0.25">
      <c r="A12" s="7" t="s">
        <v>22</v>
      </c>
      <c r="B12" s="7">
        <f>'Master Sheet'!L89</f>
        <v>0</v>
      </c>
    </row>
    <row r="13" spans="1:2" s="8" customFormat="1" ht="19.899999999999999" customHeight="1" x14ac:dyDescent="0.25">
      <c r="A13" s="7" t="s">
        <v>23</v>
      </c>
      <c r="B13" s="7">
        <f>'Master Sheet'!M89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7" sqref="B7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Sheet'!B90</f>
        <v>Rekha Ajith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Sheet'!D90</f>
        <v>0</v>
      </c>
    </row>
    <row r="5" spans="1:2" s="8" customFormat="1" ht="19.899999999999999" customHeight="1" x14ac:dyDescent="0.25">
      <c r="A5" s="7" t="s">
        <v>15</v>
      </c>
      <c r="B5" s="7">
        <f>'Master Sheet'!E90</f>
        <v>0</v>
      </c>
    </row>
    <row r="6" spans="1:2" s="8" customFormat="1" ht="19.899999999999999" customHeight="1" x14ac:dyDescent="0.25">
      <c r="A6" s="7" t="s">
        <v>16</v>
      </c>
      <c r="B6" s="7">
        <f>'Master Sheet'!F90</f>
        <v>0</v>
      </c>
    </row>
    <row r="7" spans="1:2" s="8" customFormat="1" ht="19.899999999999999" customHeight="1" x14ac:dyDescent="0.25">
      <c r="A7" s="7" t="s">
        <v>17</v>
      </c>
      <c r="B7" s="7">
        <f>'Master Sheet'!G90</f>
        <v>0</v>
      </c>
    </row>
    <row r="8" spans="1:2" s="8" customFormat="1" ht="19.899999999999999" customHeight="1" x14ac:dyDescent="0.25">
      <c r="A8" s="7" t="s">
        <v>18</v>
      </c>
      <c r="B8" s="7">
        <f>'Master Sheet'!H90</f>
        <v>0</v>
      </c>
    </row>
    <row r="9" spans="1:2" s="8" customFormat="1" ht="19.899999999999999" customHeight="1" x14ac:dyDescent="0.25">
      <c r="A9" s="7" t="s">
        <v>19</v>
      </c>
      <c r="B9" s="7">
        <f>'Master Sheet'!I90</f>
        <v>0</v>
      </c>
    </row>
    <row r="10" spans="1:2" s="8" customFormat="1" ht="19.899999999999999" customHeight="1" x14ac:dyDescent="0.25">
      <c r="A10" s="7" t="s">
        <v>20</v>
      </c>
      <c r="B10" s="7">
        <f>'Master Sheet'!J90</f>
        <v>0</v>
      </c>
    </row>
    <row r="11" spans="1:2" s="8" customFormat="1" ht="19.899999999999999" customHeight="1" x14ac:dyDescent="0.25">
      <c r="A11" s="7" t="s">
        <v>21</v>
      </c>
      <c r="B11" s="7">
        <f>'Master Sheet'!K90</f>
        <v>0</v>
      </c>
    </row>
    <row r="12" spans="1:2" s="8" customFormat="1" ht="19.899999999999999" customHeight="1" x14ac:dyDescent="0.25">
      <c r="A12" s="7" t="s">
        <v>22</v>
      </c>
      <c r="B12" s="7">
        <f>'Master Sheet'!L90</f>
        <v>0</v>
      </c>
    </row>
    <row r="13" spans="1:2" s="8" customFormat="1" ht="19.899999999999999" customHeight="1" x14ac:dyDescent="0.25">
      <c r="A13" s="7" t="s">
        <v>23</v>
      </c>
      <c r="B13" s="7">
        <f>'Master Sheet'!M90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Sheet'!B91</f>
        <v>Latha Suresh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Sheet'!D91</f>
        <v>350</v>
      </c>
    </row>
    <row r="5" spans="1:2" s="8" customFormat="1" ht="19.899999999999999" customHeight="1" x14ac:dyDescent="0.25">
      <c r="A5" s="7" t="s">
        <v>15</v>
      </c>
      <c r="B5" s="7">
        <f>'Master Sheet'!E91</f>
        <v>350</v>
      </c>
    </row>
    <row r="6" spans="1:2" s="8" customFormat="1" ht="19.899999999999999" customHeight="1" x14ac:dyDescent="0.25">
      <c r="A6" s="7" t="s">
        <v>16</v>
      </c>
      <c r="B6" s="7">
        <f>'Master Sheet'!F91</f>
        <v>350</v>
      </c>
    </row>
    <row r="7" spans="1:2" s="8" customFormat="1" ht="19.899999999999999" customHeight="1" x14ac:dyDescent="0.25">
      <c r="A7" s="7" t="s">
        <v>17</v>
      </c>
      <c r="B7" s="7">
        <f>'Master Sheet'!G91</f>
        <v>350</v>
      </c>
    </row>
    <row r="8" spans="1:2" s="8" customFormat="1" ht="19.899999999999999" customHeight="1" x14ac:dyDescent="0.25">
      <c r="A8" s="7" t="s">
        <v>18</v>
      </c>
      <c r="B8" s="7">
        <f>'Master Sheet'!H91</f>
        <v>0</v>
      </c>
    </row>
    <row r="9" spans="1:2" s="8" customFormat="1" ht="19.899999999999999" customHeight="1" x14ac:dyDescent="0.25">
      <c r="A9" s="7" t="s">
        <v>19</v>
      </c>
      <c r="B9" s="7">
        <f>'Master Sheet'!I91</f>
        <v>0</v>
      </c>
    </row>
    <row r="10" spans="1:2" s="8" customFormat="1" ht="19.899999999999999" customHeight="1" x14ac:dyDescent="0.25">
      <c r="A10" s="7" t="s">
        <v>20</v>
      </c>
      <c r="B10" s="7">
        <f>'Master Sheet'!J91</f>
        <v>0</v>
      </c>
    </row>
    <row r="11" spans="1:2" s="8" customFormat="1" ht="19.899999999999999" customHeight="1" x14ac:dyDescent="0.25">
      <c r="A11" s="7" t="s">
        <v>21</v>
      </c>
      <c r="B11" s="7">
        <f>'Master Sheet'!K91</f>
        <v>0</v>
      </c>
    </row>
    <row r="12" spans="1:2" s="8" customFormat="1" ht="19.899999999999999" customHeight="1" x14ac:dyDescent="0.25">
      <c r="A12" s="7" t="s">
        <v>22</v>
      </c>
      <c r="B12" s="7">
        <f>'Master Sheet'!L91</f>
        <v>0</v>
      </c>
    </row>
    <row r="13" spans="1:2" s="8" customFormat="1" ht="19.899999999999999" customHeight="1" x14ac:dyDescent="0.25">
      <c r="A13" s="7" t="s">
        <v>23</v>
      </c>
      <c r="B13" s="7">
        <f>'Master Sheet'!M91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Sheet'!B92</f>
        <v>Anitha Prasanth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Sheet'!D92</f>
        <v>350</v>
      </c>
    </row>
    <row r="5" spans="1:2" s="8" customFormat="1" ht="19.899999999999999" customHeight="1" x14ac:dyDescent="0.25">
      <c r="A5" s="7" t="s">
        <v>15</v>
      </c>
      <c r="B5" s="7">
        <f>'Master Sheet'!E92</f>
        <v>350</v>
      </c>
    </row>
    <row r="6" spans="1:2" s="8" customFormat="1" ht="19.899999999999999" customHeight="1" x14ac:dyDescent="0.25">
      <c r="A6" s="7" t="s">
        <v>16</v>
      </c>
      <c r="B6" s="7">
        <f>'Master Sheet'!F92</f>
        <v>350</v>
      </c>
    </row>
    <row r="7" spans="1:2" s="8" customFormat="1" ht="19.899999999999999" customHeight="1" x14ac:dyDescent="0.25">
      <c r="A7" s="7" t="s">
        <v>17</v>
      </c>
      <c r="B7" s="7">
        <f>'Master Sheet'!G92</f>
        <v>350</v>
      </c>
    </row>
    <row r="8" spans="1:2" s="8" customFormat="1" ht="19.899999999999999" customHeight="1" x14ac:dyDescent="0.25">
      <c r="A8" s="7" t="s">
        <v>18</v>
      </c>
      <c r="B8" s="7">
        <f>'Master Sheet'!H92</f>
        <v>0</v>
      </c>
    </row>
    <row r="9" spans="1:2" s="8" customFormat="1" ht="19.899999999999999" customHeight="1" x14ac:dyDescent="0.25">
      <c r="A9" s="7" t="s">
        <v>19</v>
      </c>
      <c r="B9" s="7">
        <f>'Master Sheet'!I92</f>
        <v>0</v>
      </c>
    </row>
    <row r="10" spans="1:2" s="8" customFormat="1" ht="19.899999999999999" customHeight="1" x14ac:dyDescent="0.25">
      <c r="A10" s="7" t="s">
        <v>20</v>
      </c>
      <c r="B10" s="7">
        <f>'Master Sheet'!J92</f>
        <v>0</v>
      </c>
    </row>
    <row r="11" spans="1:2" s="8" customFormat="1" ht="19.899999999999999" customHeight="1" x14ac:dyDescent="0.25">
      <c r="A11" s="7" t="s">
        <v>21</v>
      </c>
      <c r="B11" s="7">
        <f>'Master Sheet'!K92</f>
        <v>0</v>
      </c>
    </row>
    <row r="12" spans="1:2" s="8" customFormat="1" ht="19.899999999999999" customHeight="1" x14ac:dyDescent="0.25">
      <c r="A12" s="7" t="s">
        <v>22</v>
      </c>
      <c r="B12" s="7">
        <f>'Master Sheet'!L92</f>
        <v>0</v>
      </c>
    </row>
    <row r="13" spans="1:2" s="8" customFormat="1" ht="19.899999999999999" customHeight="1" x14ac:dyDescent="0.25">
      <c r="A13" s="7" t="s">
        <v>23</v>
      </c>
      <c r="B13" s="7">
        <f>'Master Sheet'!M92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Sheet'!B93</f>
        <v>Vijila Vineeth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Sheet'!D93</f>
        <v>350</v>
      </c>
    </row>
    <row r="5" spans="1:2" s="8" customFormat="1" ht="19.899999999999999" customHeight="1" x14ac:dyDescent="0.25">
      <c r="A5" s="7" t="s">
        <v>15</v>
      </c>
      <c r="B5" s="7">
        <f>'Master Sheet'!E93</f>
        <v>350</v>
      </c>
    </row>
    <row r="6" spans="1:2" s="8" customFormat="1" ht="19.899999999999999" customHeight="1" x14ac:dyDescent="0.25">
      <c r="A6" s="7" t="s">
        <v>16</v>
      </c>
      <c r="B6" s="7">
        <f>'Master Sheet'!F93</f>
        <v>0</v>
      </c>
    </row>
    <row r="7" spans="1:2" s="8" customFormat="1" ht="19.899999999999999" customHeight="1" x14ac:dyDescent="0.25">
      <c r="A7" s="7" t="s">
        <v>17</v>
      </c>
      <c r="B7" s="7">
        <f>'Master Sheet'!G93</f>
        <v>350</v>
      </c>
    </row>
    <row r="8" spans="1:2" s="8" customFormat="1" ht="19.899999999999999" customHeight="1" x14ac:dyDescent="0.25">
      <c r="A8" s="7" t="s">
        <v>18</v>
      </c>
      <c r="B8" s="7">
        <f>'Master Sheet'!H93</f>
        <v>0</v>
      </c>
    </row>
    <row r="9" spans="1:2" s="8" customFormat="1" ht="19.899999999999999" customHeight="1" x14ac:dyDescent="0.25">
      <c r="A9" s="7" t="s">
        <v>19</v>
      </c>
      <c r="B9" s="7">
        <f>'Master Sheet'!I93</f>
        <v>0</v>
      </c>
    </row>
    <row r="10" spans="1:2" s="8" customFormat="1" ht="19.899999999999999" customHeight="1" x14ac:dyDescent="0.25">
      <c r="A10" s="7" t="s">
        <v>20</v>
      </c>
      <c r="B10" s="7">
        <f>'Master Sheet'!J93</f>
        <v>0</v>
      </c>
    </row>
    <row r="11" spans="1:2" s="8" customFormat="1" ht="19.899999999999999" customHeight="1" x14ac:dyDescent="0.25">
      <c r="A11" s="7" t="s">
        <v>21</v>
      </c>
      <c r="B11" s="7">
        <f>'Master Sheet'!K93</f>
        <v>0</v>
      </c>
    </row>
    <row r="12" spans="1:2" s="8" customFormat="1" ht="19.899999999999999" customHeight="1" x14ac:dyDescent="0.25">
      <c r="A12" s="7" t="s">
        <v>22</v>
      </c>
      <c r="B12" s="7">
        <f>'Master Sheet'!L93</f>
        <v>0</v>
      </c>
    </row>
    <row r="13" spans="1:2" s="8" customFormat="1" ht="19.899999999999999" customHeight="1" x14ac:dyDescent="0.25">
      <c r="A13" s="7" t="s">
        <v>23</v>
      </c>
      <c r="B13" s="7">
        <f>'Master Sheet'!M93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Sheet'!B94</f>
        <v>Anju Anoj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Sheet'!D94</f>
        <v>350</v>
      </c>
    </row>
    <row r="5" spans="1:2" s="8" customFormat="1" ht="19.899999999999999" customHeight="1" x14ac:dyDescent="0.25">
      <c r="A5" s="7" t="s">
        <v>15</v>
      </c>
      <c r="B5" s="7">
        <f>'Master Sheet'!E94</f>
        <v>350</v>
      </c>
    </row>
    <row r="6" spans="1:2" s="8" customFormat="1" ht="19.899999999999999" customHeight="1" x14ac:dyDescent="0.25">
      <c r="A6" s="7" t="s">
        <v>16</v>
      </c>
      <c r="B6" s="7">
        <f>'Master Sheet'!F94</f>
        <v>0</v>
      </c>
    </row>
    <row r="7" spans="1:2" s="8" customFormat="1" ht="19.899999999999999" customHeight="1" x14ac:dyDescent="0.25">
      <c r="A7" s="7" t="s">
        <v>17</v>
      </c>
      <c r="B7" s="7">
        <f>'Master Sheet'!G94</f>
        <v>350</v>
      </c>
    </row>
    <row r="8" spans="1:2" s="8" customFormat="1" ht="19.899999999999999" customHeight="1" x14ac:dyDescent="0.25">
      <c r="A8" s="7" t="s">
        <v>18</v>
      </c>
      <c r="B8" s="7">
        <f>'Master Sheet'!H94</f>
        <v>0</v>
      </c>
    </row>
    <row r="9" spans="1:2" s="8" customFormat="1" ht="19.899999999999999" customHeight="1" x14ac:dyDescent="0.25">
      <c r="A9" s="7" t="s">
        <v>19</v>
      </c>
      <c r="B9" s="7">
        <f>'Master Sheet'!I94</f>
        <v>0</v>
      </c>
    </row>
    <row r="10" spans="1:2" s="8" customFormat="1" ht="19.899999999999999" customHeight="1" x14ac:dyDescent="0.25">
      <c r="A10" s="7" t="s">
        <v>20</v>
      </c>
      <c r="B10" s="7">
        <f>'Master Sheet'!J94</f>
        <v>0</v>
      </c>
    </row>
    <row r="11" spans="1:2" s="8" customFormat="1" ht="19.899999999999999" customHeight="1" x14ac:dyDescent="0.25">
      <c r="A11" s="7" t="s">
        <v>21</v>
      </c>
      <c r="B11" s="7">
        <f>'Master Sheet'!K94</f>
        <v>0</v>
      </c>
    </row>
    <row r="12" spans="1:2" s="8" customFormat="1" ht="19.899999999999999" customHeight="1" x14ac:dyDescent="0.25">
      <c r="A12" s="7" t="s">
        <v>22</v>
      </c>
      <c r="B12" s="7">
        <f>'Master Sheet'!L94</f>
        <v>0</v>
      </c>
    </row>
    <row r="13" spans="1:2" s="8" customFormat="1" ht="19.899999999999999" customHeight="1" x14ac:dyDescent="0.25">
      <c r="A13" s="7" t="s">
        <v>23</v>
      </c>
      <c r="B13" s="7">
        <f>'Master Sheet'!M94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Sheet'!B95</f>
        <v>Suma Rajesh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Sheet'!D95</f>
        <v>350</v>
      </c>
    </row>
    <row r="5" spans="1:2" s="8" customFormat="1" ht="19.899999999999999" customHeight="1" x14ac:dyDescent="0.25">
      <c r="A5" s="7" t="s">
        <v>15</v>
      </c>
      <c r="B5" s="7">
        <f>'Master Sheet'!E95</f>
        <v>350</v>
      </c>
    </row>
    <row r="6" spans="1:2" s="8" customFormat="1" ht="19.899999999999999" customHeight="1" x14ac:dyDescent="0.25">
      <c r="A6" s="7" t="s">
        <v>16</v>
      </c>
      <c r="B6" s="7">
        <f>'Master Sheet'!F95</f>
        <v>350</v>
      </c>
    </row>
    <row r="7" spans="1:2" s="8" customFormat="1" ht="19.899999999999999" customHeight="1" x14ac:dyDescent="0.25">
      <c r="A7" s="7" t="s">
        <v>17</v>
      </c>
      <c r="B7" s="7">
        <f>'Master Sheet'!G95</f>
        <v>350</v>
      </c>
    </row>
    <row r="8" spans="1:2" s="8" customFormat="1" ht="19.899999999999999" customHeight="1" x14ac:dyDescent="0.25">
      <c r="A8" s="7" t="s">
        <v>18</v>
      </c>
      <c r="B8" s="7">
        <f>'Master Sheet'!H95</f>
        <v>0</v>
      </c>
    </row>
    <row r="9" spans="1:2" s="8" customFormat="1" ht="19.899999999999999" customHeight="1" x14ac:dyDescent="0.25">
      <c r="A9" s="7" t="s">
        <v>19</v>
      </c>
      <c r="B9" s="7">
        <f>'Master Sheet'!I95</f>
        <v>0</v>
      </c>
    </row>
    <row r="10" spans="1:2" s="8" customFormat="1" ht="19.899999999999999" customHeight="1" x14ac:dyDescent="0.25">
      <c r="A10" s="7" t="s">
        <v>20</v>
      </c>
      <c r="B10" s="7">
        <f>'Master Sheet'!J95</f>
        <v>0</v>
      </c>
    </row>
    <row r="11" spans="1:2" s="8" customFormat="1" ht="19.899999999999999" customHeight="1" x14ac:dyDescent="0.25">
      <c r="A11" s="7" t="s">
        <v>21</v>
      </c>
      <c r="B11" s="7">
        <f>'Master Sheet'!K95</f>
        <v>0</v>
      </c>
    </row>
    <row r="12" spans="1:2" s="8" customFormat="1" ht="19.899999999999999" customHeight="1" x14ac:dyDescent="0.25">
      <c r="A12" s="7" t="s">
        <v>22</v>
      </c>
      <c r="B12" s="7">
        <f>'Master Sheet'!L95</f>
        <v>0</v>
      </c>
    </row>
    <row r="13" spans="1:2" s="8" customFormat="1" ht="19.899999999999999" customHeight="1" x14ac:dyDescent="0.25">
      <c r="A13" s="7" t="s">
        <v>23</v>
      </c>
      <c r="B13" s="7">
        <f>'Master Sheet'!M95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Sheet'!B96</f>
        <v>Savithri Madhu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Sheet'!D96</f>
        <v>350</v>
      </c>
    </row>
    <row r="5" spans="1:2" s="8" customFormat="1" ht="19.899999999999999" customHeight="1" x14ac:dyDescent="0.25">
      <c r="A5" s="7" t="s">
        <v>15</v>
      </c>
      <c r="B5" s="7">
        <f>'Master Sheet'!E96</f>
        <v>350</v>
      </c>
    </row>
    <row r="6" spans="1:2" s="8" customFormat="1" ht="19.899999999999999" customHeight="1" x14ac:dyDescent="0.25">
      <c r="A6" s="7" t="s">
        <v>16</v>
      </c>
      <c r="B6" s="7">
        <f>'Master Sheet'!F96</f>
        <v>350</v>
      </c>
    </row>
    <row r="7" spans="1:2" s="8" customFormat="1" ht="19.899999999999999" customHeight="1" x14ac:dyDescent="0.25">
      <c r="A7" s="7" t="s">
        <v>17</v>
      </c>
      <c r="B7" s="7">
        <f>'Master Sheet'!G96</f>
        <v>350</v>
      </c>
    </row>
    <row r="8" spans="1:2" s="8" customFormat="1" ht="19.899999999999999" customHeight="1" x14ac:dyDescent="0.25">
      <c r="A8" s="7" t="s">
        <v>18</v>
      </c>
      <c r="B8" s="7">
        <f>'Master Sheet'!H96</f>
        <v>0</v>
      </c>
    </row>
    <row r="9" spans="1:2" s="8" customFormat="1" ht="19.899999999999999" customHeight="1" x14ac:dyDescent="0.25">
      <c r="A9" s="7" t="s">
        <v>19</v>
      </c>
      <c r="B9" s="7">
        <f>'Master Sheet'!I96</f>
        <v>0</v>
      </c>
    </row>
    <row r="10" spans="1:2" s="8" customFormat="1" ht="19.899999999999999" customHeight="1" x14ac:dyDescent="0.25">
      <c r="A10" s="7" t="s">
        <v>20</v>
      </c>
      <c r="B10" s="7">
        <f>'Master Sheet'!J96</f>
        <v>0</v>
      </c>
    </row>
    <row r="11" spans="1:2" s="8" customFormat="1" ht="19.899999999999999" customHeight="1" x14ac:dyDescent="0.25">
      <c r="A11" s="7" t="s">
        <v>21</v>
      </c>
      <c r="B11" s="7">
        <f>'Master Sheet'!K96</f>
        <v>0</v>
      </c>
    </row>
    <row r="12" spans="1:2" s="8" customFormat="1" ht="19.899999999999999" customHeight="1" x14ac:dyDescent="0.25">
      <c r="A12" s="7" t="s">
        <v>22</v>
      </c>
      <c r="B12" s="7">
        <f>'Master Sheet'!L96</f>
        <v>0</v>
      </c>
    </row>
    <row r="13" spans="1:2" s="8" customFormat="1" ht="19.899999999999999" customHeight="1" x14ac:dyDescent="0.25">
      <c r="A13" s="7" t="s">
        <v>23</v>
      </c>
      <c r="B13" s="7">
        <f>'Master Sheet'!M96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ht="19.5" x14ac:dyDescent="0.25">
      <c r="A1" s="28" t="s">
        <v>179</v>
      </c>
      <c r="B1" s="28"/>
    </row>
    <row r="2" spans="1:2" ht="15.75" x14ac:dyDescent="0.25">
      <c r="A2" s="16" t="s">
        <v>12</v>
      </c>
      <c r="B2" s="17" t="str">
        <f>'Master Sheet'!B97</f>
        <v>Suma Prasad</v>
      </c>
    </row>
    <row r="3" spans="1:2" ht="15.75" x14ac:dyDescent="0.25">
      <c r="A3" s="16" t="s">
        <v>176</v>
      </c>
      <c r="B3" s="16" t="s">
        <v>177</v>
      </c>
    </row>
    <row r="4" spans="1:2" ht="15.75" x14ac:dyDescent="0.25">
      <c r="A4" s="7" t="s">
        <v>14</v>
      </c>
      <c r="B4" s="7">
        <f>'Master Sheet'!D97</f>
        <v>200</v>
      </c>
    </row>
    <row r="5" spans="1:2" ht="15.75" x14ac:dyDescent="0.25">
      <c r="A5" s="7" t="s">
        <v>15</v>
      </c>
      <c r="B5" s="7">
        <f>'Master Sheet'!E97</f>
        <v>500</v>
      </c>
    </row>
    <row r="6" spans="1:2" ht="15.75" x14ac:dyDescent="0.25">
      <c r="A6" s="7" t="s">
        <v>16</v>
      </c>
      <c r="B6" s="7">
        <f>'Master Sheet'!F97</f>
        <v>250</v>
      </c>
    </row>
    <row r="7" spans="1:2" ht="15.75" x14ac:dyDescent="0.25">
      <c r="A7" s="7" t="s">
        <v>17</v>
      </c>
      <c r="B7" s="7">
        <f>'Master Sheet'!G97</f>
        <v>250</v>
      </c>
    </row>
    <row r="8" spans="1:2" ht="15.75" x14ac:dyDescent="0.25">
      <c r="A8" s="7" t="s">
        <v>18</v>
      </c>
      <c r="B8" s="7">
        <f>'Master Sheet'!H97</f>
        <v>0</v>
      </c>
    </row>
    <row r="9" spans="1:2" ht="15.75" x14ac:dyDescent="0.25">
      <c r="A9" s="7" t="s">
        <v>19</v>
      </c>
      <c r="B9" s="7">
        <f>'Master Sheet'!I97</f>
        <v>0</v>
      </c>
    </row>
    <row r="10" spans="1:2" ht="15.75" x14ac:dyDescent="0.25">
      <c r="A10" s="7" t="s">
        <v>20</v>
      </c>
      <c r="B10" s="7">
        <f>'Master Sheet'!J97</f>
        <v>0</v>
      </c>
    </row>
    <row r="11" spans="1:2" ht="15.75" x14ac:dyDescent="0.25">
      <c r="A11" s="7" t="s">
        <v>21</v>
      </c>
      <c r="B11" s="7">
        <f>'Master Sheet'!K97</f>
        <v>0</v>
      </c>
    </row>
    <row r="12" spans="1:2" ht="15.75" x14ac:dyDescent="0.25">
      <c r="A12" s="7" t="s">
        <v>22</v>
      </c>
      <c r="B12" s="7">
        <f>'Master Sheet'!L97</f>
        <v>0</v>
      </c>
    </row>
    <row r="13" spans="1:2" ht="15.75" x14ac:dyDescent="0.25">
      <c r="A13" s="7" t="s">
        <v>23</v>
      </c>
      <c r="B13" s="7">
        <f>'Master Sheet'!M97</f>
        <v>0</v>
      </c>
    </row>
    <row r="14" spans="1:2" ht="15.75" x14ac:dyDescent="0.25">
      <c r="A14" s="7" t="s">
        <v>178</v>
      </c>
      <c r="B14" s="7">
        <f>SUM(B4:B13)</f>
        <v>1200</v>
      </c>
    </row>
    <row r="15" spans="1:2" ht="15.75" x14ac:dyDescent="0.25">
      <c r="A15" s="7" t="s">
        <v>25</v>
      </c>
      <c r="B15" s="7">
        <f>3500-B14</f>
        <v>2300</v>
      </c>
    </row>
  </sheetData>
  <mergeCells count="1">
    <mergeCell ref="A1:B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ht="19.5" x14ac:dyDescent="0.25">
      <c r="A1" s="28" t="s">
        <v>179</v>
      </c>
      <c r="B1" s="28"/>
    </row>
    <row r="2" spans="1:2" ht="15.75" x14ac:dyDescent="0.25">
      <c r="A2" s="16" t="s">
        <v>12</v>
      </c>
      <c r="B2" s="17" t="str">
        <f>'Master Sheet'!B98</f>
        <v>Sruthi Rajesh</v>
      </c>
    </row>
    <row r="3" spans="1:2" ht="15.75" x14ac:dyDescent="0.25">
      <c r="A3" s="16" t="s">
        <v>176</v>
      </c>
      <c r="B3" s="16" t="s">
        <v>177</v>
      </c>
    </row>
    <row r="4" spans="1:2" ht="15.75" x14ac:dyDescent="0.25">
      <c r="A4" s="7" t="s">
        <v>14</v>
      </c>
      <c r="B4" s="7">
        <f>'Master Sheet'!D98</f>
        <v>0</v>
      </c>
    </row>
    <row r="5" spans="1:2" ht="15.75" x14ac:dyDescent="0.25">
      <c r="A5" s="7" t="s">
        <v>15</v>
      </c>
      <c r="B5" s="7">
        <f>'Master Sheet'!E98</f>
        <v>500</v>
      </c>
    </row>
    <row r="6" spans="1:2" ht="15.75" x14ac:dyDescent="0.25">
      <c r="A6" s="7" t="s">
        <v>16</v>
      </c>
      <c r="B6" s="7">
        <f>'Master Sheet'!F98</f>
        <v>0</v>
      </c>
    </row>
    <row r="7" spans="1:2" ht="15.75" x14ac:dyDescent="0.25">
      <c r="A7" s="7" t="s">
        <v>17</v>
      </c>
      <c r="B7" s="7">
        <f>'Master Sheet'!G98</f>
        <v>0</v>
      </c>
    </row>
    <row r="8" spans="1:2" ht="15.75" x14ac:dyDescent="0.25">
      <c r="A8" s="7" t="s">
        <v>18</v>
      </c>
      <c r="B8" s="7">
        <f>'Master Sheet'!H98</f>
        <v>0</v>
      </c>
    </row>
    <row r="9" spans="1:2" ht="15.75" x14ac:dyDescent="0.25">
      <c r="A9" s="7" t="s">
        <v>19</v>
      </c>
      <c r="B9" s="7">
        <f>'Master Sheet'!I98</f>
        <v>0</v>
      </c>
    </row>
    <row r="10" spans="1:2" ht="15.75" x14ac:dyDescent="0.25">
      <c r="A10" s="7" t="s">
        <v>20</v>
      </c>
      <c r="B10" s="7">
        <f>'Master Sheet'!J98</f>
        <v>0</v>
      </c>
    </row>
    <row r="11" spans="1:2" ht="15.75" x14ac:dyDescent="0.25">
      <c r="A11" s="7" t="s">
        <v>21</v>
      </c>
      <c r="B11" s="7">
        <f>'Master Sheet'!K98</f>
        <v>0</v>
      </c>
    </row>
    <row r="12" spans="1:2" ht="15.75" x14ac:dyDescent="0.25">
      <c r="A12" s="7" t="s">
        <v>22</v>
      </c>
      <c r="B12" s="7">
        <f>'Master Sheet'!L98</f>
        <v>0</v>
      </c>
    </row>
    <row r="13" spans="1:2" ht="15.75" x14ac:dyDescent="0.25">
      <c r="A13" s="7" t="s">
        <v>23</v>
      </c>
      <c r="B13" s="7">
        <f>'Master Sheet'!M98</f>
        <v>0</v>
      </c>
    </row>
    <row r="14" spans="1:2" ht="15.75" x14ac:dyDescent="0.25">
      <c r="A14" s="7" t="s">
        <v>178</v>
      </c>
      <c r="B14" s="7">
        <f>SUM(B4:B13)</f>
        <v>500</v>
      </c>
    </row>
    <row r="15" spans="1:2" ht="15.75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F20" sqref="F20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Sheet'!B99</f>
        <v>Suraj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Sheet'!D99</f>
        <v>0</v>
      </c>
    </row>
    <row r="5" spans="1:2" s="8" customFormat="1" ht="19.899999999999999" customHeight="1" x14ac:dyDescent="0.25">
      <c r="A5" s="7" t="s">
        <v>15</v>
      </c>
      <c r="B5" s="7">
        <f>'Master Sheet'!E99</f>
        <v>0</v>
      </c>
    </row>
    <row r="6" spans="1:2" s="8" customFormat="1" ht="19.899999999999999" customHeight="1" x14ac:dyDescent="0.25">
      <c r="A6" s="7" t="s">
        <v>16</v>
      </c>
      <c r="B6" s="7">
        <f>'Master Sheet'!F99</f>
        <v>0</v>
      </c>
    </row>
    <row r="7" spans="1:2" s="8" customFormat="1" ht="19.899999999999999" customHeight="1" x14ac:dyDescent="0.25">
      <c r="A7" s="7" t="s">
        <v>17</v>
      </c>
      <c r="B7" s="7">
        <f>'Master Sheet'!G99</f>
        <v>0</v>
      </c>
    </row>
    <row r="8" spans="1:2" s="8" customFormat="1" ht="19.899999999999999" customHeight="1" x14ac:dyDescent="0.25">
      <c r="A8" s="7" t="s">
        <v>18</v>
      </c>
      <c r="B8" s="7">
        <f>'Master Sheet'!H99</f>
        <v>0</v>
      </c>
    </row>
    <row r="9" spans="1:2" s="8" customFormat="1" ht="19.899999999999999" customHeight="1" x14ac:dyDescent="0.25">
      <c r="A9" s="7" t="s">
        <v>19</v>
      </c>
      <c r="B9" s="7">
        <f>'Master Sheet'!I99</f>
        <v>0</v>
      </c>
    </row>
    <row r="10" spans="1:2" s="8" customFormat="1" ht="19.899999999999999" customHeight="1" x14ac:dyDescent="0.25">
      <c r="A10" s="7" t="s">
        <v>20</v>
      </c>
      <c r="B10" s="7">
        <f>'Master Sheet'!J99</f>
        <v>0</v>
      </c>
    </row>
    <row r="11" spans="1:2" s="8" customFormat="1" ht="19.899999999999999" customHeight="1" x14ac:dyDescent="0.25">
      <c r="A11" s="7" t="s">
        <v>21</v>
      </c>
      <c r="B11" s="7">
        <f>'Master Sheet'!K99</f>
        <v>0</v>
      </c>
    </row>
    <row r="12" spans="1:2" s="8" customFormat="1" ht="19.899999999999999" customHeight="1" x14ac:dyDescent="0.25">
      <c r="A12" s="7" t="s">
        <v>22</v>
      </c>
      <c r="B12" s="7">
        <f>'Master Sheet'!L99</f>
        <v>0</v>
      </c>
    </row>
    <row r="13" spans="1:2" s="8" customFormat="1" ht="19.899999999999999" customHeight="1" x14ac:dyDescent="0.25">
      <c r="A13" s="7" t="s">
        <v>23</v>
      </c>
      <c r="B13" s="7">
        <f>'Master Sheet'!M99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Sheet'!B100</f>
        <v>Aji Pattakala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Sheet'!D100</f>
        <v>100</v>
      </c>
    </row>
    <row r="5" spans="1:2" s="8" customFormat="1" ht="19.899999999999999" customHeight="1" x14ac:dyDescent="0.25">
      <c r="A5" s="7" t="s">
        <v>15</v>
      </c>
      <c r="B5" s="7">
        <f>'Master Sheet'!E100</f>
        <v>0</v>
      </c>
    </row>
    <row r="6" spans="1:2" s="8" customFormat="1" ht="19.899999999999999" customHeight="1" x14ac:dyDescent="0.25">
      <c r="A6" s="7" t="s">
        <v>16</v>
      </c>
      <c r="B6" s="7">
        <f>'Master Sheet'!F100</f>
        <v>500</v>
      </c>
    </row>
    <row r="7" spans="1:2" s="8" customFormat="1" ht="19.899999999999999" customHeight="1" x14ac:dyDescent="0.25">
      <c r="A7" s="7" t="s">
        <v>17</v>
      </c>
      <c r="B7" s="7">
        <f>'Master Sheet'!G100</f>
        <v>0</v>
      </c>
    </row>
    <row r="8" spans="1:2" s="8" customFormat="1" ht="19.899999999999999" customHeight="1" x14ac:dyDescent="0.25">
      <c r="A8" s="7" t="s">
        <v>18</v>
      </c>
      <c r="B8" s="7">
        <f>'Master Sheet'!H100</f>
        <v>0</v>
      </c>
    </row>
    <row r="9" spans="1:2" s="8" customFormat="1" ht="19.899999999999999" customHeight="1" x14ac:dyDescent="0.25">
      <c r="A9" s="7" t="s">
        <v>19</v>
      </c>
      <c r="B9" s="7">
        <f>'Master Sheet'!I100</f>
        <v>0</v>
      </c>
    </row>
    <row r="10" spans="1:2" s="8" customFormat="1" ht="19.899999999999999" customHeight="1" x14ac:dyDescent="0.25">
      <c r="A10" s="7" t="s">
        <v>20</v>
      </c>
      <c r="B10" s="7">
        <f>'Master Sheet'!J100</f>
        <v>0</v>
      </c>
    </row>
    <row r="11" spans="1:2" s="8" customFormat="1" ht="19.899999999999999" customHeight="1" x14ac:dyDescent="0.25">
      <c r="A11" s="7" t="s">
        <v>21</v>
      </c>
      <c r="B11" s="7">
        <f>'Master Sheet'!K100</f>
        <v>0</v>
      </c>
    </row>
    <row r="12" spans="1:2" s="8" customFormat="1" ht="19.899999999999999" customHeight="1" x14ac:dyDescent="0.25">
      <c r="A12" s="7" t="s">
        <v>22</v>
      </c>
      <c r="B12" s="7">
        <f>'Master Sheet'!L100</f>
        <v>0</v>
      </c>
    </row>
    <row r="13" spans="1:2" s="8" customFormat="1" ht="19.899999999999999" customHeight="1" x14ac:dyDescent="0.25">
      <c r="A13" s="7" t="s">
        <v>23</v>
      </c>
      <c r="B13" s="7">
        <f>'Master Sheet'!M100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600</v>
      </c>
    </row>
    <row r="15" spans="1:2" s="8" customFormat="1" ht="19.899999999999999" customHeight="1" x14ac:dyDescent="0.25">
      <c r="A15" s="7" t="s">
        <v>25</v>
      </c>
      <c r="B15" s="7">
        <f>3500-B14</f>
        <v>2900</v>
      </c>
    </row>
  </sheetData>
  <mergeCells count="1">
    <mergeCell ref="A1:B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Sheet'!B101</f>
        <v>Sereelatha Manu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Sheet'!D101</f>
        <v>350</v>
      </c>
    </row>
    <row r="5" spans="1:2" s="8" customFormat="1" ht="19.899999999999999" customHeight="1" x14ac:dyDescent="0.25">
      <c r="A5" s="7" t="s">
        <v>15</v>
      </c>
      <c r="B5" s="7">
        <f>'Master Sheet'!E101</f>
        <v>700</v>
      </c>
    </row>
    <row r="6" spans="1:2" s="8" customFormat="1" ht="19.899999999999999" customHeight="1" x14ac:dyDescent="0.25">
      <c r="A6" s="7" t="s">
        <v>16</v>
      </c>
      <c r="B6" s="7">
        <f>'Master Sheet'!F101</f>
        <v>0</v>
      </c>
    </row>
    <row r="7" spans="1:2" s="8" customFormat="1" ht="19.899999999999999" customHeight="1" x14ac:dyDescent="0.25">
      <c r="A7" s="7" t="s">
        <v>17</v>
      </c>
      <c r="B7" s="7">
        <f>'Master Sheet'!G101</f>
        <v>0</v>
      </c>
    </row>
    <row r="8" spans="1:2" s="8" customFormat="1" ht="19.899999999999999" customHeight="1" x14ac:dyDescent="0.25">
      <c r="A8" s="7" t="s">
        <v>18</v>
      </c>
      <c r="B8" s="7">
        <f>'Master Sheet'!H101</f>
        <v>0</v>
      </c>
    </row>
    <row r="9" spans="1:2" s="8" customFormat="1" ht="19.899999999999999" customHeight="1" x14ac:dyDescent="0.25">
      <c r="A9" s="7" t="s">
        <v>19</v>
      </c>
      <c r="B9" s="7">
        <f>'Master Sheet'!I101</f>
        <v>0</v>
      </c>
    </row>
    <row r="10" spans="1:2" s="8" customFormat="1" ht="19.899999999999999" customHeight="1" x14ac:dyDescent="0.25">
      <c r="A10" s="7" t="s">
        <v>20</v>
      </c>
      <c r="B10" s="7">
        <f>'Master Sheet'!J101</f>
        <v>0</v>
      </c>
    </row>
    <row r="11" spans="1:2" s="8" customFormat="1" ht="19.899999999999999" customHeight="1" x14ac:dyDescent="0.25">
      <c r="A11" s="7" t="s">
        <v>21</v>
      </c>
      <c r="B11" s="7">
        <f>'Master Sheet'!K101</f>
        <v>0</v>
      </c>
    </row>
    <row r="12" spans="1:2" s="8" customFormat="1" ht="19.899999999999999" customHeight="1" x14ac:dyDescent="0.25">
      <c r="A12" s="7" t="s">
        <v>22</v>
      </c>
      <c r="B12" s="7">
        <f>'Master Sheet'!L101</f>
        <v>0</v>
      </c>
    </row>
    <row r="13" spans="1:2" s="8" customFormat="1" ht="19.899999999999999" customHeight="1" x14ac:dyDescent="0.25">
      <c r="A13" s="7" t="s">
        <v>23</v>
      </c>
      <c r="B13" s="7">
        <f>'Master Sheet'!M101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4" sqref="B14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Sheet'!B102</f>
        <v>Athira Manoj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Sheet'!D102</f>
        <v>0</v>
      </c>
    </row>
    <row r="5" spans="1:2" s="8" customFormat="1" ht="19.899999999999999" customHeight="1" x14ac:dyDescent="0.25">
      <c r="A5" s="7" t="s">
        <v>15</v>
      </c>
      <c r="B5" s="7">
        <f>'Master Sheet'!E102</f>
        <v>0</v>
      </c>
    </row>
    <row r="6" spans="1:2" s="8" customFormat="1" ht="19.899999999999999" customHeight="1" x14ac:dyDescent="0.25">
      <c r="A6" s="7" t="s">
        <v>16</v>
      </c>
      <c r="B6" s="7">
        <f>'Master Sheet'!F102</f>
        <v>1050</v>
      </c>
    </row>
    <row r="7" spans="1:2" s="8" customFormat="1" ht="19.899999999999999" customHeight="1" x14ac:dyDescent="0.25">
      <c r="A7" s="7" t="s">
        <v>17</v>
      </c>
      <c r="B7" s="7">
        <f>'Master Sheet'!G102</f>
        <v>500</v>
      </c>
    </row>
    <row r="8" spans="1:2" s="8" customFormat="1" ht="19.899999999999999" customHeight="1" x14ac:dyDescent="0.25">
      <c r="A8" s="7" t="s">
        <v>18</v>
      </c>
      <c r="B8" s="7">
        <f>'Master Sheet'!H102</f>
        <v>0</v>
      </c>
    </row>
    <row r="9" spans="1:2" s="8" customFormat="1" ht="19.899999999999999" customHeight="1" x14ac:dyDescent="0.25">
      <c r="A9" s="7" t="s">
        <v>19</v>
      </c>
      <c r="B9" s="7">
        <f>'Master Sheet'!I102</f>
        <v>0</v>
      </c>
    </row>
    <row r="10" spans="1:2" s="8" customFormat="1" ht="19.899999999999999" customHeight="1" x14ac:dyDescent="0.25">
      <c r="A10" s="7" t="s">
        <v>20</v>
      </c>
      <c r="B10" s="7">
        <f>'Master Sheet'!J102</f>
        <v>0</v>
      </c>
    </row>
    <row r="11" spans="1:2" s="8" customFormat="1" ht="19.899999999999999" customHeight="1" x14ac:dyDescent="0.25">
      <c r="A11" s="7" t="s">
        <v>21</v>
      </c>
      <c r="B11" s="7">
        <f>'Master Sheet'!K102</f>
        <v>0</v>
      </c>
    </row>
    <row r="12" spans="1:2" s="8" customFormat="1" ht="19.899999999999999" customHeight="1" x14ac:dyDescent="0.25">
      <c r="A12" s="7" t="s">
        <v>22</v>
      </c>
      <c r="B12" s="7">
        <f>'Master Sheet'!L102</f>
        <v>0</v>
      </c>
    </row>
    <row r="13" spans="1:2" s="8" customFormat="1" ht="19.899999999999999" customHeight="1" x14ac:dyDescent="0.25">
      <c r="A13" s="7" t="s">
        <v>23</v>
      </c>
      <c r="B13" s="7">
        <f>'Master Sheet'!M102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1550</v>
      </c>
    </row>
    <row r="15" spans="1:2" s="8" customFormat="1" ht="19.899999999999999" customHeight="1" x14ac:dyDescent="0.25">
      <c r="A15" s="7" t="s">
        <v>25</v>
      </c>
      <c r="B15" s="7">
        <f>3500-B14</f>
        <v>1950</v>
      </c>
    </row>
  </sheetData>
  <mergeCells count="1">
    <mergeCell ref="A1:B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4" sqref="B14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Sheet'!B103</f>
        <v>Jaysree Suresh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Sheet'!D103</f>
        <v>350</v>
      </c>
    </row>
    <row r="5" spans="1:2" s="8" customFormat="1" ht="19.899999999999999" customHeight="1" x14ac:dyDescent="0.25">
      <c r="A5" s="7" t="s">
        <v>15</v>
      </c>
      <c r="B5" s="7">
        <f>'Master Sheet'!E103</f>
        <v>350</v>
      </c>
    </row>
    <row r="6" spans="1:2" s="8" customFormat="1" ht="19.899999999999999" customHeight="1" x14ac:dyDescent="0.25">
      <c r="A6" s="7" t="s">
        <v>16</v>
      </c>
      <c r="B6" s="7">
        <f>'Master Sheet'!F103</f>
        <v>0</v>
      </c>
    </row>
    <row r="7" spans="1:2" s="8" customFormat="1" ht="19.899999999999999" customHeight="1" x14ac:dyDescent="0.25">
      <c r="A7" s="7" t="s">
        <v>17</v>
      </c>
      <c r="B7" s="7">
        <f>'Master Sheet'!G103</f>
        <v>0</v>
      </c>
    </row>
    <row r="8" spans="1:2" s="8" customFormat="1" ht="19.899999999999999" customHeight="1" x14ac:dyDescent="0.25">
      <c r="A8" s="7" t="s">
        <v>18</v>
      </c>
      <c r="B8" s="7">
        <f>'Master Sheet'!H103</f>
        <v>0</v>
      </c>
    </row>
    <row r="9" spans="1:2" s="8" customFormat="1" ht="19.899999999999999" customHeight="1" x14ac:dyDescent="0.25">
      <c r="A9" s="7" t="s">
        <v>19</v>
      </c>
      <c r="B9" s="7">
        <f>'Master Sheet'!I103</f>
        <v>0</v>
      </c>
    </row>
    <row r="10" spans="1:2" s="8" customFormat="1" ht="19.899999999999999" customHeight="1" x14ac:dyDescent="0.25">
      <c r="A10" s="7" t="s">
        <v>20</v>
      </c>
      <c r="B10" s="7">
        <f>'Master Sheet'!J103</f>
        <v>0</v>
      </c>
    </row>
    <row r="11" spans="1:2" s="8" customFormat="1" ht="19.899999999999999" customHeight="1" x14ac:dyDescent="0.25">
      <c r="A11" s="7" t="s">
        <v>21</v>
      </c>
      <c r="B11" s="7">
        <f>'Master Sheet'!K103</f>
        <v>0</v>
      </c>
    </row>
    <row r="12" spans="1:2" s="8" customFormat="1" ht="19.899999999999999" customHeight="1" x14ac:dyDescent="0.25">
      <c r="A12" s="7" t="s">
        <v>22</v>
      </c>
      <c r="B12" s="7">
        <f>'Master Sheet'!L103</f>
        <v>0</v>
      </c>
    </row>
    <row r="13" spans="1:2" s="8" customFormat="1" ht="19.899999999999999" customHeight="1" x14ac:dyDescent="0.25">
      <c r="A13" s="7" t="s">
        <v>23</v>
      </c>
      <c r="B13" s="7">
        <f>'Master Sheet'!M103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700</v>
      </c>
    </row>
    <row r="15" spans="1:2" s="8" customFormat="1" ht="19.899999999999999" customHeight="1" x14ac:dyDescent="0.25">
      <c r="A15" s="7" t="s">
        <v>25</v>
      </c>
      <c r="B15" s="7">
        <f>3500-B14</f>
        <v>2800</v>
      </c>
    </row>
  </sheetData>
  <mergeCells count="1">
    <mergeCell ref="A1:B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4" sqref="B14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Sheet'!B104</f>
        <v>Sathyan Thadiyoor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Sheet'!D104</f>
        <v>0</v>
      </c>
    </row>
    <row r="5" spans="1:2" s="8" customFormat="1" ht="19.899999999999999" customHeight="1" x14ac:dyDescent="0.25">
      <c r="A5" s="7" t="s">
        <v>15</v>
      </c>
      <c r="B5" s="7">
        <f>'Master Sheet'!E104</f>
        <v>0</v>
      </c>
    </row>
    <row r="6" spans="1:2" s="8" customFormat="1" ht="19.899999999999999" customHeight="1" x14ac:dyDescent="0.25">
      <c r="A6" s="7" t="s">
        <v>16</v>
      </c>
      <c r="B6" s="7">
        <f>'Master Sheet'!F104</f>
        <v>0</v>
      </c>
    </row>
    <row r="7" spans="1:2" s="8" customFormat="1" ht="19.899999999999999" customHeight="1" x14ac:dyDescent="0.25">
      <c r="A7" s="7" t="s">
        <v>17</v>
      </c>
      <c r="B7" s="7">
        <f>'Master Sheet'!G104</f>
        <v>0</v>
      </c>
    </row>
    <row r="8" spans="1:2" s="8" customFormat="1" ht="19.899999999999999" customHeight="1" x14ac:dyDescent="0.25">
      <c r="A8" s="7" t="s">
        <v>18</v>
      </c>
      <c r="B8" s="7">
        <f>'Master Sheet'!H104</f>
        <v>0</v>
      </c>
    </row>
    <row r="9" spans="1:2" s="8" customFormat="1" ht="19.899999999999999" customHeight="1" x14ac:dyDescent="0.25">
      <c r="A9" s="7" t="s">
        <v>19</v>
      </c>
      <c r="B9" s="7">
        <f>'Master Sheet'!I104</f>
        <v>0</v>
      </c>
    </row>
    <row r="10" spans="1:2" s="8" customFormat="1" ht="19.899999999999999" customHeight="1" x14ac:dyDescent="0.25">
      <c r="A10" s="7" t="s">
        <v>20</v>
      </c>
      <c r="B10" s="7">
        <f>'Master Sheet'!J104</f>
        <v>0</v>
      </c>
    </row>
    <row r="11" spans="1:2" s="8" customFormat="1" ht="19.899999999999999" customHeight="1" x14ac:dyDescent="0.25">
      <c r="A11" s="7" t="s">
        <v>21</v>
      </c>
      <c r="B11" s="7">
        <f>'Master Sheet'!K104</f>
        <v>0</v>
      </c>
    </row>
    <row r="12" spans="1:2" s="8" customFormat="1" ht="19.899999999999999" customHeight="1" x14ac:dyDescent="0.25">
      <c r="A12" s="7" t="s">
        <v>22</v>
      </c>
      <c r="B12" s="7">
        <f>'Master Sheet'!L104</f>
        <v>0</v>
      </c>
    </row>
    <row r="13" spans="1:2" s="8" customFormat="1" ht="19.899999999999999" customHeight="1" x14ac:dyDescent="0.25">
      <c r="A13" s="7" t="s">
        <v>23</v>
      </c>
      <c r="B13" s="7">
        <f>'Master Sheet'!M104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H15" sqref="H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Sheet'!B105</f>
        <v>Leelamani Shaji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Sheet'!D105</f>
        <v>350</v>
      </c>
    </row>
    <row r="5" spans="1:2" s="8" customFormat="1" ht="19.899999999999999" customHeight="1" x14ac:dyDescent="0.25">
      <c r="A5" s="7" t="s">
        <v>15</v>
      </c>
      <c r="B5" s="7">
        <f>'Master Sheet'!E105</f>
        <v>500</v>
      </c>
    </row>
    <row r="6" spans="1:2" s="8" customFormat="1" ht="19.899999999999999" customHeight="1" x14ac:dyDescent="0.25">
      <c r="A6" s="7" t="s">
        <v>16</v>
      </c>
      <c r="B6" s="7">
        <f>'Master Sheet'!F105</f>
        <v>500</v>
      </c>
    </row>
    <row r="7" spans="1:2" s="8" customFormat="1" ht="19.899999999999999" customHeight="1" x14ac:dyDescent="0.25">
      <c r="A7" s="7" t="s">
        <v>17</v>
      </c>
      <c r="B7" s="7">
        <f>'Master Sheet'!G105</f>
        <v>0</v>
      </c>
    </row>
    <row r="8" spans="1:2" s="8" customFormat="1" ht="19.899999999999999" customHeight="1" x14ac:dyDescent="0.25">
      <c r="A8" s="7" t="s">
        <v>18</v>
      </c>
      <c r="B8" s="7">
        <f>'Master Sheet'!H105</f>
        <v>0</v>
      </c>
    </row>
    <row r="9" spans="1:2" s="8" customFormat="1" ht="19.899999999999999" customHeight="1" x14ac:dyDescent="0.25">
      <c r="A9" s="7" t="s">
        <v>19</v>
      </c>
      <c r="B9" s="7">
        <f>'Master Sheet'!I105</f>
        <v>0</v>
      </c>
    </row>
    <row r="10" spans="1:2" s="8" customFormat="1" ht="19.899999999999999" customHeight="1" x14ac:dyDescent="0.25">
      <c r="A10" s="7" t="s">
        <v>20</v>
      </c>
      <c r="B10" s="7">
        <f>'Master Sheet'!J105</f>
        <v>0</v>
      </c>
    </row>
    <row r="11" spans="1:2" s="8" customFormat="1" ht="19.899999999999999" customHeight="1" x14ac:dyDescent="0.25">
      <c r="A11" s="7" t="s">
        <v>21</v>
      </c>
      <c r="B11" s="7">
        <f>'Master Sheet'!K105</f>
        <v>0</v>
      </c>
    </row>
    <row r="12" spans="1:2" s="8" customFormat="1" ht="19.899999999999999" customHeight="1" x14ac:dyDescent="0.25">
      <c r="A12" s="7" t="s">
        <v>22</v>
      </c>
      <c r="B12" s="7">
        <f>'Master Sheet'!L105</f>
        <v>0</v>
      </c>
    </row>
    <row r="13" spans="1:2" s="8" customFormat="1" ht="19.899999999999999" customHeight="1" x14ac:dyDescent="0.25">
      <c r="A13" s="7" t="s">
        <v>23</v>
      </c>
      <c r="B13" s="7">
        <f>'Master Sheet'!M105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1350</v>
      </c>
    </row>
    <row r="15" spans="1:2" s="8" customFormat="1" ht="19.899999999999999" customHeight="1" x14ac:dyDescent="0.25">
      <c r="A15" s="7" t="s">
        <v>25</v>
      </c>
      <c r="B15" s="7">
        <f>3500-B14</f>
        <v>2150</v>
      </c>
    </row>
  </sheetData>
  <mergeCells count="1">
    <mergeCell ref="A1:B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4" sqref="B14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Sheet'!B106</f>
        <v>Prasanna Muttumon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Sheet'!D106</f>
        <v>350</v>
      </c>
    </row>
    <row r="5" spans="1:2" s="8" customFormat="1" ht="19.899999999999999" customHeight="1" x14ac:dyDescent="0.25">
      <c r="A5" s="7" t="s">
        <v>15</v>
      </c>
      <c r="B5" s="7">
        <f>'Master Sheet'!E106</f>
        <v>350</v>
      </c>
    </row>
    <row r="6" spans="1:2" s="8" customFormat="1" ht="19.899999999999999" customHeight="1" x14ac:dyDescent="0.25">
      <c r="A6" s="7" t="s">
        <v>16</v>
      </c>
      <c r="B6" s="7">
        <f>'Master Sheet'!F106</f>
        <v>0</v>
      </c>
    </row>
    <row r="7" spans="1:2" s="8" customFormat="1" ht="19.899999999999999" customHeight="1" x14ac:dyDescent="0.25">
      <c r="A7" s="7" t="s">
        <v>17</v>
      </c>
      <c r="B7" s="7">
        <f>'Master Sheet'!G106</f>
        <v>500</v>
      </c>
    </row>
    <row r="8" spans="1:2" s="8" customFormat="1" ht="19.899999999999999" customHeight="1" x14ac:dyDescent="0.25">
      <c r="A8" s="7" t="s">
        <v>18</v>
      </c>
      <c r="B8" s="7">
        <f>'Master Sheet'!H106</f>
        <v>0</v>
      </c>
    </row>
    <row r="9" spans="1:2" s="8" customFormat="1" ht="19.899999999999999" customHeight="1" x14ac:dyDescent="0.25">
      <c r="A9" s="7" t="s">
        <v>19</v>
      </c>
      <c r="B9" s="7">
        <f>'Master Sheet'!I106</f>
        <v>0</v>
      </c>
    </row>
    <row r="10" spans="1:2" s="8" customFormat="1" ht="19.899999999999999" customHeight="1" x14ac:dyDescent="0.25">
      <c r="A10" s="7" t="s">
        <v>20</v>
      </c>
      <c r="B10" s="7">
        <f>'Master Sheet'!J106</f>
        <v>0</v>
      </c>
    </row>
    <row r="11" spans="1:2" s="8" customFormat="1" ht="19.899999999999999" customHeight="1" x14ac:dyDescent="0.25">
      <c r="A11" s="7" t="s">
        <v>21</v>
      </c>
      <c r="B11" s="7">
        <f>'Master Sheet'!K106</f>
        <v>0</v>
      </c>
    </row>
    <row r="12" spans="1:2" s="8" customFormat="1" ht="19.899999999999999" customHeight="1" x14ac:dyDescent="0.25">
      <c r="A12" s="7" t="s">
        <v>22</v>
      </c>
      <c r="B12" s="7">
        <f>'Master Sheet'!L106</f>
        <v>0</v>
      </c>
    </row>
    <row r="13" spans="1:2" s="8" customFormat="1" ht="19.899999999999999" customHeight="1" x14ac:dyDescent="0.25">
      <c r="A13" s="7" t="s">
        <v>23</v>
      </c>
      <c r="B13" s="7">
        <f>'Master Sheet'!M106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1200</v>
      </c>
    </row>
    <row r="15" spans="1:2" s="8" customFormat="1" ht="19.899999999999999" customHeight="1" x14ac:dyDescent="0.25">
      <c r="A15" s="7" t="s">
        <v>25</v>
      </c>
      <c r="B15" s="7">
        <f>3500-B14</f>
        <v>2300</v>
      </c>
    </row>
  </sheetData>
  <mergeCells count="1">
    <mergeCell ref="A1:B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Sheet'!B107</f>
        <v>Jayan Adoor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Sheet'!D107</f>
        <v>0</v>
      </c>
    </row>
    <row r="5" spans="1:2" s="8" customFormat="1" ht="19.899999999999999" customHeight="1" x14ac:dyDescent="0.25">
      <c r="A5" s="7" t="s">
        <v>15</v>
      </c>
      <c r="B5" s="7">
        <f>'Master Sheet'!E107</f>
        <v>0</v>
      </c>
    </row>
    <row r="6" spans="1:2" s="8" customFormat="1" ht="19.899999999999999" customHeight="1" x14ac:dyDescent="0.25">
      <c r="A6" s="7" t="s">
        <v>16</v>
      </c>
      <c r="B6" s="7">
        <f>'Master Sheet'!F107</f>
        <v>0</v>
      </c>
    </row>
    <row r="7" spans="1:2" s="8" customFormat="1" ht="19.899999999999999" customHeight="1" x14ac:dyDescent="0.25">
      <c r="A7" s="7" t="s">
        <v>17</v>
      </c>
      <c r="B7" s="7">
        <f>'Master Sheet'!G107</f>
        <v>0</v>
      </c>
    </row>
    <row r="8" spans="1:2" s="8" customFormat="1" ht="19.899999999999999" customHeight="1" x14ac:dyDescent="0.25">
      <c r="A8" s="7" t="s">
        <v>18</v>
      </c>
      <c r="B8" s="7">
        <f>'Master Sheet'!H107</f>
        <v>0</v>
      </c>
    </row>
    <row r="9" spans="1:2" s="8" customFormat="1" ht="19.899999999999999" customHeight="1" x14ac:dyDescent="0.25">
      <c r="A9" s="7" t="s">
        <v>19</v>
      </c>
      <c r="B9" s="7">
        <f>'Master Sheet'!I107</f>
        <v>0</v>
      </c>
    </row>
    <row r="10" spans="1:2" s="8" customFormat="1" ht="19.899999999999999" customHeight="1" x14ac:dyDescent="0.25">
      <c r="A10" s="7" t="s">
        <v>20</v>
      </c>
      <c r="B10" s="7">
        <f>'Master Sheet'!J107</f>
        <v>0</v>
      </c>
    </row>
    <row r="11" spans="1:2" s="8" customFormat="1" ht="19.899999999999999" customHeight="1" x14ac:dyDescent="0.25">
      <c r="A11" s="7" t="s">
        <v>21</v>
      </c>
      <c r="B11" s="7">
        <f>'Master Sheet'!K107</f>
        <v>0</v>
      </c>
    </row>
    <row r="12" spans="1:2" s="8" customFormat="1" ht="19.899999999999999" customHeight="1" x14ac:dyDescent="0.25">
      <c r="A12" s="7" t="s">
        <v>22</v>
      </c>
      <c r="B12" s="7">
        <f>'Master Sheet'!L107</f>
        <v>0</v>
      </c>
    </row>
    <row r="13" spans="1:2" s="8" customFormat="1" ht="19.899999999999999" customHeight="1" x14ac:dyDescent="0.25">
      <c r="A13" s="7" t="s">
        <v>23</v>
      </c>
      <c r="B13" s="7">
        <f>'Master Sheet'!M107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Sheet'!B108</f>
        <v>Rejani Cherukolpuzha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Sheet'!D108</f>
        <v>350</v>
      </c>
    </row>
    <row r="5" spans="1:2" s="8" customFormat="1" ht="19.899999999999999" customHeight="1" x14ac:dyDescent="0.25">
      <c r="A5" s="7" t="s">
        <v>15</v>
      </c>
      <c r="B5" s="7">
        <f>'Master Sheet'!E108</f>
        <v>350</v>
      </c>
    </row>
    <row r="6" spans="1:2" s="8" customFormat="1" ht="19.899999999999999" customHeight="1" x14ac:dyDescent="0.25">
      <c r="A6" s="7" t="s">
        <v>16</v>
      </c>
      <c r="B6" s="7">
        <f>'Master Sheet'!F108</f>
        <v>350</v>
      </c>
    </row>
    <row r="7" spans="1:2" s="8" customFormat="1" ht="19.899999999999999" customHeight="1" x14ac:dyDescent="0.25">
      <c r="A7" s="7" t="s">
        <v>17</v>
      </c>
      <c r="B7" s="7">
        <f>'Master Sheet'!G108</f>
        <v>0</v>
      </c>
    </row>
    <row r="8" spans="1:2" s="8" customFormat="1" ht="19.899999999999999" customHeight="1" x14ac:dyDescent="0.25">
      <c r="A8" s="7" t="s">
        <v>18</v>
      </c>
      <c r="B8" s="7">
        <f>'Master Sheet'!H108</f>
        <v>0</v>
      </c>
    </row>
    <row r="9" spans="1:2" s="8" customFormat="1" ht="19.899999999999999" customHeight="1" x14ac:dyDescent="0.25">
      <c r="A9" s="7" t="s">
        <v>19</v>
      </c>
      <c r="B9" s="7">
        <f>'Master Sheet'!I108</f>
        <v>0</v>
      </c>
    </row>
    <row r="10" spans="1:2" s="8" customFormat="1" ht="19.899999999999999" customHeight="1" x14ac:dyDescent="0.25">
      <c r="A10" s="7" t="s">
        <v>20</v>
      </c>
      <c r="B10" s="7">
        <f>'Master Sheet'!J108</f>
        <v>0</v>
      </c>
    </row>
    <row r="11" spans="1:2" s="8" customFormat="1" ht="19.899999999999999" customHeight="1" x14ac:dyDescent="0.25">
      <c r="A11" s="7" t="s">
        <v>21</v>
      </c>
      <c r="B11" s="7">
        <f>'Master Sheet'!K108</f>
        <v>0</v>
      </c>
    </row>
    <row r="12" spans="1:2" s="8" customFormat="1" ht="19.899999999999999" customHeight="1" x14ac:dyDescent="0.25">
      <c r="A12" s="7" t="s">
        <v>22</v>
      </c>
      <c r="B12" s="7">
        <f>'Master Sheet'!L108</f>
        <v>0</v>
      </c>
    </row>
    <row r="13" spans="1:2" s="8" customFormat="1" ht="19.899999999999999" customHeight="1" x14ac:dyDescent="0.25">
      <c r="A13" s="7" t="s">
        <v>23</v>
      </c>
      <c r="B13" s="7">
        <f>'Master Sheet'!M108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1" sqref="B11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Sheet'!B109</f>
        <v>Saleena Nellickal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Sheet'!D109</f>
        <v>0</v>
      </c>
    </row>
    <row r="5" spans="1:2" s="8" customFormat="1" ht="19.899999999999999" customHeight="1" x14ac:dyDescent="0.25">
      <c r="A5" s="7" t="s">
        <v>15</v>
      </c>
      <c r="B5" s="7">
        <f>'Master Sheet'!E109</f>
        <v>0</v>
      </c>
    </row>
    <row r="6" spans="1:2" s="8" customFormat="1" ht="19.899999999999999" customHeight="1" x14ac:dyDescent="0.25">
      <c r="A6" s="7" t="s">
        <v>16</v>
      </c>
      <c r="B6" s="7">
        <f>'Master Sheet'!F109</f>
        <v>0</v>
      </c>
    </row>
    <row r="7" spans="1:2" s="8" customFormat="1" ht="19.899999999999999" customHeight="1" x14ac:dyDescent="0.25">
      <c r="A7" s="7" t="s">
        <v>17</v>
      </c>
      <c r="B7" s="7">
        <f>'Master Sheet'!G109</f>
        <v>0</v>
      </c>
    </row>
    <row r="8" spans="1:2" s="8" customFormat="1" ht="19.899999999999999" customHeight="1" x14ac:dyDescent="0.25">
      <c r="A8" s="7" t="s">
        <v>18</v>
      </c>
      <c r="B8" s="7">
        <f>'Master Sheet'!H109</f>
        <v>0</v>
      </c>
    </row>
    <row r="9" spans="1:2" s="8" customFormat="1" ht="19.899999999999999" customHeight="1" x14ac:dyDescent="0.25">
      <c r="A9" s="7" t="s">
        <v>19</v>
      </c>
      <c r="B9" s="7">
        <f>'Master Sheet'!I109</f>
        <v>0</v>
      </c>
    </row>
    <row r="10" spans="1:2" s="8" customFormat="1" ht="19.899999999999999" customHeight="1" x14ac:dyDescent="0.25">
      <c r="A10" s="7" t="s">
        <v>20</v>
      </c>
      <c r="B10" s="7">
        <f>'Master Sheet'!J109</f>
        <v>0</v>
      </c>
    </row>
    <row r="11" spans="1:2" s="8" customFormat="1" ht="19.899999999999999" customHeight="1" x14ac:dyDescent="0.25">
      <c r="A11" s="7" t="s">
        <v>21</v>
      </c>
      <c r="B11" s="7">
        <f>'Master Sheet'!K109</f>
        <v>0</v>
      </c>
    </row>
    <row r="12" spans="1:2" s="8" customFormat="1" ht="19.899999999999999" customHeight="1" x14ac:dyDescent="0.25">
      <c r="A12" s="7" t="s">
        <v>22</v>
      </c>
      <c r="B12" s="7">
        <f>'Master Sheet'!L109</f>
        <v>0</v>
      </c>
    </row>
    <row r="13" spans="1:2" s="8" customFormat="1" ht="19.899999999999999" customHeight="1" x14ac:dyDescent="0.25">
      <c r="A13" s="7" t="s">
        <v>23</v>
      </c>
      <c r="B13" s="7">
        <f>'Master Sheet'!M109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I15" sqref="I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Sheet'!B110</f>
        <v>Sheeja Nellickal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Sheet'!D110</f>
        <v>350</v>
      </c>
    </row>
    <row r="5" spans="1:2" s="8" customFormat="1" ht="19.899999999999999" customHeight="1" x14ac:dyDescent="0.25">
      <c r="A5" s="7" t="s">
        <v>15</v>
      </c>
      <c r="B5" s="7">
        <f>'Master Sheet'!E110</f>
        <v>350</v>
      </c>
    </row>
    <row r="6" spans="1:2" s="8" customFormat="1" ht="19.899999999999999" customHeight="1" x14ac:dyDescent="0.25">
      <c r="A6" s="7" t="s">
        <v>16</v>
      </c>
      <c r="B6" s="7">
        <f>'Master Sheet'!F110</f>
        <v>350</v>
      </c>
    </row>
    <row r="7" spans="1:2" s="8" customFormat="1" ht="19.899999999999999" customHeight="1" x14ac:dyDescent="0.25">
      <c r="A7" s="7" t="s">
        <v>17</v>
      </c>
      <c r="B7" s="7">
        <f>'Master Sheet'!G110</f>
        <v>350</v>
      </c>
    </row>
    <row r="8" spans="1:2" s="8" customFormat="1" ht="19.899999999999999" customHeight="1" x14ac:dyDescent="0.25">
      <c r="A8" s="7" t="s">
        <v>18</v>
      </c>
      <c r="B8" s="7">
        <f>'Master Sheet'!H110</f>
        <v>0</v>
      </c>
    </row>
    <row r="9" spans="1:2" s="8" customFormat="1" ht="19.899999999999999" customHeight="1" x14ac:dyDescent="0.25">
      <c r="A9" s="7" t="s">
        <v>19</v>
      </c>
      <c r="B9" s="7">
        <f>'Master Sheet'!I110</f>
        <v>0</v>
      </c>
    </row>
    <row r="10" spans="1:2" s="8" customFormat="1" ht="19.899999999999999" customHeight="1" x14ac:dyDescent="0.25">
      <c r="A10" s="7" t="s">
        <v>20</v>
      </c>
      <c r="B10" s="7">
        <f>'Master Sheet'!J110</f>
        <v>0</v>
      </c>
    </row>
    <row r="11" spans="1:2" s="8" customFormat="1" ht="19.899999999999999" customHeight="1" x14ac:dyDescent="0.25">
      <c r="A11" s="7" t="s">
        <v>21</v>
      </c>
      <c r="B11" s="7">
        <f>'Master Sheet'!K110</f>
        <v>0</v>
      </c>
    </row>
    <row r="12" spans="1:2" s="8" customFormat="1" ht="19.899999999999999" customHeight="1" x14ac:dyDescent="0.25">
      <c r="A12" s="7" t="s">
        <v>22</v>
      </c>
      <c r="B12" s="7">
        <f>'Master Sheet'!L110</f>
        <v>0</v>
      </c>
    </row>
    <row r="13" spans="1:2" s="8" customFormat="1" ht="19.899999999999999" customHeight="1" x14ac:dyDescent="0.25">
      <c r="A13" s="7" t="s">
        <v>23</v>
      </c>
      <c r="B13" s="7">
        <f>'Master Sheet'!M110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Sheet'!B111</f>
        <v>Subin Muttumon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Sheet'!D111</f>
        <v>350</v>
      </c>
    </row>
    <row r="5" spans="1:2" s="8" customFormat="1" ht="19.899999999999999" customHeight="1" x14ac:dyDescent="0.25">
      <c r="A5" s="7" t="s">
        <v>15</v>
      </c>
      <c r="B5" s="7">
        <f>'Master Sheet'!E111</f>
        <v>350</v>
      </c>
    </row>
    <row r="6" spans="1:2" s="8" customFormat="1" ht="19.899999999999999" customHeight="1" x14ac:dyDescent="0.25">
      <c r="A6" s="7" t="s">
        <v>16</v>
      </c>
      <c r="B6" s="7">
        <f>'Master Sheet'!F111</f>
        <v>350</v>
      </c>
    </row>
    <row r="7" spans="1:2" s="8" customFormat="1" ht="19.899999999999999" customHeight="1" x14ac:dyDescent="0.25">
      <c r="A7" s="7" t="s">
        <v>17</v>
      </c>
      <c r="B7" s="7">
        <f>'Master Sheet'!G111</f>
        <v>0</v>
      </c>
    </row>
    <row r="8" spans="1:2" s="8" customFormat="1" ht="19.899999999999999" customHeight="1" x14ac:dyDescent="0.25">
      <c r="A8" s="7" t="s">
        <v>18</v>
      </c>
      <c r="B8" s="7">
        <f>'Master Sheet'!H111</f>
        <v>0</v>
      </c>
    </row>
    <row r="9" spans="1:2" s="8" customFormat="1" ht="19.899999999999999" customHeight="1" x14ac:dyDescent="0.25">
      <c r="A9" s="7" t="s">
        <v>19</v>
      </c>
      <c r="B9" s="7">
        <f>'Master Sheet'!I111</f>
        <v>0</v>
      </c>
    </row>
    <row r="10" spans="1:2" s="8" customFormat="1" ht="19.899999999999999" customHeight="1" x14ac:dyDescent="0.25">
      <c r="A10" s="7" t="s">
        <v>20</v>
      </c>
      <c r="B10" s="7">
        <f>'Master Sheet'!J111</f>
        <v>0</v>
      </c>
    </row>
    <row r="11" spans="1:2" s="8" customFormat="1" ht="19.899999999999999" customHeight="1" x14ac:dyDescent="0.25">
      <c r="A11" s="7" t="s">
        <v>21</v>
      </c>
      <c r="B11" s="7">
        <f>'Master Sheet'!K111</f>
        <v>0</v>
      </c>
    </row>
    <row r="12" spans="1:2" s="8" customFormat="1" ht="19.899999999999999" customHeight="1" x14ac:dyDescent="0.25">
      <c r="A12" s="7" t="s">
        <v>22</v>
      </c>
      <c r="B12" s="7">
        <f>'Master Sheet'!L111</f>
        <v>0</v>
      </c>
    </row>
    <row r="13" spans="1:2" s="8" customFormat="1" ht="19.899999999999999" customHeight="1" x14ac:dyDescent="0.25">
      <c r="A13" s="7" t="s">
        <v>23</v>
      </c>
      <c r="B13" s="7">
        <f>'Master Sheet'!M111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Sheet'!B112</f>
        <v>Ajay Muttumon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Sheet'!D112</f>
        <v>350</v>
      </c>
    </row>
    <row r="5" spans="1:2" s="8" customFormat="1" ht="19.899999999999999" customHeight="1" x14ac:dyDescent="0.25">
      <c r="A5" s="7" t="s">
        <v>15</v>
      </c>
      <c r="B5" s="7">
        <f>'Master Sheet'!E112</f>
        <v>350</v>
      </c>
    </row>
    <row r="6" spans="1:2" s="8" customFormat="1" ht="19.899999999999999" customHeight="1" x14ac:dyDescent="0.25">
      <c r="A6" s="7" t="s">
        <v>16</v>
      </c>
      <c r="B6" s="7">
        <f>'Master Sheet'!F112</f>
        <v>350</v>
      </c>
    </row>
    <row r="7" spans="1:2" s="8" customFormat="1" ht="19.899999999999999" customHeight="1" x14ac:dyDescent="0.25">
      <c r="A7" s="7" t="s">
        <v>17</v>
      </c>
      <c r="B7" s="7">
        <f>'Master Sheet'!G112</f>
        <v>0</v>
      </c>
    </row>
    <row r="8" spans="1:2" s="8" customFormat="1" ht="19.899999999999999" customHeight="1" x14ac:dyDescent="0.25">
      <c r="A8" s="7" t="s">
        <v>18</v>
      </c>
      <c r="B8" s="7">
        <f>'Master Sheet'!H112</f>
        <v>0</v>
      </c>
    </row>
    <row r="9" spans="1:2" s="8" customFormat="1" ht="19.899999999999999" customHeight="1" x14ac:dyDescent="0.25">
      <c r="A9" s="7" t="s">
        <v>19</v>
      </c>
      <c r="B9" s="7">
        <f>'Master Sheet'!I112</f>
        <v>0</v>
      </c>
    </row>
    <row r="10" spans="1:2" s="8" customFormat="1" ht="19.899999999999999" customHeight="1" x14ac:dyDescent="0.25">
      <c r="A10" s="7" t="s">
        <v>20</v>
      </c>
      <c r="B10" s="7">
        <f>'Master Sheet'!J112</f>
        <v>0</v>
      </c>
    </row>
    <row r="11" spans="1:2" s="8" customFormat="1" ht="19.899999999999999" customHeight="1" x14ac:dyDescent="0.25">
      <c r="A11" s="7" t="s">
        <v>21</v>
      </c>
      <c r="B11" s="7">
        <f>'Master Sheet'!K112</f>
        <v>0</v>
      </c>
    </row>
    <row r="12" spans="1:2" s="8" customFormat="1" ht="19.899999999999999" customHeight="1" x14ac:dyDescent="0.25">
      <c r="A12" s="7" t="s">
        <v>22</v>
      </c>
      <c r="B12" s="7">
        <f>'Master Sheet'!L112</f>
        <v>0</v>
      </c>
    </row>
    <row r="13" spans="1:2" s="8" customFormat="1" ht="19.899999999999999" customHeight="1" x14ac:dyDescent="0.25">
      <c r="A13" s="7" t="s">
        <v>23</v>
      </c>
      <c r="B13" s="7">
        <f>'Master Sheet'!M112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I16" sqref="I16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Sheet'!B113</f>
        <v>Surya  P.S Nedumprayar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Sheet'!D113</f>
        <v>350</v>
      </c>
    </row>
    <row r="5" spans="1:2" s="8" customFormat="1" ht="19.899999999999999" customHeight="1" x14ac:dyDescent="0.25">
      <c r="A5" s="7" t="s">
        <v>15</v>
      </c>
      <c r="B5" s="7">
        <f>'Master Sheet'!E113</f>
        <v>350</v>
      </c>
    </row>
    <row r="6" spans="1:2" s="8" customFormat="1" ht="19.899999999999999" customHeight="1" x14ac:dyDescent="0.25">
      <c r="A6" s="7" t="s">
        <v>16</v>
      </c>
      <c r="B6" s="7">
        <f>'Master Sheet'!F113</f>
        <v>350</v>
      </c>
    </row>
    <row r="7" spans="1:2" s="8" customFormat="1" ht="19.899999999999999" customHeight="1" x14ac:dyDescent="0.25">
      <c r="A7" s="7" t="s">
        <v>17</v>
      </c>
      <c r="B7" s="7">
        <f>'Master Sheet'!G113</f>
        <v>0</v>
      </c>
    </row>
    <row r="8" spans="1:2" s="8" customFormat="1" ht="19.899999999999999" customHeight="1" x14ac:dyDescent="0.25">
      <c r="A8" s="7" t="s">
        <v>18</v>
      </c>
      <c r="B8" s="7">
        <f>'Master Sheet'!H113</f>
        <v>0</v>
      </c>
    </row>
    <row r="9" spans="1:2" s="8" customFormat="1" ht="19.899999999999999" customHeight="1" x14ac:dyDescent="0.25">
      <c r="A9" s="7" t="s">
        <v>19</v>
      </c>
      <c r="B9" s="7">
        <f>'Master Sheet'!I113</f>
        <v>0</v>
      </c>
    </row>
    <row r="10" spans="1:2" s="8" customFormat="1" ht="19.899999999999999" customHeight="1" x14ac:dyDescent="0.25">
      <c r="A10" s="7" t="s">
        <v>20</v>
      </c>
      <c r="B10" s="7">
        <f>'Master Sheet'!J113</f>
        <v>0</v>
      </c>
    </row>
    <row r="11" spans="1:2" s="8" customFormat="1" ht="19.899999999999999" customHeight="1" x14ac:dyDescent="0.25">
      <c r="A11" s="7" t="s">
        <v>21</v>
      </c>
      <c r="B11" s="7">
        <f>'Master Sheet'!K113</f>
        <v>0</v>
      </c>
    </row>
    <row r="12" spans="1:2" s="8" customFormat="1" ht="19.899999999999999" customHeight="1" x14ac:dyDescent="0.25">
      <c r="A12" s="7" t="s">
        <v>22</v>
      </c>
      <c r="B12" s="7">
        <f>'Master Sheet'!L113</f>
        <v>0</v>
      </c>
    </row>
    <row r="13" spans="1:2" s="8" customFormat="1" ht="19.899999999999999" customHeight="1" x14ac:dyDescent="0.25">
      <c r="A13" s="7" t="s">
        <v>23</v>
      </c>
      <c r="B13" s="7">
        <f>'Master Sheet'!M113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Sheet'!B114</f>
        <v>Sreeja Thadiyoor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Sheet'!D114</f>
        <v>350</v>
      </c>
    </row>
    <row r="5" spans="1:2" s="8" customFormat="1" ht="19.899999999999999" customHeight="1" x14ac:dyDescent="0.25">
      <c r="A5" s="7" t="s">
        <v>15</v>
      </c>
      <c r="B5" s="7">
        <f>'Master Sheet'!E114</f>
        <v>350</v>
      </c>
    </row>
    <row r="6" spans="1:2" s="8" customFormat="1" ht="19.899999999999999" customHeight="1" x14ac:dyDescent="0.25">
      <c r="A6" s="7" t="s">
        <v>16</v>
      </c>
      <c r="B6" s="7">
        <f>'Master Sheet'!F114</f>
        <v>350</v>
      </c>
    </row>
    <row r="7" spans="1:2" s="8" customFormat="1" ht="19.899999999999999" customHeight="1" x14ac:dyDescent="0.25">
      <c r="A7" s="7" t="s">
        <v>17</v>
      </c>
      <c r="B7" s="7">
        <f>'Master Sheet'!G114</f>
        <v>0</v>
      </c>
    </row>
    <row r="8" spans="1:2" s="8" customFormat="1" ht="19.899999999999999" customHeight="1" x14ac:dyDescent="0.25">
      <c r="A8" s="7" t="s">
        <v>18</v>
      </c>
      <c r="B8" s="7">
        <f>'Master Sheet'!H114</f>
        <v>0</v>
      </c>
    </row>
    <row r="9" spans="1:2" s="8" customFormat="1" ht="19.899999999999999" customHeight="1" x14ac:dyDescent="0.25">
      <c r="A9" s="7" t="s">
        <v>19</v>
      </c>
      <c r="B9" s="7">
        <f>'Master Sheet'!I114</f>
        <v>0</v>
      </c>
    </row>
    <row r="10" spans="1:2" s="8" customFormat="1" ht="19.899999999999999" customHeight="1" x14ac:dyDescent="0.25">
      <c r="A10" s="7" t="s">
        <v>20</v>
      </c>
      <c r="B10" s="7">
        <f>'Master Sheet'!J114</f>
        <v>0</v>
      </c>
    </row>
    <row r="11" spans="1:2" s="8" customFormat="1" ht="19.899999999999999" customHeight="1" x14ac:dyDescent="0.25">
      <c r="A11" s="7" t="s">
        <v>21</v>
      </c>
      <c r="B11" s="7">
        <f>'Master Sheet'!K114</f>
        <v>0</v>
      </c>
    </row>
    <row r="12" spans="1:2" s="8" customFormat="1" ht="19.899999999999999" customHeight="1" x14ac:dyDescent="0.25">
      <c r="A12" s="7" t="s">
        <v>22</v>
      </c>
      <c r="B12" s="7">
        <f>'Master Sheet'!L114</f>
        <v>0</v>
      </c>
    </row>
    <row r="13" spans="1:2" s="8" customFormat="1" ht="19.899999999999999" customHeight="1" x14ac:dyDescent="0.25">
      <c r="A13" s="7" t="s">
        <v>23</v>
      </c>
      <c r="B13" s="7">
        <f>'Master Sheet'!M114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Sheet'!B115</f>
        <v>Liji Thomas Nedumprayar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Sheet'!D115</f>
        <v>350</v>
      </c>
    </row>
    <row r="5" spans="1:2" s="8" customFormat="1" ht="19.899999999999999" customHeight="1" x14ac:dyDescent="0.25">
      <c r="A5" s="7" t="s">
        <v>15</v>
      </c>
      <c r="B5" s="7">
        <f>'Master Sheet'!E115</f>
        <v>0</v>
      </c>
    </row>
    <row r="6" spans="1:2" s="8" customFormat="1" ht="19.899999999999999" customHeight="1" x14ac:dyDescent="0.25">
      <c r="A6" s="7" t="s">
        <v>16</v>
      </c>
      <c r="B6" s="7">
        <f>'Master Sheet'!F115</f>
        <v>0</v>
      </c>
    </row>
    <row r="7" spans="1:2" s="8" customFormat="1" ht="19.899999999999999" customHeight="1" x14ac:dyDescent="0.25">
      <c r="A7" s="7" t="s">
        <v>17</v>
      </c>
      <c r="B7" s="7">
        <f>'Master Sheet'!G115</f>
        <v>0</v>
      </c>
    </row>
    <row r="8" spans="1:2" s="8" customFormat="1" ht="19.899999999999999" customHeight="1" x14ac:dyDescent="0.25">
      <c r="A8" s="7" t="s">
        <v>18</v>
      </c>
      <c r="B8" s="7">
        <f>'Master Sheet'!H115</f>
        <v>0</v>
      </c>
    </row>
    <row r="9" spans="1:2" s="8" customFormat="1" ht="19.899999999999999" customHeight="1" x14ac:dyDescent="0.25">
      <c r="A9" s="7" t="s">
        <v>19</v>
      </c>
      <c r="B9" s="7">
        <f>'Master Sheet'!I115</f>
        <v>0</v>
      </c>
    </row>
    <row r="10" spans="1:2" s="8" customFormat="1" ht="19.899999999999999" customHeight="1" x14ac:dyDescent="0.25">
      <c r="A10" s="7" t="s">
        <v>20</v>
      </c>
      <c r="B10" s="7">
        <f>'Master Sheet'!J115</f>
        <v>0</v>
      </c>
    </row>
    <row r="11" spans="1:2" s="8" customFormat="1" ht="19.899999999999999" customHeight="1" x14ac:dyDescent="0.25">
      <c r="A11" s="7" t="s">
        <v>21</v>
      </c>
      <c r="B11" s="7">
        <f>'Master Sheet'!K115</f>
        <v>0</v>
      </c>
    </row>
    <row r="12" spans="1:2" s="8" customFormat="1" ht="19.899999999999999" customHeight="1" x14ac:dyDescent="0.25">
      <c r="A12" s="7" t="s">
        <v>22</v>
      </c>
      <c r="B12" s="7">
        <f>'Master Sheet'!L115</f>
        <v>0</v>
      </c>
    </row>
    <row r="13" spans="1:2" s="8" customFormat="1" ht="19.899999999999999" customHeight="1" x14ac:dyDescent="0.25">
      <c r="A13" s="7" t="s">
        <v>23</v>
      </c>
      <c r="B13" s="7">
        <f>'Master Sheet'!M115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Sheet'!B116</f>
        <v>Jayasree Suresh Chennithala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Sheet'!D116</f>
        <v>350</v>
      </c>
    </row>
    <row r="5" spans="1:2" s="8" customFormat="1" ht="19.899999999999999" customHeight="1" x14ac:dyDescent="0.25">
      <c r="A5" s="7" t="s">
        <v>15</v>
      </c>
      <c r="B5" s="7">
        <f>'Master Sheet'!E116</f>
        <v>0</v>
      </c>
    </row>
    <row r="6" spans="1:2" s="8" customFormat="1" ht="19.899999999999999" customHeight="1" x14ac:dyDescent="0.25">
      <c r="A6" s="7" t="s">
        <v>16</v>
      </c>
      <c r="B6" s="7">
        <f>'Master Sheet'!F116</f>
        <v>0</v>
      </c>
    </row>
    <row r="7" spans="1:2" s="8" customFormat="1" ht="19.899999999999999" customHeight="1" x14ac:dyDescent="0.25">
      <c r="A7" s="7" t="s">
        <v>17</v>
      </c>
      <c r="B7" s="7">
        <f>'Master Sheet'!G116</f>
        <v>0</v>
      </c>
    </row>
    <row r="8" spans="1:2" s="8" customFormat="1" ht="19.899999999999999" customHeight="1" x14ac:dyDescent="0.25">
      <c r="A8" s="7" t="s">
        <v>18</v>
      </c>
      <c r="B8" s="7">
        <f>'Master Sheet'!H116</f>
        <v>0</v>
      </c>
    </row>
    <row r="9" spans="1:2" s="8" customFormat="1" ht="19.899999999999999" customHeight="1" x14ac:dyDescent="0.25">
      <c r="A9" s="7" t="s">
        <v>19</v>
      </c>
      <c r="B9" s="7">
        <f>'Master Sheet'!I116</f>
        <v>0</v>
      </c>
    </row>
    <row r="10" spans="1:2" s="8" customFormat="1" ht="19.899999999999999" customHeight="1" x14ac:dyDescent="0.25">
      <c r="A10" s="7" t="s">
        <v>20</v>
      </c>
      <c r="B10" s="7">
        <f>'Master Sheet'!J116</f>
        <v>0</v>
      </c>
    </row>
    <row r="11" spans="1:2" s="8" customFormat="1" ht="19.899999999999999" customHeight="1" x14ac:dyDescent="0.25">
      <c r="A11" s="7" t="s">
        <v>21</v>
      </c>
      <c r="B11" s="7">
        <f>'Master Sheet'!K116</f>
        <v>0</v>
      </c>
    </row>
    <row r="12" spans="1:2" s="8" customFormat="1" ht="19.899999999999999" customHeight="1" x14ac:dyDescent="0.25">
      <c r="A12" s="7" t="s">
        <v>22</v>
      </c>
      <c r="B12" s="7">
        <f>'Master Sheet'!L116</f>
        <v>0</v>
      </c>
    </row>
    <row r="13" spans="1:2" s="8" customFormat="1" ht="19.899999999999999" customHeight="1" x14ac:dyDescent="0.25">
      <c r="A13" s="7" t="s">
        <v>23</v>
      </c>
      <c r="B13" s="7">
        <f>'Master Sheet'!M116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6" sqref="B6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Sheet'!B117</f>
        <v>Latha Mannar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Sheet'!D117</f>
        <v>350</v>
      </c>
    </row>
    <row r="5" spans="1:2" s="8" customFormat="1" ht="19.899999999999999" customHeight="1" x14ac:dyDescent="0.25">
      <c r="A5" s="7" t="s">
        <v>15</v>
      </c>
      <c r="B5" s="7">
        <f>'Master Sheet'!E117</f>
        <v>350</v>
      </c>
    </row>
    <row r="6" spans="1:2" s="8" customFormat="1" ht="19.899999999999999" customHeight="1" x14ac:dyDescent="0.25">
      <c r="A6" s="7" t="s">
        <v>16</v>
      </c>
      <c r="B6" s="7">
        <f>'Master Sheet'!F117</f>
        <v>350</v>
      </c>
    </row>
    <row r="7" spans="1:2" s="8" customFormat="1" ht="19.899999999999999" customHeight="1" x14ac:dyDescent="0.25">
      <c r="A7" s="7" t="s">
        <v>17</v>
      </c>
      <c r="B7" s="7">
        <f>'Master Sheet'!G117</f>
        <v>350</v>
      </c>
    </row>
    <row r="8" spans="1:2" s="8" customFormat="1" ht="19.899999999999999" customHeight="1" x14ac:dyDescent="0.25">
      <c r="A8" s="7" t="s">
        <v>18</v>
      </c>
      <c r="B8" s="7">
        <f>'Master Sheet'!H117</f>
        <v>0</v>
      </c>
    </row>
    <row r="9" spans="1:2" s="8" customFormat="1" ht="19.899999999999999" customHeight="1" x14ac:dyDescent="0.25">
      <c r="A9" s="7" t="s">
        <v>19</v>
      </c>
      <c r="B9" s="7">
        <f>'Master Sheet'!I117</f>
        <v>0</v>
      </c>
    </row>
    <row r="10" spans="1:2" s="8" customFormat="1" ht="19.899999999999999" customHeight="1" x14ac:dyDescent="0.25">
      <c r="A10" s="7" t="s">
        <v>20</v>
      </c>
      <c r="B10" s="7">
        <f>'Master Sheet'!J117</f>
        <v>0</v>
      </c>
    </row>
    <row r="11" spans="1:2" s="8" customFormat="1" ht="19.899999999999999" customHeight="1" x14ac:dyDescent="0.25">
      <c r="A11" s="7" t="s">
        <v>21</v>
      </c>
      <c r="B11" s="7">
        <f>'Master Sheet'!K117</f>
        <v>0</v>
      </c>
    </row>
    <row r="12" spans="1:2" s="8" customFormat="1" ht="19.899999999999999" customHeight="1" x14ac:dyDescent="0.25">
      <c r="A12" s="7" t="s">
        <v>22</v>
      </c>
      <c r="B12" s="7">
        <f>'Master Sheet'!L117</f>
        <v>0</v>
      </c>
    </row>
    <row r="13" spans="1:2" s="8" customFormat="1" ht="19.899999999999999" customHeight="1" x14ac:dyDescent="0.25">
      <c r="A13" s="7" t="s">
        <v>23</v>
      </c>
      <c r="B13" s="7">
        <f>'Master Sheet'!M117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L13" sqref="L13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Sheet'!B118</f>
        <v>Shaji Mannar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Sheet'!D118</f>
        <v>350</v>
      </c>
    </row>
    <row r="5" spans="1:2" s="8" customFormat="1" ht="19.899999999999999" customHeight="1" x14ac:dyDescent="0.25">
      <c r="A5" s="7" t="s">
        <v>15</v>
      </c>
      <c r="B5" s="7">
        <f>'Master Sheet'!E118</f>
        <v>350</v>
      </c>
    </row>
    <row r="6" spans="1:2" s="8" customFormat="1" ht="19.899999999999999" customHeight="1" x14ac:dyDescent="0.25">
      <c r="A6" s="7" t="s">
        <v>16</v>
      </c>
      <c r="B6" s="7">
        <f>'Master Sheet'!F118</f>
        <v>350</v>
      </c>
    </row>
    <row r="7" spans="1:2" s="8" customFormat="1" ht="19.899999999999999" customHeight="1" x14ac:dyDescent="0.25">
      <c r="A7" s="7" t="s">
        <v>17</v>
      </c>
      <c r="B7" s="7">
        <f>'Master Sheet'!G118</f>
        <v>350</v>
      </c>
    </row>
    <row r="8" spans="1:2" s="8" customFormat="1" ht="19.899999999999999" customHeight="1" x14ac:dyDescent="0.25">
      <c r="A8" s="7" t="s">
        <v>18</v>
      </c>
      <c r="B8" s="7">
        <f>'Master Sheet'!H118</f>
        <v>0</v>
      </c>
    </row>
    <row r="9" spans="1:2" s="8" customFormat="1" ht="19.899999999999999" customHeight="1" x14ac:dyDescent="0.25">
      <c r="A9" s="7" t="s">
        <v>19</v>
      </c>
      <c r="B9" s="7">
        <f>'Master Sheet'!I118</f>
        <v>0</v>
      </c>
    </row>
    <row r="10" spans="1:2" s="8" customFormat="1" ht="19.899999999999999" customHeight="1" x14ac:dyDescent="0.25">
      <c r="A10" s="7" t="s">
        <v>20</v>
      </c>
      <c r="B10" s="7">
        <f>'Master Sheet'!J118</f>
        <v>0</v>
      </c>
    </row>
    <row r="11" spans="1:2" s="8" customFormat="1" ht="19.899999999999999" customHeight="1" x14ac:dyDescent="0.25">
      <c r="A11" s="7" t="s">
        <v>21</v>
      </c>
      <c r="B11" s="7">
        <f>'Master Sheet'!K118</f>
        <v>0</v>
      </c>
    </row>
    <row r="12" spans="1:2" s="8" customFormat="1" ht="19.899999999999999" customHeight="1" x14ac:dyDescent="0.25">
      <c r="A12" s="7" t="s">
        <v>22</v>
      </c>
      <c r="B12" s="7">
        <f>'Master Sheet'!L118</f>
        <v>0</v>
      </c>
    </row>
    <row r="13" spans="1:2" s="8" customFormat="1" ht="19.899999999999999" customHeight="1" x14ac:dyDescent="0.25">
      <c r="A13" s="7" t="s">
        <v>23</v>
      </c>
      <c r="B13" s="7">
        <f>'Master Sheet'!M118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Sheet'!B119</f>
        <v>Rahul Mannar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Sheet'!D119</f>
        <v>0</v>
      </c>
    </row>
    <row r="5" spans="1:2" s="8" customFormat="1" ht="19.899999999999999" customHeight="1" x14ac:dyDescent="0.25">
      <c r="A5" s="7" t="s">
        <v>15</v>
      </c>
      <c r="B5" s="7">
        <f>'Master Sheet'!E119</f>
        <v>0</v>
      </c>
    </row>
    <row r="6" spans="1:2" s="8" customFormat="1" ht="19.899999999999999" customHeight="1" x14ac:dyDescent="0.25">
      <c r="A6" s="7" t="s">
        <v>16</v>
      </c>
      <c r="B6" s="7">
        <f>'Master Sheet'!F119</f>
        <v>0</v>
      </c>
    </row>
    <row r="7" spans="1:2" s="8" customFormat="1" ht="19.899999999999999" customHeight="1" x14ac:dyDescent="0.25">
      <c r="A7" s="7" t="s">
        <v>17</v>
      </c>
      <c r="B7" s="7">
        <f>'Master Sheet'!G119</f>
        <v>0</v>
      </c>
    </row>
    <row r="8" spans="1:2" s="8" customFormat="1" ht="19.899999999999999" customHeight="1" x14ac:dyDescent="0.25">
      <c r="A8" s="7" t="s">
        <v>18</v>
      </c>
      <c r="B8" s="7">
        <f>'Master Sheet'!H119</f>
        <v>0</v>
      </c>
    </row>
    <row r="9" spans="1:2" s="8" customFormat="1" ht="19.899999999999999" customHeight="1" x14ac:dyDescent="0.25">
      <c r="A9" s="7" t="s">
        <v>19</v>
      </c>
      <c r="B9" s="7">
        <f>'Master Sheet'!I119</f>
        <v>0</v>
      </c>
    </row>
    <row r="10" spans="1:2" s="8" customFormat="1" ht="19.899999999999999" customHeight="1" x14ac:dyDescent="0.25">
      <c r="A10" s="7" t="s">
        <v>20</v>
      </c>
      <c r="B10" s="7">
        <f>'Master Sheet'!J119</f>
        <v>0</v>
      </c>
    </row>
    <row r="11" spans="1:2" s="8" customFormat="1" ht="19.899999999999999" customHeight="1" x14ac:dyDescent="0.25">
      <c r="A11" s="7" t="s">
        <v>21</v>
      </c>
      <c r="B11" s="7">
        <f>'Master Sheet'!K119</f>
        <v>0</v>
      </c>
    </row>
    <row r="12" spans="1:2" s="8" customFormat="1" ht="19.899999999999999" customHeight="1" x14ac:dyDescent="0.25">
      <c r="A12" s="7" t="s">
        <v>22</v>
      </c>
      <c r="B12" s="7">
        <f>'Master Sheet'!L119</f>
        <v>0</v>
      </c>
    </row>
    <row r="13" spans="1:2" s="8" customFormat="1" ht="19.899999999999999" customHeight="1" x14ac:dyDescent="0.25">
      <c r="A13" s="7" t="s">
        <v>23</v>
      </c>
      <c r="B13" s="7">
        <f>'Master Sheet'!M119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Sheet'!B120</f>
        <v>Renjith Omalloor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Sheet'!D120</f>
        <v>0</v>
      </c>
    </row>
    <row r="5" spans="1:2" s="8" customFormat="1" ht="19.899999999999999" customHeight="1" x14ac:dyDescent="0.25">
      <c r="A5" s="7" t="s">
        <v>15</v>
      </c>
      <c r="B5" s="7">
        <f>'Master Sheet'!E120</f>
        <v>0</v>
      </c>
    </row>
    <row r="6" spans="1:2" s="8" customFormat="1" ht="19.899999999999999" customHeight="1" x14ac:dyDescent="0.25">
      <c r="A6" s="7" t="s">
        <v>16</v>
      </c>
      <c r="B6" s="7">
        <f>'Master Sheet'!F120</f>
        <v>0</v>
      </c>
    </row>
    <row r="7" spans="1:2" s="8" customFormat="1" ht="19.899999999999999" customHeight="1" x14ac:dyDescent="0.25">
      <c r="A7" s="7" t="s">
        <v>17</v>
      </c>
      <c r="B7" s="7">
        <f>'Master Sheet'!G120</f>
        <v>0</v>
      </c>
    </row>
    <row r="8" spans="1:2" s="8" customFormat="1" ht="19.899999999999999" customHeight="1" x14ac:dyDescent="0.25">
      <c r="A8" s="7" t="s">
        <v>18</v>
      </c>
      <c r="B8" s="7">
        <f>'Master Sheet'!H120</f>
        <v>0</v>
      </c>
    </row>
    <row r="9" spans="1:2" s="8" customFormat="1" ht="19.899999999999999" customHeight="1" x14ac:dyDescent="0.25">
      <c r="A9" s="7" t="s">
        <v>19</v>
      </c>
      <c r="B9" s="7">
        <f>'Master Sheet'!I120</f>
        <v>0</v>
      </c>
    </row>
    <row r="10" spans="1:2" s="8" customFormat="1" ht="19.899999999999999" customHeight="1" x14ac:dyDescent="0.25">
      <c r="A10" s="7" t="s">
        <v>20</v>
      </c>
      <c r="B10" s="7">
        <f>'Master Sheet'!J120</f>
        <v>0</v>
      </c>
    </row>
    <row r="11" spans="1:2" s="8" customFormat="1" ht="19.899999999999999" customHeight="1" x14ac:dyDescent="0.25">
      <c r="A11" s="7" t="s">
        <v>21</v>
      </c>
      <c r="B11" s="7">
        <f>'Master Sheet'!K120</f>
        <v>0</v>
      </c>
    </row>
    <row r="12" spans="1:2" s="8" customFormat="1" ht="19.899999999999999" customHeight="1" x14ac:dyDescent="0.25">
      <c r="A12" s="7" t="s">
        <v>22</v>
      </c>
      <c r="B12" s="7">
        <f>'Master Sheet'!L120</f>
        <v>0</v>
      </c>
    </row>
    <row r="13" spans="1:2" s="8" customFormat="1" ht="19.899999999999999" customHeight="1" x14ac:dyDescent="0.25">
      <c r="A13" s="7" t="s">
        <v>23</v>
      </c>
      <c r="B13" s="7">
        <f>'Master Sheet'!M120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Sheet'!B121</f>
        <v>Usha Sreekumar Kazhakunnam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Sheet'!D121</f>
        <v>350</v>
      </c>
    </row>
    <row r="5" spans="1:2" s="8" customFormat="1" ht="19.899999999999999" customHeight="1" x14ac:dyDescent="0.25">
      <c r="A5" s="7" t="s">
        <v>15</v>
      </c>
      <c r="B5" s="7">
        <f>'Master Sheet'!E121</f>
        <v>350</v>
      </c>
    </row>
    <row r="6" spans="1:2" s="8" customFormat="1" ht="19.899999999999999" customHeight="1" x14ac:dyDescent="0.25">
      <c r="A6" s="7" t="s">
        <v>16</v>
      </c>
      <c r="B6" s="7">
        <f>'Master Sheet'!F121</f>
        <v>350</v>
      </c>
    </row>
    <row r="7" spans="1:2" s="8" customFormat="1" ht="19.899999999999999" customHeight="1" x14ac:dyDescent="0.25">
      <c r="A7" s="7" t="s">
        <v>17</v>
      </c>
      <c r="B7" s="7">
        <f>'Master Sheet'!G121</f>
        <v>0</v>
      </c>
    </row>
    <row r="8" spans="1:2" s="8" customFormat="1" ht="19.899999999999999" customHeight="1" x14ac:dyDescent="0.25">
      <c r="A8" s="7" t="s">
        <v>18</v>
      </c>
      <c r="B8" s="7">
        <f>'Master Sheet'!H121</f>
        <v>0</v>
      </c>
    </row>
    <row r="9" spans="1:2" s="8" customFormat="1" ht="19.899999999999999" customHeight="1" x14ac:dyDescent="0.25">
      <c r="A9" s="7" t="s">
        <v>19</v>
      </c>
      <c r="B9" s="7">
        <f>'Master Sheet'!I121</f>
        <v>0</v>
      </c>
    </row>
    <row r="10" spans="1:2" s="8" customFormat="1" ht="19.899999999999999" customHeight="1" x14ac:dyDescent="0.25">
      <c r="A10" s="7" t="s">
        <v>20</v>
      </c>
      <c r="B10" s="7">
        <f>'Master Sheet'!J121</f>
        <v>0</v>
      </c>
    </row>
    <row r="11" spans="1:2" s="8" customFormat="1" ht="19.899999999999999" customHeight="1" x14ac:dyDescent="0.25">
      <c r="A11" s="7" t="s">
        <v>21</v>
      </c>
      <c r="B11" s="7">
        <f>'Master Sheet'!K121</f>
        <v>0</v>
      </c>
    </row>
    <row r="12" spans="1:2" s="8" customFormat="1" ht="19.899999999999999" customHeight="1" x14ac:dyDescent="0.25">
      <c r="A12" s="7" t="s">
        <v>22</v>
      </c>
      <c r="B12" s="7">
        <f>'Master Sheet'!L121</f>
        <v>0</v>
      </c>
    </row>
    <row r="13" spans="1:2" s="8" customFormat="1" ht="19.899999999999999" customHeight="1" x14ac:dyDescent="0.25">
      <c r="A13" s="7" t="s">
        <v>23</v>
      </c>
      <c r="B13" s="7">
        <f>'Master Sheet'!M121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Sheet'!B122</f>
        <v>Anish Melikara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Sheet'!D122</f>
        <v>350</v>
      </c>
    </row>
    <row r="5" spans="1:2" s="8" customFormat="1" ht="19.899999999999999" customHeight="1" x14ac:dyDescent="0.25">
      <c r="A5" s="7" t="s">
        <v>15</v>
      </c>
      <c r="B5" s="7">
        <f>'Master Sheet'!E122</f>
        <v>0</v>
      </c>
    </row>
    <row r="6" spans="1:2" s="8" customFormat="1" ht="19.899999999999999" customHeight="1" x14ac:dyDescent="0.25">
      <c r="A6" s="7" t="s">
        <v>16</v>
      </c>
      <c r="B6" s="7">
        <f>'Master Sheet'!F122</f>
        <v>0</v>
      </c>
    </row>
    <row r="7" spans="1:2" s="8" customFormat="1" ht="19.899999999999999" customHeight="1" x14ac:dyDescent="0.25">
      <c r="A7" s="7" t="s">
        <v>17</v>
      </c>
      <c r="B7" s="7">
        <f>'Master Sheet'!G122</f>
        <v>0</v>
      </c>
    </row>
    <row r="8" spans="1:2" s="8" customFormat="1" ht="19.899999999999999" customHeight="1" x14ac:dyDescent="0.25">
      <c r="A8" s="7" t="s">
        <v>18</v>
      </c>
      <c r="B8" s="7">
        <f>'Master Sheet'!H122</f>
        <v>0</v>
      </c>
    </row>
    <row r="9" spans="1:2" s="8" customFormat="1" ht="19.899999999999999" customHeight="1" x14ac:dyDescent="0.25">
      <c r="A9" s="7" t="s">
        <v>19</v>
      </c>
      <c r="B9" s="7">
        <f>'Master Sheet'!I122</f>
        <v>0</v>
      </c>
    </row>
    <row r="10" spans="1:2" s="8" customFormat="1" ht="19.899999999999999" customHeight="1" x14ac:dyDescent="0.25">
      <c r="A10" s="7" t="s">
        <v>20</v>
      </c>
      <c r="B10" s="7">
        <f>'Master Sheet'!J122</f>
        <v>0</v>
      </c>
    </row>
    <row r="11" spans="1:2" s="8" customFormat="1" ht="19.899999999999999" customHeight="1" x14ac:dyDescent="0.25">
      <c r="A11" s="7" t="s">
        <v>21</v>
      </c>
      <c r="B11" s="7">
        <f>'Master Sheet'!K122</f>
        <v>0</v>
      </c>
    </row>
    <row r="12" spans="1:2" s="8" customFormat="1" ht="19.899999999999999" customHeight="1" x14ac:dyDescent="0.25">
      <c r="A12" s="7" t="s">
        <v>22</v>
      </c>
      <c r="B12" s="7">
        <f>'Master Sheet'!L122</f>
        <v>0</v>
      </c>
    </row>
    <row r="13" spans="1:2" s="8" customFormat="1" ht="19.899999999999999" customHeight="1" x14ac:dyDescent="0.25">
      <c r="A13" s="7" t="s">
        <v>23</v>
      </c>
      <c r="B13" s="7">
        <f>'Master Sheet'!M122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Sheet'!B123</f>
        <v>Smitha Rajeev Melukara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Sheet'!D123</f>
        <v>0</v>
      </c>
    </row>
    <row r="5" spans="1:2" s="8" customFormat="1" ht="19.899999999999999" customHeight="1" x14ac:dyDescent="0.25">
      <c r="A5" s="7" t="s">
        <v>15</v>
      </c>
      <c r="B5" s="7">
        <f>'Master Sheet'!E123</f>
        <v>0</v>
      </c>
    </row>
    <row r="6" spans="1:2" s="8" customFormat="1" ht="19.899999999999999" customHeight="1" x14ac:dyDescent="0.25">
      <c r="A6" s="7" t="s">
        <v>16</v>
      </c>
      <c r="B6" s="7">
        <f>'Master Sheet'!F123</f>
        <v>0</v>
      </c>
    </row>
    <row r="7" spans="1:2" s="8" customFormat="1" ht="19.899999999999999" customHeight="1" x14ac:dyDescent="0.25">
      <c r="A7" s="7" t="s">
        <v>17</v>
      </c>
      <c r="B7" s="7">
        <f>'Master Sheet'!G123</f>
        <v>0</v>
      </c>
    </row>
    <row r="8" spans="1:2" s="8" customFormat="1" ht="19.899999999999999" customHeight="1" x14ac:dyDescent="0.25">
      <c r="A8" s="7" t="s">
        <v>18</v>
      </c>
      <c r="B8" s="7">
        <f>'Master Sheet'!H123</f>
        <v>0</v>
      </c>
    </row>
    <row r="9" spans="1:2" s="8" customFormat="1" ht="19.899999999999999" customHeight="1" x14ac:dyDescent="0.25">
      <c r="A9" s="7" t="s">
        <v>19</v>
      </c>
      <c r="B9" s="7">
        <f>'Master Sheet'!I123</f>
        <v>0</v>
      </c>
    </row>
    <row r="10" spans="1:2" s="8" customFormat="1" ht="19.899999999999999" customHeight="1" x14ac:dyDescent="0.25">
      <c r="A10" s="7" t="s">
        <v>20</v>
      </c>
      <c r="B10" s="7">
        <f>'Master Sheet'!J123</f>
        <v>0</v>
      </c>
    </row>
    <row r="11" spans="1:2" s="8" customFormat="1" ht="19.899999999999999" customHeight="1" x14ac:dyDescent="0.25">
      <c r="A11" s="7" t="s">
        <v>21</v>
      </c>
      <c r="B11" s="7">
        <f>'Master Sheet'!K123</f>
        <v>0</v>
      </c>
    </row>
    <row r="12" spans="1:2" s="8" customFormat="1" ht="19.899999999999999" customHeight="1" x14ac:dyDescent="0.25">
      <c r="A12" s="7" t="s">
        <v>22</v>
      </c>
      <c r="B12" s="7">
        <f>'Master Sheet'!L123</f>
        <v>0</v>
      </c>
    </row>
    <row r="13" spans="1:2" s="8" customFormat="1" ht="19.899999999999999" customHeight="1" x14ac:dyDescent="0.25">
      <c r="A13" s="7" t="s">
        <v>23</v>
      </c>
      <c r="B13" s="7">
        <f>'Master Sheet'!M123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5" sqref="B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Sheet'!B124</f>
        <v>Sanu Mohan Kozhanchery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Sheet'!D124</f>
        <v>500</v>
      </c>
    </row>
    <row r="5" spans="1:2" s="8" customFormat="1" ht="19.899999999999999" customHeight="1" x14ac:dyDescent="0.25">
      <c r="A5" s="7" t="s">
        <v>15</v>
      </c>
      <c r="B5" s="7">
        <f>'Master Sheet'!E124</f>
        <v>0</v>
      </c>
    </row>
    <row r="6" spans="1:2" s="8" customFormat="1" ht="19.899999999999999" customHeight="1" x14ac:dyDescent="0.25">
      <c r="A6" s="7" t="s">
        <v>16</v>
      </c>
      <c r="B6" s="7">
        <f>'Master Sheet'!F124</f>
        <v>0</v>
      </c>
    </row>
    <row r="7" spans="1:2" s="8" customFormat="1" ht="19.899999999999999" customHeight="1" x14ac:dyDescent="0.25">
      <c r="A7" s="7" t="s">
        <v>17</v>
      </c>
      <c r="B7" s="7">
        <f>'Master Sheet'!G124</f>
        <v>0</v>
      </c>
    </row>
    <row r="8" spans="1:2" s="8" customFormat="1" ht="19.899999999999999" customHeight="1" x14ac:dyDescent="0.25">
      <c r="A8" s="7" t="s">
        <v>18</v>
      </c>
      <c r="B8" s="7">
        <f>'Master Sheet'!H124</f>
        <v>0</v>
      </c>
    </row>
    <row r="9" spans="1:2" s="8" customFormat="1" ht="19.899999999999999" customHeight="1" x14ac:dyDescent="0.25">
      <c r="A9" s="7" t="s">
        <v>19</v>
      </c>
      <c r="B9" s="7">
        <f>'Master Sheet'!I124</f>
        <v>0</v>
      </c>
    </row>
    <row r="10" spans="1:2" s="8" customFormat="1" ht="19.899999999999999" customHeight="1" x14ac:dyDescent="0.25">
      <c r="A10" s="7" t="s">
        <v>20</v>
      </c>
      <c r="B10" s="7">
        <f>'Master Sheet'!J124</f>
        <v>0</v>
      </c>
    </row>
    <row r="11" spans="1:2" s="8" customFormat="1" ht="19.899999999999999" customHeight="1" x14ac:dyDescent="0.25">
      <c r="A11" s="7" t="s">
        <v>21</v>
      </c>
      <c r="B11" s="7">
        <f>'Master Sheet'!K124</f>
        <v>0</v>
      </c>
    </row>
    <row r="12" spans="1:2" s="8" customFormat="1" ht="19.899999999999999" customHeight="1" x14ac:dyDescent="0.25">
      <c r="A12" s="7" t="s">
        <v>22</v>
      </c>
      <c r="B12" s="7">
        <f>'Master Sheet'!L124</f>
        <v>0</v>
      </c>
    </row>
    <row r="13" spans="1:2" s="8" customFormat="1" ht="19.899999999999999" customHeight="1" x14ac:dyDescent="0.25">
      <c r="A13" s="7" t="s">
        <v>23</v>
      </c>
      <c r="B13" s="7">
        <f>'Master Sheet'!M124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500</v>
      </c>
    </row>
    <row r="15" spans="1:2" s="8" customFormat="1" ht="19.899999999999999" customHeight="1" x14ac:dyDescent="0.25">
      <c r="A15" s="7" t="s">
        <v>25</v>
      </c>
      <c r="B15" s="7">
        <f>3500-B14</f>
        <v>3000</v>
      </c>
    </row>
  </sheetData>
  <mergeCells count="1">
    <mergeCell ref="A1:B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Sheet'!B125</f>
        <v>Maya Chenganassery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Sheet'!D125</f>
        <v>350</v>
      </c>
    </row>
    <row r="5" spans="1:2" s="8" customFormat="1" ht="19.899999999999999" customHeight="1" x14ac:dyDescent="0.25">
      <c r="A5" s="7" t="s">
        <v>15</v>
      </c>
      <c r="B5" s="7">
        <f>'Master Sheet'!E125</f>
        <v>0</v>
      </c>
    </row>
    <row r="6" spans="1:2" s="8" customFormat="1" ht="19.899999999999999" customHeight="1" x14ac:dyDescent="0.25">
      <c r="A6" s="7" t="s">
        <v>16</v>
      </c>
      <c r="B6" s="7">
        <f>'Master Sheet'!F125</f>
        <v>0</v>
      </c>
    </row>
    <row r="7" spans="1:2" s="8" customFormat="1" ht="19.899999999999999" customHeight="1" x14ac:dyDescent="0.25">
      <c r="A7" s="7" t="s">
        <v>17</v>
      </c>
      <c r="B7" s="7">
        <f>'Master Sheet'!G125</f>
        <v>0</v>
      </c>
    </row>
    <row r="8" spans="1:2" s="8" customFormat="1" ht="19.899999999999999" customHeight="1" x14ac:dyDescent="0.25">
      <c r="A8" s="7" t="s">
        <v>18</v>
      </c>
      <c r="B8" s="7">
        <f>'Master Sheet'!H125</f>
        <v>0</v>
      </c>
    </row>
    <row r="9" spans="1:2" s="8" customFormat="1" ht="19.899999999999999" customHeight="1" x14ac:dyDescent="0.25">
      <c r="A9" s="7" t="s">
        <v>19</v>
      </c>
      <c r="B9" s="7">
        <f>'Master Sheet'!I125</f>
        <v>0</v>
      </c>
    </row>
    <row r="10" spans="1:2" s="8" customFormat="1" ht="19.899999999999999" customHeight="1" x14ac:dyDescent="0.25">
      <c r="A10" s="7" t="s">
        <v>20</v>
      </c>
      <c r="B10" s="7">
        <f>'Master Sheet'!J125</f>
        <v>0</v>
      </c>
    </row>
    <row r="11" spans="1:2" s="8" customFormat="1" ht="19.899999999999999" customHeight="1" x14ac:dyDescent="0.25">
      <c r="A11" s="7" t="s">
        <v>21</v>
      </c>
      <c r="B11" s="7">
        <f>'Master Sheet'!K125</f>
        <v>0</v>
      </c>
    </row>
    <row r="12" spans="1:2" s="8" customFormat="1" ht="19.899999999999999" customHeight="1" x14ac:dyDescent="0.25">
      <c r="A12" s="7" t="s">
        <v>22</v>
      </c>
      <c r="B12" s="7">
        <f>'Master Sheet'!L125</f>
        <v>0</v>
      </c>
    </row>
    <row r="13" spans="1:2" s="8" customFormat="1" ht="19.899999999999999" customHeight="1" x14ac:dyDescent="0.25">
      <c r="A13" s="7" t="s">
        <v>23</v>
      </c>
      <c r="B13" s="7">
        <f>'Master Sheet'!M125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Sheet'!B126</f>
        <v>Savithri Paippad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Sheet'!D126</f>
        <v>350</v>
      </c>
    </row>
    <row r="5" spans="1:2" s="8" customFormat="1" ht="19.899999999999999" customHeight="1" x14ac:dyDescent="0.25">
      <c r="A5" s="7" t="s">
        <v>15</v>
      </c>
      <c r="B5" s="7">
        <f>'Master Sheet'!E126</f>
        <v>350</v>
      </c>
    </row>
    <row r="6" spans="1:2" s="8" customFormat="1" ht="19.899999999999999" customHeight="1" x14ac:dyDescent="0.25">
      <c r="A6" s="7" t="s">
        <v>16</v>
      </c>
      <c r="B6" s="7">
        <f>'Master Sheet'!F126</f>
        <v>350</v>
      </c>
    </row>
    <row r="7" spans="1:2" s="8" customFormat="1" ht="19.899999999999999" customHeight="1" x14ac:dyDescent="0.25">
      <c r="A7" s="7" t="s">
        <v>17</v>
      </c>
      <c r="B7" s="7">
        <f>'Master Sheet'!G126</f>
        <v>0</v>
      </c>
    </row>
    <row r="8" spans="1:2" s="8" customFormat="1" ht="19.899999999999999" customHeight="1" x14ac:dyDescent="0.25">
      <c r="A8" s="7" t="s">
        <v>18</v>
      </c>
      <c r="B8" s="7">
        <f>'Master Sheet'!H126</f>
        <v>0</v>
      </c>
    </row>
    <row r="9" spans="1:2" s="8" customFormat="1" ht="19.899999999999999" customHeight="1" x14ac:dyDescent="0.25">
      <c r="A9" s="7" t="s">
        <v>19</v>
      </c>
      <c r="B9" s="7">
        <f>'Master Sheet'!I126</f>
        <v>0</v>
      </c>
    </row>
    <row r="10" spans="1:2" s="8" customFormat="1" ht="19.899999999999999" customHeight="1" x14ac:dyDescent="0.25">
      <c r="A10" s="7" t="s">
        <v>20</v>
      </c>
      <c r="B10" s="7">
        <f>'Master Sheet'!J126</f>
        <v>0</v>
      </c>
    </row>
    <row r="11" spans="1:2" s="8" customFormat="1" ht="19.899999999999999" customHeight="1" x14ac:dyDescent="0.25">
      <c r="A11" s="7" t="s">
        <v>21</v>
      </c>
      <c r="B11" s="7">
        <f>'Master Sheet'!K126</f>
        <v>0</v>
      </c>
    </row>
    <row r="12" spans="1:2" s="8" customFormat="1" ht="19.899999999999999" customHeight="1" x14ac:dyDescent="0.25">
      <c r="A12" s="7" t="s">
        <v>22</v>
      </c>
      <c r="B12" s="7">
        <f>'Master Sheet'!L126</f>
        <v>0</v>
      </c>
    </row>
    <row r="13" spans="1:2" s="8" customFormat="1" ht="19.899999999999999" customHeight="1" x14ac:dyDescent="0.25">
      <c r="A13" s="7" t="s">
        <v>23</v>
      </c>
      <c r="B13" s="7">
        <f>'Master Sheet'!M126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Sheet'!B127</f>
        <v>Anu Rajeev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Sheet'!D127</f>
        <v>350</v>
      </c>
    </row>
    <row r="5" spans="1:2" s="8" customFormat="1" ht="19.899999999999999" customHeight="1" x14ac:dyDescent="0.25">
      <c r="A5" s="7" t="s">
        <v>15</v>
      </c>
      <c r="B5" s="7">
        <f>'Master Sheet'!E127</f>
        <v>350</v>
      </c>
    </row>
    <row r="6" spans="1:2" s="8" customFormat="1" ht="19.899999999999999" customHeight="1" x14ac:dyDescent="0.25">
      <c r="A6" s="7" t="s">
        <v>16</v>
      </c>
      <c r="B6" s="7">
        <f>'Master Sheet'!F127</f>
        <v>350</v>
      </c>
    </row>
    <row r="7" spans="1:2" s="8" customFormat="1" ht="19.899999999999999" customHeight="1" x14ac:dyDescent="0.25">
      <c r="A7" s="7" t="s">
        <v>17</v>
      </c>
      <c r="B7" s="7">
        <f>'Master Sheet'!G127</f>
        <v>0</v>
      </c>
    </row>
    <row r="8" spans="1:2" s="8" customFormat="1" ht="19.899999999999999" customHeight="1" x14ac:dyDescent="0.25">
      <c r="A8" s="7" t="s">
        <v>18</v>
      </c>
      <c r="B8" s="7">
        <f>'Master Sheet'!H127</f>
        <v>0</v>
      </c>
    </row>
    <row r="9" spans="1:2" s="8" customFormat="1" ht="19.899999999999999" customHeight="1" x14ac:dyDescent="0.25">
      <c r="A9" s="7" t="s">
        <v>19</v>
      </c>
      <c r="B9" s="7">
        <f>'Master Sheet'!I127</f>
        <v>0</v>
      </c>
    </row>
    <row r="10" spans="1:2" s="8" customFormat="1" ht="19.899999999999999" customHeight="1" x14ac:dyDescent="0.25">
      <c r="A10" s="7" t="s">
        <v>20</v>
      </c>
      <c r="B10" s="7">
        <f>'Master Sheet'!J127</f>
        <v>0</v>
      </c>
    </row>
    <row r="11" spans="1:2" s="8" customFormat="1" ht="19.899999999999999" customHeight="1" x14ac:dyDescent="0.25">
      <c r="A11" s="7" t="s">
        <v>21</v>
      </c>
      <c r="B11" s="7">
        <f>'Master Sheet'!K127</f>
        <v>0</v>
      </c>
    </row>
    <row r="12" spans="1:2" s="8" customFormat="1" ht="19.899999999999999" customHeight="1" x14ac:dyDescent="0.25">
      <c r="A12" s="7" t="s">
        <v>22</v>
      </c>
      <c r="B12" s="7">
        <f>'Master Sheet'!L127</f>
        <v>0</v>
      </c>
    </row>
    <row r="13" spans="1:2" s="8" customFormat="1" ht="19.899999999999999" customHeight="1" x14ac:dyDescent="0.25">
      <c r="A13" s="7" t="s">
        <v>23</v>
      </c>
      <c r="B13" s="7">
        <f>'Master Sheet'!M127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Sheet'!B128</f>
        <v>Noby Chengannassery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Sheet'!D128</f>
        <v>350</v>
      </c>
    </row>
    <row r="5" spans="1:2" s="8" customFormat="1" ht="19.899999999999999" customHeight="1" x14ac:dyDescent="0.25">
      <c r="A5" s="7" t="s">
        <v>15</v>
      </c>
      <c r="B5" s="7">
        <f>'Master Sheet'!E128</f>
        <v>0</v>
      </c>
    </row>
    <row r="6" spans="1:2" s="8" customFormat="1" ht="19.899999999999999" customHeight="1" x14ac:dyDescent="0.25">
      <c r="A6" s="7" t="s">
        <v>16</v>
      </c>
      <c r="B6" s="7">
        <f>'Master Sheet'!F128</f>
        <v>0</v>
      </c>
    </row>
    <row r="7" spans="1:2" s="8" customFormat="1" ht="19.899999999999999" customHeight="1" x14ac:dyDescent="0.25">
      <c r="A7" s="7" t="s">
        <v>17</v>
      </c>
      <c r="B7" s="7">
        <f>'Master Sheet'!G128</f>
        <v>0</v>
      </c>
    </row>
    <row r="8" spans="1:2" s="8" customFormat="1" ht="19.899999999999999" customHeight="1" x14ac:dyDescent="0.25">
      <c r="A8" s="7" t="s">
        <v>18</v>
      </c>
      <c r="B8" s="7">
        <f>'Master Sheet'!H128</f>
        <v>0</v>
      </c>
    </row>
    <row r="9" spans="1:2" s="8" customFormat="1" ht="19.899999999999999" customHeight="1" x14ac:dyDescent="0.25">
      <c r="A9" s="7" t="s">
        <v>19</v>
      </c>
      <c r="B9" s="7">
        <f>'Master Sheet'!I128</f>
        <v>0</v>
      </c>
    </row>
    <row r="10" spans="1:2" s="8" customFormat="1" ht="19.899999999999999" customHeight="1" x14ac:dyDescent="0.25">
      <c r="A10" s="7" t="s">
        <v>20</v>
      </c>
      <c r="B10" s="7">
        <f>'Master Sheet'!J128</f>
        <v>0</v>
      </c>
    </row>
    <row r="11" spans="1:2" s="8" customFormat="1" ht="19.899999999999999" customHeight="1" x14ac:dyDescent="0.25">
      <c r="A11" s="7" t="s">
        <v>21</v>
      </c>
      <c r="B11" s="7">
        <f>'Master Sheet'!K128</f>
        <v>0</v>
      </c>
    </row>
    <row r="12" spans="1:2" s="8" customFormat="1" ht="19.899999999999999" customHeight="1" x14ac:dyDescent="0.25">
      <c r="A12" s="7" t="s">
        <v>22</v>
      </c>
      <c r="B12" s="7">
        <f>'Master Sheet'!L128</f>
        <v>0</v>
      </c>
    </row>
    <row r="13" spans="1:2" s="8" customFormat="1" ht="19.899999999999999" customHeight="1" x14ac:dyDescent="0.25">
      <c r="A13" s="7" t="s">
        <v>23</v>
      </c>
      <c r="B13" s="7">
        <f>'Master Sheet'!M128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Sheet'!B129</f>
        <v>Reshmi Suresh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Sheet'!D129</f>
        <v>350</v>
      </c>
    </row>
    <row r="5" spans="1:2" s="8" customFormat="1" ht="19.899999999999999" customHeight="1" x14ac:dyDescent="0.25">
      <c r="A5" s="7" t="s">
        <v>15</v>
      </c>
      <c r="B5" s="7">
        <f>'Master Sheet'!E129</f>
        <v>350</v>
      </c>
    </row>
    <row r="6" spans="1:2" s="8" customFormat="1" ht="19.899999999999999" customHeight="1" x14ac:dyDescent="0.25">
      <c r="A6" s="7" t="s">
        <v>16</v>
      </c>
      <c r="B6" s="7">
        <f>'Master Sheet'!F129</f>
        <v>350</v>
      </c>
    </row>
    <row r="7" spans="1:2" s="8" customFormat="1" ht="19.899999999999999" customHeight="1" x14ac:dyDescent="0.25">
      <c r="A7" s="7" t="s">
        <v>17</v>
      </c>
      <c r="B7" s="7">
        <f>'Master Sheet'!G129</f>
        <v>350</v>
      </c>
    </row>
    <row r="8" spans="1:2" s="8" customFormat="1" ht="19.899999999999999" customHeight="1" x14ac:dyDescent="0.25">
      <c r="A8" s="7" t="s">
        <v>18</v>
      </c>
      <c r="B8" s="7">
        <f>'Master Sheet'!H129</f>
        <v>0</v>
      </c>
    </row>
    <row r="9" spans="1:2" s="8" customFormat="1" ht="19.899999999999999" customHeight="1" x14ac:dyDescent="0.25">
      <c r="A9" s="7" t="s">
        <v>19</v>
      </c>
      <c r="B9" s="7">
        <f>'Master Sheet'!I129</f>
        <v>0</v>
      </c>
    </row>
    <row r="10" spans="1:2" s="8" customFormat="1" ht="19.899999999999999" customHeight="1" x14ac:dyDescent="0.25">
      <c r="A10" s="7" t="s">
        <v>20</v>
      </c>
      <c r="B10" s="7">
        <f>'Master Sheet'!J129</f>
        <v>0</v>
      </c>
    </row>
    <row r="11" spans="1:2" s="8" customFormat="1" ht="19.899999999999999" customHeight="1" x14ac:dyDescent="0.25">
      <c r="A11" s="7" t="s">
        <v>21</v>
      </c>
      <c r="B11" s="7">
        <f>'Master Sheet'!K129</f>
        <v>0</v>
      </c>
    </row>
    <row r="12" spans="1:2" s="8" customFormat="1" ht="19.899999999999999" customHeight="1" x14ac:dyDescent="0.25">
      <c r="A12" s="7" t="s">
        <v>22</v>
      </c>
      <c r="B12" s="7">
        <f>'Master Sheet'!L129</f>
        <v>0</v>
      </c>
    </row>
    <row r="13" spans="1:2" s="8" customFormat="1" ht="19.899999999999999" customHeight="1" x14ac:dyDescent="0.25">
      <c r="A13" s="7" t="s">
        <v>23</v>
      </c>
      <c r="B13" s="7">
        <f>'Master Sheet'!M129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Sheet'!B130</f>
        <v>Asha Ajeesh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Sheet'!D130</f>
        <v>350</v>
      </c>
    </row>
    <row r="5" spans="1:2" s="8" customFormat="1" ht="19.899999999999999" customHeight="1" x14ac:dyDescent="0.25">
      <c r="A5" s="7" t="s">
        <v>15</v>
      </c>
      <c r="B5" s="7">
        <f>'Master Sheet'!E130</f>
        <v>0</v>
      </c>
    </row>
    <row r="6" spans="1:2" s="8" customFormat="1" ht="19.899999999999999" customHeight="1" x14ac:dyDescent="0.25">
      <c r="A6" s="7" t="s">
        <v>16</v>
      </c>
      <c r="B6" s="7">
        <f>'Master Sheet'!F130</f>
        <v>0</v>
      </c>
    </row>
    <row r="7" spans="1:2" s="8" customFormat="1" ht="19.899999999999999" customHeight="1" x14ac:dyDescent="0.25">
      <c r="A7" s="7" t="s">
        <v>17</v>
      </c>
      <c r="B7" s="7">
        <f>'Master Sheet'!G130</f>
        <v>0</v>
      </c>
    </row>
    <row r="8" spans="1:2" s="8" customFormat="1" ht="19.899999999999999" customHeight="1" x14ac:dyDescent="0.25">
      <c r="A8" s="7" t="s">
        <v>18</v>
      </c>
      <c r="B8" s="7">
        <f>'Master Sheet'!H130</f>
        <v>0</v>
      </c>
    </row>
    <row r="9" spans="1:2" s="8" customFormat="1" ht="19.899999999999999" customHeight="1" x14ac:dyDescent="0.25">
      <c r="A9" s="7" t="s">
        <v>19</v>
      </c>
      <c r="B9" s="7">
        <f>'Master Sheet'!I130</f>
        <v>0</v>
      </c>
    </row>
    <row r="10" spans="1:2" s="8" customFormat="1" ht="19.899999999999999" customHeight="1" x14ac:dyDescent="0.25">
      <c r="A10" s="7" t="s">
        <v>20</v>
      </c>
      <c r="B10" s="7">
        <f>'Master Sheet'!J130</f>
        <v>0</v>
      </c>
    </row>
    <row r="11" spans="1:2" s="8" customFormat="1" ht="19.899999999999999" customHeight="1" x14ac:dyDescent="0.25">
      <c r="A11" s="7" t="s">
        <v>21</v>
      </c>
      <c r="B11" s="7">
        <f>'Master Sheet'!K130</f>
        <v>0</v>
      </c>
    </row>
    <row r="12" spans="1:2" s="8" customFormat="1" ht="19.899999999999999" customHeight="1" x14ac:dyDescent="0.25">
      <c r="A12" s="7" t="s">
        <v>22</v>
      </c>
      <c r="B12" s="7">
        <f>'Master Sheet'!L130</f>
        <v>0</v>
      </c>
    </row>
    <row r="13" spans="1:2" s="8" customFormat="1" ht="19.899999999999999" customHeight="1" x14ac:dyDescent="0.25">
      <c r="A13" s="7" t="s">
        <v>23</v>
      </c>
      <c r="B13" s="7">
        <f>'Master Sheet'!M130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opLeftCell="A7"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Sheet'!B131</f>
        <v>Ambili Nellickal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Sheet'!D131</f>
        <v>350</v>
      </c>
    </row>
    <row r="5" spans="1:2" s="8" customFormat="1" ht="19.899999999999999" customHeight="1" x14ac:dyDescent="0.25">
      <c r="A5" s="7" t="s">
        <v>15</v>
      </c>
      <c r="B5" s="7">
        <f>'Master Sheet'!E131</f>
        <v>350</v>
      </c>
    </row>
    <row r="6" spans="1:2" s="8" customFormat="1" ht="19.899999999999999" customHeight="1" x14ac:dyDescent="0.25">
      <c r="A6" s="7" t="s">
        <v>16</v>
      </c>
      <c r="B6" s="7">
        <f>'Master Sheet'!F131</f>
        <v>350</v>
      </c>
    </row>
    <row r="7" spans="1:2" s="8" customFormat="1" ht="19.899999999999999" customHeight="1" x14ac:dyDescent="0.25">
      <c r="A7" s="7" t="s">
        <v>17</v>
      </c>
      <c r="B7" s="7">
        <f>'Master Sheet'!G131</f>
        <v>350</v>
      </c>
    </row>
    <row r="8" spans="1:2" s="8" customFormat="1" ht="19.899999999999999" customHeight="1" x14ac:dyDescent="0.25">
      <c r="A8" s="7" t="s">
        <v>18</v>
      </c>
      <c r="B8" s="7">
        <f>'Master Sheet'!H131</f>
        <v>0</v>
      </c>
    </row>
    <row r="9" spans="1:2" s="8" customFormat="1" ht="19.899999999999999" customHeight="1" x14ac:dyDescent="0.25">
      <c r="A9" s="7" t="s">
        <v>19</v>
      </c>
      <c r="B9" s="7">
        <f>'Master Sheet'!I131</f>
        <v>0</v>
      </c>
    </row>
    <row r="10" spans="1:2" s="8" customFormat="1" ht="19.899999999999999" customHeight="1" x14ac:dyDescent="0.25">
      <c r="A10" s="7" t="s">
        <v>20</v>
      </c>
      <c r="B10" s="7">
        <f>'Master Sheet'!J131</f>
        <v>0</v>
      </c>
    </row>
    <row r="11" spans="1:2" s="8" customFormat="1" ht="19.899999999999999" customHeight="1" x14ac:dyDescent="0.25">
      <c r="A11" s="7" t="s">
        <v>21</v>
      </c>
      <c r="B11" s="7">
        <f>'Master Sheet'!K131</f>
        <v>0</v>
      </c>
    </row>
    <row r="12" spans="1:2" s="8" customFormat="1" ht="19.899999999999999" customHeight="1" x14ac:dyDescent="0.25">
      <c r="A12" s="7" t="s">
        <v>22</v>
      </c>
      <c r="B12" s="7">
        <f>'Master Sheet'!L131</f>
        <v>0</v>
      </c>
    </row>
    <row r="13" spans="1:2" s="8" customFormat="1" ht="19.899999999999999" customHeight="1" x14ac:dyDescent="0.25">
      <c r="A13" s="7" t="s">
        <v>23</v>
      </c>
      <c r="B13" s="7">
        <f>'Master Sheet'!M131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7" sqref="B7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Sheet'!B132</f>
        <v>Mini Nellickal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Sheet'!D132</f>
        <v>350</v>
      </c>
    </row>
    <row r="5" spans="1:2" s="8" customFormat="1" ht="19.899999999999999" customHeight="1" x14ac:dyDescent="0.25">
      <c r="A5" s="7" t="s">
        <v>15</v>
      </c>
      <c r="B5" s="7">
        <f>'Master Sheet'!E132</f>
        <v>350</v>
      </c>
    </row>
    <row r="6" spans="1:2" s="8" customFormat="1" ht="19.899999999999999" customHeight="1" x14ac:dyDescent="0.25">
      <c r="A6" s="7" t="s">
        <v>16</v>
      </c>
      <c r="B6" s="7">
        <f>'Master Sheet'!F132</f>
        <v>350</v>
      </c>
    </row>
    <row r="7" spans="1:2" s="8" customFormat="1" ht="19.899999999999999" customHeight="1" x14ac:dyDescent="0.25">
      <c r="A7" s="7" t="s">
        <v>17</v>
      </c>
      <c r="B7" s="7">
        <f>'Master Sheet'!G132</f>
        <v>350</v>
      </c>
    </row>
    <row r="8" spans="1:2" s="8" customFormat="1" ht="19.899999999999999" customHeight="1" x14ac:dyDescent="0.25">
      <c r="A8" s="7" t="s">
        <v>18</v>
      </c>
      <c r="B8" s="7">
        <f>'Master Sheet'!H132</f>
        <v>0</v>
      </c>
    </row>
    <row r="9" spans="1:2" s="8" customFormat="1" ht="19.899999999999999" customHeight="1" x14ac:dyDescent="0.25">
      <c r="A9" s="7" t="s">
        <v>19</v>
      </c>
      <c r="B9" s="7">
        <f>'Master Sheet'!I132</f>
        <v>0</v>
      </c>
    </row>
    <row r="10" spans="1:2" s="8" customFormat="1" ht="19.899999999999999" customHeight="1" x14ac:dyDescent="0.25">
      <c r="A10" s="7" t="s">
        <v>20</v>
      </c>
      <c r="B10" s="7">
        <f>'Master Sheet'!J132</f>
        <v>0</v>
      </c>
    </row>
    <row r="11" spans="1:2" s="8" customFormat="1" ht="19.899999999999999" customHeight="1" x14ac:dyDescent="0.25">
      <c r="A11" s="7" t="s">
        <v>21</v>
      </c>
      <c r="B11" s="7">
        <f>'Master Sheet'!K132</f>
        <v>0</v>
      </c>
    </row>
    <row r="12" spans="1:2" s="8" customFormat="1" ht="19.899999999999999" customHeight="1" x14ac:dyDescent="0.25">
      <c r="A12" s="7" t="s">
        <v>22</v>
      </c>
      <c r="B12" s="7">
        <f>'Master Sheet'!L132</f>
        <v>0</v>
      </c>
    </row>
    <row r="13" spans="1:2" s="8" customFormat="1" ht="19.899999999999999" customHeight="1" x14ac:dyDescent="0.25">
      <c r="A13" s="7" t="s">
        <v>23</v>
      </c>
      <c r="B13" s="7">
        <f>'Master Sheet'!M132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Sheet'!B133</f>
        <v>Omana Nellickal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Sheet'!D133</f>
        <v>350</v>
      </c>
    </row>
    <row r="5" spans="1:2" s="8" customFormat="1" ht="19.899999999999999" customHeight="1" x14ac:dyDescent="0.25">
      <c r="A5" s="7" t="s">
        <v>15</v>
      </c>
      <c r="B5" s="7">
        <f>'Master Sheet'!E133</f>
        <v>350</v>
      </c>
    </row>
    <row r="6" spans="1:2" s="8" customFormat="1" ht="19.899999999999999" customHeight="1" x14ac:dyDescent="0.25">
      <c r="A6" s="7" t="s">
        <v>16</v>
      </c>
      <c r="B6" s="7">
        <f>'Master Sheet'!F133</f>
        <v>350</v>
      </c>
    </row>
    <row r="7" spans="1:2" s="8" customFormat="1" ht="19.899999999999999" customHeight="1" x14ac:dyDescent="0.25">
      <c r="A7" s="7" t="s">
        <v>17</v>
      </c>
      <c r="B7" s="7">
        <f>'Master Sheet'!G133</f>
        <v>350</v>
      </c>
    </row>
    <row r="8" spans="1:2" s="8" customFormat="1" ht="19.899999999999999" customHeight="1" x14ac:dyDescent="0.25">
      <c r="A8" s="7" t="s">
        <v>18</v>
      </c>
      <c r="B8" s="7">
        <f>'Master Sheet'!H133</f>
        <v>0</v>
      </c>
    </row>
    <row r="9" spans="1:2" s="8" customFormat="1" ht="19.899999999999999" customHeight="1" x14ac:dyDescent="0.25">
      <c r="A9" s="7" t="s">
        <v>19</v>
      </c>
      <c r="B9" s="7">
        <f>'Master Sheet'!I133</f>
        <v>0</v>
      </c>
    </row>
    <row r="10" spans="1:2" s="8" customFormat="1" ht="19.899999999999999" customHeight="1" x14ac:dyDescent="0.25">
      <c r="A10" s="7" t="s">
        <v>20</v>
      </c>
      <c r="B10" s="7">
        <f>'Master Sheet'!J133</f>
        <v>0</v>
      </c>
    </row>
    <row r="11" spans="1:2" s="8" customFormat="1" ht="19.899999999999999" customHeight="1" x14ac:dyDescent="0.25">
      <c r="A11" s="7" t="s">
        <v>21</v>
      </c>
      <c r="B11" s="7">
        <f>'Master Sheet'!K133</f>
        <v>0</v>
      </c>
    </row>
    <row r="12" spans="1:2" s="8" customFormat="1" ht="19.899999999999999" customHeight="1" x14ac:dyDescent="0.25">
      <c r="A12" s="7" t="s">
        <v>22</v>
      </c>
      <c r="B12" s="7">
        <f>'Master Sheet'!L133</f>
        <v>0</v>
      </c>
    </row>
    <row r="13" spans="1:2" s="8" customFormat="1" ht="19.899999999999999" customHeight="1" x14ac:dyDescent="0.25">
      <c r="A13" s="7" t="s">
        <v>23</v>
      </c>
      <c r="B13" s="7">
        <f>'Master Sheet'!M133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Sheet'!B134</f>
        <v>Roney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Sheet'!D134</f>
        <v>350</v>
      </c>
    </row>
    <row r="5" spans="1:2" s="8" customFormat="1" ht="19.899999999999999" customHeight="1" x14ac:dyDescent="0.25">
      <c r="A5" s="7" t="s">
        <v>15</v>
      </c>
      <c r="B5" s="7">
        <f>'Master Sheet'!E134</f>
        <v>350</v>
      </c>
    </row>
    <row r="6" spans="1:2" s="8" customFormat="1" ht="19.899999999999999" customHeight="1" x14ac:dyDescent="0.25">
      <c r="A6" s="7" t="s">
        <v>16</v>
      </c>
      <c r="B6" s="7">
        <f>'Master Sheet'!F134</f>
        <v>350</v>
      </c>
    </row>
    <row r="7" spans="1:2" s="8" customFormat="1" ht="19.899999999999999" customHeight="1" x14ac:dyDescent="0.25">
      <c r="A7" s="7" t="s">
        <v>17</v>
      </c>
      <c r="B7" s="7">
        <f>'Master Sheet'!G134</f>
        <v>0</v>
      </c>
    </row>
    <row r="8" spans="1:2" s="8" customFormat="1" ht="19.899999999999999" customHeight="1" x14ac:dyDescent="0.25">
      <c r="A8" s="7" t="s">
        <v>18</v>
      </c>
      <c r="B8" s="7">
        <f>'Master Sheet'!H134</f>
        <v>0</v>
      </c>
    </row>
    <row r="9" spans="1:2" s="8" customFormat="1" ht="19.899999999999999" customHeight="1" x14ac:dyDescent="0.25">
      <c r="A9" s="7" t="s">
        <v>19</v>
      </c>
      <c r="B9" s="7">
        <f>'Master Sheet'!I134</f>
        <v>0</v>
      </c>
    </row>
    <row r="10" spans="1:2" s="8" customFormat="1" ht="19.899999999999999" customHeight="1" x14ac:dyDescent="0.25">
      <c r="A10" s="7" t="s">
        <v>20</v>
      </c>
      <c r="B10" s="7">
        <f>'Master Sheet'!J134</f>
        <v>0</v>
      </c>
    </row>
    <row r="11" spans="1:2" s="8" customFormat="1" ht="19.899999999999999" customHeight="1" x14ac:dyDescent="0.25">
      <c r="A11" s="7" t="s">
        <v>21</v>
      </c>
      <c r="B11" s="7">
        <f>'Master Sheet'!K134</f>
        <v>0</v>
      </c>
    </row>
    <row r="12" spans="1:2" s="8" customFormat="1" ht="19.899999999999999" customHeight="1" x14ac:dyDescent="0.25">
      <c r="A12" s="7" t="s">
        <v>22</v>
      </c>
      <c r="B12" s="7">
        <f>'Master Sheet'!L134</f>
        <v>0</v>
      </c>
    </row>
    <row r="13" spans="1:2" s="8" customFormat="1" ht="19.899999999999999" customHeight="1" x14ac:dyDescent="0.25">
      <c r="A13" s="7" t="s">
        <v>23</v>
      </c>
      <c r="B13" s="7">
        <f>'Master Sheet'!M134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Sheet'!B135</f>
        <v>Sindhu Dileep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Sheet'!D135</f>
        <v>300</v>
      </c>
    </row>
    <row r="5" spans="1:2" s="8" customFormat="1" ht="19.899999999999999" customHeight="1" x14ac:dyDescent="0.25">
      <c r="A5" s="7" t="s">
        <v>15</v>
      </c>
      <c r="B5" s="7">
        <f>'Master Sheet'!E135</f>
        <v>0</v>
      </c>
    </row>
    <row r="6" spans="1:2" s="8" customFormat="1" ht="19.899999999999999" customHeight="1" x14ac:dyDescent="0.25">
      <c r="A6" s="7" t="s">
        <v>16</v>
      </c>
      <c r="B6" s="7">
        <f>'Master Sheet'!F135</f>
        <v>0</v>
      </c>
    </row>
    <row r="7" spans="1:2" s="8" customFormat="1" ht="19.899999999999999" customHeight="1" x14ac:dyDescent="0.25">
      <c r="A7" s="7" t="s">
        <v>17</v>
      </c>
      <c r="B7" s="7">
        <f>'Master Sheet'!G135</f>
        <v>0</v>
      </c>
    </row>
    <row r="8" spans="1:2" s="8" customFormat="1" ht="19.899999999999999" customHeight="1" x14ac:dyDescent="0.25">
      <c r="A8" s="7" t="s">
        <v>18</v>
      </c>
      <c r="B8" s="7">
        <f>'Master Sheet'!H135</f>
        <v>0</v>
      </c>
    </row>
    <row r="9" spans="1:2" s="8" customFormat="1" ht="19.899999999999999" customHeight="1" x14ac:dyDescent="0.25">
      <c r="A9" s="7" t="s">
        <v>19</v>
      </c>
      <c r="B9" s="7">
        <f>'Master Sheet'!I135</f>
        <v>0</v>
      </c>
    </row>
    <row r="10" spans="1:2" s="8" customFormat="1" ht="19.899999999999999" customHeight="1" x14ac:dyDescent="0.25">
      <c r="A10" s="7" t="s">
        <v>20</v>
      </c>
      <c r="B10" s="7">
        <f>'Master Sheet'!J135</f>
        <v>0</v>
      </c>
    </row>
    <row r="11" spans="1:2" s="8" customFormat="1" ht="19.899999999999999" customHeight="1" x14ac:dyDescent="0.25">
      <c r="A11" s="7" t="s">
        <v>21</v>
      </c>
      <c r="B11" s="7">
        <f>'Master Sheet'!K135</f>
        <v>0</v>
      </c>
    </row>
    <row r="12" spans="1:2" s="8" customFormat="1" ht="19.899999999999999" customHeight="1" x14ac:dyDescent="0.25">
      <c r="A12" s="7" t="s">
        <v>22</v>
      </c>
      <c r="B12" s="7">
        <f>'Master Sheet'!L135</f>
        <v>0</v>
      </c>
    </row>
    <row r="13" spans="1:2" s="8" customFormat="1" ht="19.899999999999999" customHeight="1" x14ac:dyDescent="0.25">
      <c r="A13" s="7" t="s">
        <v>23</v>
      </c>
      <c r="B13" s="7">
        <f>'Master Sheet'!M135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300</v>
      </c>
    </row>
    <row r="15" spans="1:2" s="8" customFormat="1" ht="19.899999999999999" customHeight="1" x14ac:dyDescent="0.25">
      <c r="A15" s="7" t="s">
        <v>25</v>
      </c>
      <c r="B15" s="7">
        <f>3500-B14</f>
        <v>3200</v>
      </c>
    </row>
  </sheetData>
  <mergeCells count="1">
    <mergeCell ref="A1:B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Sheet'!B136</f>
        <v>Bindhu Santhosh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Sheet'!D136</f>
        <v>350</v>
      </c>
    </row>
    <row r="5" spans="1:2" s="8" customFormat="1" ht="19.899999999999999" customHeight="1" x14ac:dyDescent="0.25">
      <c r="A5" s="7" t="s">
        <v>15</v>
      </c>
      <c r="B5" s="7">
        <f>'Master Sheet'!E136</f>
        <v>0</v>
      </c>
    </row>
    <row r="6" spans="1:2" s="8" customFormat="1" ht="19.899999999999999" customHeight="1" x14ac:dyDescent="0.25">
      <c r="A6" s="7" t="s">
        <v>16</v>
      </c>
      <c r="B6" s="7">
        <f>'Master Sheet'!F136</f>
        <v>0</v>
      </c>
    </row>
    <row r="7" spans="1:2" s="8" customFormat="1" ht="19.899999999999999" customHeight="1" x14ac:dyDescent="0.25">
      <c r="A7" s="7" t="s">
        <v>17</v>
      </c>
      <c r="B7" s="7">
        <f>'Master Sheet'!G136</f>
        <v>0</v>
      </c>
    </row>
    <row r="8" spans="1:2" s="8" customFormat="1" ht="19.899999999999999" customHeight="1" x14ac:dyDescent="0.25">
      <c r="A8" s="7" t="s">
        <v>18</v>
      </c>
      <c r="B8" s="7">
        <f>'Master Sheet'!H136</f>
        <v>0</v>
      </c>
    </row>
    <row r="9" spans="1:2" s="8" customFormat="1" ht="19.899999999999999" customHeight="1" x14ac:dyDescent="0.25">
      <c r="A9" s="7" t="s">
        <v>19</v>
      </c>
      <c r="B9" s="7">
        <f>'Master Sheet'!I136</f>
        <v>0</v>
      </c>
    </row>
    <row r="10" spans="1:2" s="8" customFormat="1" ht="19.899999999999999" customHeight="1" x14ac:dyDescent="0.25">
      <c r="A10" s="7" t="s">
        <v>20</v>
      </c>
      <c r="B10" s="7">
        <f>'Master Sheet'!J136</f>
        <v>0</v>
      </c>
    </row>
    <row r="11" spans="1:2" s="8" customFormat="1" ht="19.899999999999999" customHeight="1" x14ac:dyDescent="0.25">
      <c r="A11" s="7" t="s">
        <v>21</v>
      </c>
      <c r="B11" s="7">
        <f>'Master Sheet'!K136</f>
        <v>0</v>
      </c>
    </row>
    <row r="12" spans="1:2" s="8" customFormat="1" ht="19.899999999999999" customHeight="1" x14ac:dyDescent="0.25">
      <c r="A12" s="7" t="s">
        <v>22</v>
      </c>
      <c r="B12" s="7">
        <f>'Master Sheet'!L136</f>
        <v>0</v>
      </c>
    </row>
    <row r="13" spans="1:2" s="8" customFormat="1" ht="19.899999999999999" customHeight="1" x14ac:dyDescent="0.25">
      <c r="A13" s="7" t="s">
        <v>23</v>
      </c>
      <c r="B13" s="7">
        <f>'Master Sheet'!M136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ht="19.899999999999999" customHeight="1" x14ac:dyDescent="0.25">
      <c r="A1" s="28" t="s">
        <v>179</v>
      </c>
      <c r="B1" s="28"/>
    </row>
    <row r="2" spans="1:2" ht="19.899999999999999" customHeight="1" x14ac:dyDescent="0.25">
      <c r="A2" s="16" t="s">
        <v>12</v>
      </c>
      <c r="B2" s="17" t="str">
        <f>'Master Sheet'!B137</f>
        <v>Sreelatha Ayroor</v>
      </c>
    </row>
    <row r="3" spans="1:2" ht="19.899999999999999" customHeight="1" x14ac:dyDescent="0.25">
      <c r="A3" s="16" t="s">
        <v>176</v>
      </c>
      <c r="B3" s="16" t="s">
        <v>177</v>
      </c>
    </row>
    <row r="4" spans="1:2" ht="19.899999999999999" customHeight="1" x14ac:dyDescent="0.25">
      <c r="A4" s="7" t="s">
        <v>14</v>
      </c>
      <c r="B4" s="7">
        <f>'Master Sheet'!D137</f>
        <v>350</v>
      </c>
    </row>
    <row r="5" spans="1:2" ht="19.899999999999999" customHeight="1" x14ac:dyDescent="0.25">
      <c r="A5" s="7" t="s">
        <v>15</v>
      </c>
      <c r="B5" s="7">
        <f>'Master Sheet'!E137</f>
        <v>350</v>
      </c>
    </row>
    <row r="6" spans="1:2" ht="19.899999999999999" customHeight="1" x14ac:dyDescent="0.25">
      <c r="A6" s="7" t="s">
        <v>16</v>
      </c>
      <c r="B6" s="7">
        <f>'Master Sheet'!F137</f>
        <v>350</v>
      </c>
    </row>
    <row r="7" spans="1:2" ht="19.899999999999999" customHeight="1" x14ac:dyDescent="0.25">
      <c r="A7" s="7" t="s">
        <v>17</v>
      </c>
      <c r="B7" s="7">
        <f>'Master Sheet'!G137</f>
        <v>0</v>
      </c>
    </row>
    <row r="8" spans="1:2" ht="19.899999999999999" customHeight="1" x14ac:dyDescent="0.25">
      <c r="A8" s="7" t="s">
        <v>18</v>
      </c>
      <c r="B8" s="7">
        <f>'Master Sheet'!H137</f>
        <v>0</v>
      </c>
    </row>
    <row r="9" spans="1:2" ht="19.899999999999999" customHeight="1" x14ac:dyDescent="0.25">
      <c r="A9" s="7" t="s">
        <v>19</v>
      </c>
      <c r="B9" s="7">
        <f>'Master Sheet'!I137</f>
        <v>0</v>
      </c>
    </row>
    <row r="10" spans="1:2" ht="19.899999999999999" customHeight="1" x14ac:dyDescent="0.25">
      <c r="A10" s="7" t="s">
        <v>20</v>
      </c>
      <c r="B10" s="7">
        <f>'Master Sheet'!J137</f>
        <v>0</v>
      </c>
    </row>
    <row r="11" spans="1:2" ht="19.899999999999999" customHeight="1" x14ac:dyDescent="0.25">
      <c r="A11" s="7" t="s">
        <v>21</v>
      </c>
      <c r="B11" s="7">
        <f>'Master Sheet'!K137</f>
        <v>0</v>
      </c>
    </row>
    <row r="12" spans="1:2" ht="19.899999999999999" customHeight="1" x14ac:dyDescent="0.25">
      <c r="A12" s="7" t="s">
        <v>22</v>
      </c>
      <c r="B12" s="7">
        <f>'Master Sheet'!L137</f>
        <v>0</v>
      </c>
    </row>
    <row r="13" spans="1:2" ht="19.899999999999999" customHeight="1" x14ac:dyDescent="0.25">
      <c r="A13" s="7" t="s">
        <v>23</v>
      </c>
      <c r="B13" s="7">
        <f>'Master Sheet'!M137</f>
        <v>0</v>
      </c>
    </row>
    <row r="14" spans="1:2" ht="19.899999999999999" customHeight="1" x14ac:dyDescent="0.25">
      <c r="A14" s="7" t="s">
        <v>178</v>
      </c>
      <c r="B14" s="7">
        <f>SUM(B4:B13)</f>
        <v>1050</v>
      </c>
    </row>
    <row r="15" spans="1:2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Sheet'!B138</f>
        <v>Preseetha Ayiroor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Sheet'!D138</f>
        <v>350</v>
      </c>
    </row>
    <row r="5" spans="1:2" s="8" customFormat="1" ht="19.899999999999999" customHeight="1" x14ac:dyDescent="0.25">
      <c r="A5" s="7" t="s">
        <v>15</v>
      </c>
      <c r="B5" s="7">
        <f>'Master Sheet'!E138</f>
        <v>350</v>
      </c>
    </row>
    <row r="6" spans="1:2" s="8" customFormat="1" ht="19.899999999999999" customHeight="1" x14ac:dyDescent="0.25">
      <c r="A6" s="7" t="s">
        <v>16</v>
      </c>
      <c r="B6" s="7">
        <f>'Master Sheet'!F138</f>
        <v>350</v>
      </c>
    </row>
    <row r="7" spans="1:2" s="8" customFormat="1" ht="19.899999999999999" customHeight="1" x14ac:dyDescent="0.25">
      <c r="A7" s="7" t="s">
        <v>17</v>
      </c>
      <c r="B7" s="7">
        <f>'Master Sheet'!G138</f>
        <v>0</v>
      </c>
    </row>
    <row r="8" spans="1:2" s="8" customFormat="1" ht="19.899999999999999" customHeight="1" x14ac:dyDescent="0.25">
      <c r="A8" s="7" t="s">
        <v>18</v>
      </c>
      <c r="B8" s="7">
        <f>'Master Sheet'!H138</f>
        <v>0</v>
      </c>
    </row>
    <row r="9" spans="1:2" s="8" customFormat="1" ht="19.899999999999999" customHeight="1" x14ac:dyDescent="0.25">
      <c r="A9" s="7" t="s">
        <v>19</v>
      </c>
      <c r="B9" s="7">
        <f>'Master Sheet'!I138</f>
        <v>0</v>
      </c>
    </row>
    <row r="10" spans="1:2" s="8" customFormat="1" ht="19.899999999999999" customHeight="1" x14ac:dyDescent="0.25">
      <c r="A10" s="7" t="s">
        <v>20</v>
      </c>
      <c r="B10" s="7">
        <f>'Master Sheet'!J138</f>
        <v>0</v>
      </c>
    </row>
    <row r="11" spans="1:2" s="8" customFormat="1" ht="19.899999999999999" customHeight="1" x14ac:dyDescent="0.25">
      <c r="A11" s="7" t="s">
        <v>21</v>
      </c>
      <c r="B11" s="7">
        <f>'Master Sheet'!K138</f>
        <v>0</v>
      </c>
    </row>
    <row r="12" spans="1:2" s="8" customFormat="1" ht="19.899999999999999" customHeight="1" x14ac:dyDescent="0.25">
      <c r="A12" s="7" t="s">
        <v>22</v>
      </c>
      <c r="B12" s="7">
        <f>'Master Sheet'!L138</f>
        <v>0</v>
      </c>
    </row>
    <row r="13" spans="1:2" s="8" customFormat="1" ht="19.899999999999999" customHeight="1" x14ac:dyDescent="0.25">
      <c r="A13" s="7" t="s">
        <v>23</v>
      </c>
      <c r="B13" s="7">
        <f>'Master Sheet'!M138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Sheet'!B139</f>
        <v>Ajitha Nellickal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Sheet'!D139</f>
        <v>350</v>
      </c>
    </row>
    <row r="5" spans="1:2" s="8" customFormat="1" ht="19.899999999999999" customHeight="1" x14ac:dyDescent="0.25">
      <c r="A5" s="7" t="s">
        <v>15</v>
      </c>
      <c r="B5" s="7">
        <f>'Master Sheet'!E139</f>
        <v>350</v>
      </c>
    </row>
    <row r="6" spans="1:2" s="8" customFormat="1" ht="19.899999999999999" customHeight="1" x14ac:dyDescent="0.25">
      <c r="A6" s="7" t="s">
        <v>16</v>
      </c>
      <c r="B6" s="7">
        <f>'Master Sheet'!F139</f>
        <v>350</v>
      </c>
    </row>
    <row r="7" spans="1:2" s="8" customFormat="1" ht="19.899999999999999" customHeight="1" x14ac:dyDescent="0.25">
      <c r="A7" s="7" t="s">
        <v>17</v>
      </c>
      <c r="B7" s="7">
        <f>'Master Sheet'!G139</f>
        <v>350</v>
      </c>
    </row>
    <row r="8" spans="1:2" s="8" customFormat="1" ht="19.899999999999999" customHeight="1" x14ac:dyDescent="0.25">
      <c r="A8" s="7" t="s">
        <v>18</v>
      </c>
      <c r="B8" s="7">
        <f>'Master Sheet'!H139</f>
        <v>0</v>
      </c>
    </row>
    <row r="9" spans="1:2" s="8" customFormat="1" ht="19.899999999999999" customHeight="1" x14ac:dyDescent="0.25">
      <c r="A9" s="7" t="s">
        <v>19</v>
      </c>
      <c r="B9" s="7">
        <f>'Master Sheet'!I139</f>
        <v>0</v>
      </c>
    </row>
    <row r="10" spans="1:2" s="8" customFormat="1" ht="19.899999999999999" customHeight="1" x14ac:dyDescent="0.25">
      <c r="A10" s="7" t="s">
        <v>20</v>
      </c>
      <c r="B10" s="7">
        <f>'Master Sheet'!J139</f>
        <v>0</v>
      </c>
    </row>
    <row r="11" spans="1:2" s="8" customFormat="1" ht="19.899999999999999" customHeight="1" x14ac:dyDescent="0.25">
      <c r="A11" s="7" t="s">
        <v>21</v>
      </c>
      <c r="B11" s="7">
        <f>'Master Sheet'!K139</f>
        <v>0</v>
      </c>
    </row>
    <row r="12" spans="1:2" s="8" customFormat="1" ht="19.899999999999999" customHeight="1" x14ac:dyDescent="0.25">
      <c r="A12" s="7" t="s">
        <v>22</v>
      </c>
      <c r="B12" s="7">
        <f>'Master Sheet'!L139</f>
        <v>0</v>
      </c>
    </row>
    <row r="13" spans="1:2" s="8" customFormat="1" ht="19.899999999999999" customHeight="1" x14ac:dyDescent="0.25">
      <c r="A13" s="7" t="s">
        <v>23</v>
      </c>
      <c r="B13" s="7">
        <f>'Master Sheet'!M139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1400</v>
      </c>
    </row>
    <row r="15" spans="1:2" s="8" customFormat="1" ht="19.899999999999999" customHeight="1" x14ac:dyDescent="0.25">
      <c r="A15" s="7" t="s">
        <v>25</v>
      </c>
      <c r="B15" s="7">
        <f>3500-B14</f>
        <v>2100</v>
      </c>
    </row>
  </sheetData>
  <mergeCells count="1">
    <mergeCell ref="A1:B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Sheet'!B140</f>
        <v>Nisha Dileesh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Sheet'!D140</f>
        <v>350</v>
      </c>
    </row>
    <row r="5" spans="1:2" s="8" customFormat="1" ht="19.899999999999999" customHeight="1" x14ac:dyDescent="0.25">
      <c r="A5" s="7" t="s">
        <v>15</v>
      </c>
      <c r="B5" s="7">
        <f>'Master Sheet'!E140</f>
        <v>350</v>
      </c>
    </row>
    <row r="6" spans="1:2" s="8" customFormat="1" ht="19.899999999999999" customHeight="1" x14ac:dyDescent="0.25">
      <c r="A6" s="7" t="s">
        <v>16</v>
      </c>
      <c r="B6" s="7">
        <f>'Master Sheet'!F140</f>
        <v>350</v>
      </c>
    </row>
    <row r="7" spans="1:2" s="8" customFormat="1" ht="19.899999999999999" customHeight="1" x14ac:dyDescent="0.25">
      <c r="A7" s="7" t="s">
        <v>17</v>
      </c>
      <c r="B7" s="7">
        <f>'Master Sheet'!G140</f>
        <v>0</v>
      </c>
    </row>
    <row r="8" spans="1:2" s="8" customFormat="1" ht="19.899999999999999" customHeight="1" x14ac:dyDescent="0.25">
      <c r="A8" s="7" t="s">
        <v>18</v>
      </c>
      <c r="B8" s="7">
        <f>'Master Sheet'!H140</f>
        <v>0</v>
      </c>
    </row>
    <row r="9" spans="1:2" s="8" customFormat="1" ht="19.899999999999999" customHeight="1" x14ac:dyDescent="0.25">
      <c r="A9" s="7" t="s">
        <v>19</v>
      </c>
      <c r="B9" s="7">
        <f>'Master Sheet'!I140</f>
        <v>0</v>
      </c>
    </row>
    <row r="10" spans="1:2" s="8" customFormat="1" ht="19.899999999999999" customHeight="1" x14ac:dyDescent="0.25">
      <c r="A10" s="7" t="s">
        <v>20</v>
      </c>
      <c r="B10" s="7">
        <f>'Master Sheet'!J140</f>
        <v>0</v>
      </c>
    </row>
    <row r="11" spans="1:2" s="8" customFormat="1" ht="19.899999999999999" customHeight="1" x14ac:dyDescent="0.25">
      <c r="A11" s="7" t="s">
        <v>21</v>
      </c>
      <c r="B11" s="7">
        <f>'Master Sheet'!K140</f>
        <v>0</v>
      </c>
    </row>
    <row r="12" spans="1:2" s="8" customFormat="1" ht="19.899999999999999" customHeight="1" x14ac:dyDescent="0.25">
      <c r="A12" s="7" t="s">
        <v>22</v>
      </c>
      <c r="B12" s="7">
        <f>'Master Sheet'!L140</f>
        <v>0</v>
      </c>
    </row>
    <row r="13" spans="1:2" s="8" customFormat="1" ht="19.899999999999999" customHeight="1" x14ac:dyDescent="0.25">
      <c r="A13" s="7" t="s">
        <v>23</v>
      </c>
      <c r="B13" s="7">
        <f>'Master Sheet'!M140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Sheet'!B141</f>
        <v>Saji Suresh Melukara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Sheet'!D141</f>
        <v>350</v>
      </c>
    </row>
    <row r="5" spans="1:2" s="8" customFormat="1" ht="19.899999999999999" customHeight="1" x14ac:dyDescent="0.25">
      <c r="A5" s="7" t="s">
        <v>15</v>
      </c>
      <c r="B5" s="7">
        <f>'Master Sheet'!E141</f>
        <v>350</v>
      </c>
    </row>
    <row r="6" spans="1:2" s="8" customFormat="1" ht="19.899999999999999" customHeight="1" x14ac:dyDescent="0.25">
      <c r="A6" s="7" t="s">
        <v>16</v>
      </c>
      <c r="B6" s="7">
        <f>'Master Sheet'!F141</f>
        <v>350</v>
      </c>
    </row>
    <row r="7" spans="1:2" s="8" customFormat="1" ht="19.899999999999999" customHeight="1" x14ac:dyDescent="0.25">
      <c r="A7" s="7" t="s">
        <v>17</v>
      </c>
      <c r="B7" s="7">
        <f>'Master Sheet'!G141</f>
        <v>0</v>
      </c>
    </row>
    <row r="8" spans="1:2" s="8" customFormat="1" ht="19.899999999999999" customHeight="1" x14ac:dyDescent="0.25">
      <c r="A8" s="7" t="s">
        <v>18</v>
      </c>
      <c r="B8" s="7">
        <f>'Master Sheet'!H141</f>
        <v>0</v>
      </c>
    </row>
    <row r="9" spans="1:2" s="8" customFormat="1" ht="19.899999999999999" customHeight="1" x14ac:dyDescent="0.25">
      <c r="A9" s="7" t="s">
        <v>19</v>
      </c>
      <c r="B9" s="7">
        <f>'Master Sheet'!I141</f>
        <v>0</v>
      </c>
    </row>
    <row r="10" spans="1:2" s="8" customFormat="1" ht="19.899999999999999" customHeight="1" x14ac:dyDescent="0.25">
      <c r="A10" s="7" t="s">
        <v>20</v>
      </c>
      <c r="B10" s="7">
        <f>'Master Sheet'!J141</f>
        <v>0</v>
      </c>
    </row>
    <row r="11" spans="1:2" s="8" customFormat="1" ht="19.899999999999999" customHeight="1" x14ac:dyDescent="0.25">
      <c r="A11" s="7" t="s">
        <v>21</v>
      </c>
      <c r="B11" s="7">
        <f>'Master Sheet'!K141</f>
        <v>0</v>
      </c>
    </row>
    <row r="12" spans="1:2" s="8" customFormat="1" ht="19.899999999999999" customHeight="1" x14ac:dyDescent="0.25">
      <c r="A12" s="7" t="s">
        <v>22</v>
      </c>
      <c r="B12" s="7">
        <f>'Master Sheet'!L141</f>
        <v>0</v>
      </c>
    </row>
    <row r="13" spans="1:2" s="8" customFormat="1" ht="19.899999999999999" customHeight="1" x14ac:dyDescent="0.25">
      <c r="A13" s="7" t="s">
        <v>23</v>
      </c>
      <c r="B13" s="7">
        <f>'Master Sheet'!M141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Sheet'!B142</f>
        <v>Rejani Santhosh Melukara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Sheet'!D142</f>
        <v>350</v>
      </c>
    </row>
    <row r="5" spans="1:2" s="8" customFormat="1" ht="19.899999999999999" customHeight="1" x14ac:dyDescent="0.25">
      <c r="A5" s="7" t="s">
        <v>15</v>
      </c>
      <c r="B5" s="7">
        <f>'Master Sheet'!E142</f>
        <v>0</v>
      </c>
    </row>
    <row r="6" spans="1:2" s="8" customFormat="1" ht="19.899999999999999" customHeight="1" x14ac:dyDescent="0.25">
      <c r="A6" s="7" t="s">
        <v>16</v>
      </c>
      <c r="B6" s="7">
        <f>'Master Sheet'!F142</f>
        <v>300</v>
      </c>
    </row>
    <row r="7" spans="1:2" s="8" customFormat="1" ht="19.899999999999999" customHeight="1" x14ac:dyDescent="0.25">
      <c r="A7" s="7" t="s">
        <v>17</v>
      </c>
      <c r="B7" s="7">
        <f>'Master Sheet'!G142</f>
        <v>0</v>
      </c>
    </row>
    <row r="8" spans="1:2" s="8" customFormat="1" ht="19.899999999999999" customHeight="1" x14ac:dyDescent="0.25">
      <c r="A8" s="7" t="s">
        <v>18</v>
      </c>
      <c r="B8" s="7">
        <f>'Master Sheet'!H142</f>
        <v>0</v>
      </c>
    </row>
    <row r="9" spans="1:2" s="8" customFormat="1" ht="19.899999999999999" customHeight="1" x14ac:dyDescent="0.25">
      <c r="A9" s="7" t="s">
        <v>19</v>
      </c>
      <c r="B9" s="7">
        <f>'Master Sheet'!I142</f>
        <v>0</v>
      </c>
    </row>
    <row r="10" spans="1:2" s="8" customFormat="1" ht="19.899999999999999" customHeight="1" x14ac:dyDescent="0.25">
      <c r="A10" s="7" t="s">
        <v>20</v>
      </c>
      <c r="B10" s="7">
        <f>'Master Sheet'!J142</f>
        <v>0</v>
      </c>
    </row>
    <row r="11" spans="1:2" s="8" customFormat="1" ht="19.899999999999999" customHeight="1" x14ac:dyDescent="0.25">
      <c r="A11" s="7" t="s">
        <v>21</v>
      </c>
      <c r="B11" s="7">
        <f>'Master Sheet'!K142</f>
        <v>0</v>
      </c>
    </row>
    <row r="12" spans="1:2" s="8" customFormat="1" ht="19.899999999999999" customHeight="1" x14ac:dyDescent="0.25">
      <c r="A12" s="7" t="s">
        <v>22</v>
      </c>
      <c r="B12" s="7">
        <f>'Master Sheet'!L142</f>
        <v>0</v>
      </c>
    </row>
    <row r="13" spans="1:2" s="8" customFormat="1" ht="19.899999999999999" customHeight="1" x14ac:dyDescent="0.25">
      <c r="A13" s="7" t="s">
        <v>23</v>
      </c>
      <c r="B13" s="7">
        <f>'Master Sheet'!M142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650</v>
      </c>
    </row>
    <row r="15" spans="1:2" s="8" customFormat="1" ht="19.899999999999999" customHeight="1" x14ac:dyDescent="0.25">
      <c r="A15" s="7" t="s">
        <v>25</v>
      </c>
      <c r="B15" s="7">
        <f>3500-B14</f>
        <v>2850</v>
      </c>
    </row>
  </sheetData>
  <mergeCells count="1">
    <mergeCell ref="A1:B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7" sqref="B7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Sheet'!B143</f>
        <v>Ajili Thadiyoor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Sheet'!D143</f>
        <v>350</v>
      </c>
    </row>
    <row r="5" spans="1:2" s="8" customFormat="1" ht="19.899999999999999" customHeight="1" x14ac:dyDescent="0.25">
      <c r="A5" s="7" t="s">
        <v>15</v>
      </c>
      <c r="B5" s="7">
        <f>'Master Sheet'!E143</f>
        <v>350</v>
      </c>
    </row>
    <row r="6" spans="1:2" s="8" customFormat="1" ht="19.899999999999999" customHeight="1" x14ac:dyDescent="0.25">
      <c r="A6" s="7" t="s">
        <v>16</v>
      </c>
      <c r="B6" s="7">
        <f>'Master Sheet'!F143</f>
        <v>0</v>
      </c>
    </row>
    <row r="7" spans="1:2" s="8" customFormat="1" ht="19.899999999999999" customHeight="1" x14ac:dyDescent="0.25">
      <c r="A7" s="7" t="s">
        <v>17</v>
      </c>
      <c r="B7" s="7">
        <f>'Master Sheet'!G143</f>
        <v>0</v>
      </c>
    </row>
    <row r="8" spans="1:2" s="8" customFormat="1" ht="19.899999999999999" customHeight="1" x14ac:dyDescent="0.25">
      <c r="A8" s="7" t="s">
        <v>18</v>
      </c>
      <c r="B8" s="7">
        <f>'Master Sheet'!H143</f>
        <v>0</v>
      </c>
    </row>
    <row r="9" spans="1:2" s="8" customFormat="1" ht="19.899999999999999" customHeight="1" x14ac:dyDescent="0.25">
      <c r="A9" s="7" t="s">
        <v>19</v>
      </c>
      <c r="B9" s="7">
        <f>'Master Sheet'!I143</f>
        <v>0</v>
      </c>
    </row>
    <row r="10" spans="1:2" s="8" customFormat="1" ht="19.899999999999999" customHeight="1" x14ac:dyDescent="0.25">
      <c r="A10" s="7" t="s">
        <v>20</v>
      </c>
      <c r="B10" s="7">
        <f>'Master Sheet'!J143</f>
        <v>0</v>
      </c>
    </row>
    <row r="11" spans="1:2" s="8" customFormat="1" ht="19.899999999999999" customHeight="1" x14ac:dyDescent="0.25">
      <c r="A11" s="7" t="s">
        <v>21</v>
      </c>
      <c r="B11" s="7">
        <f>'Master Sheet'!K143</f>
        <v>0</v>
      </c>
    </row>
    <row r="12" spans="1:2" s="8" customFormat="1" ht="19.899999999999999" customHeight="1" x14ac:dyDescent="0.25">
      <c r="A12" s="7" t="s">
        <v>22</v>
      </c>
      <c r="B12" s="7">
        <f>'Master Sheet'!L143</f>
        <v>0</v>
      </c>
    </row>
    <row r="13" spans="1:2" s="8" customFormat="1" ht="19.899999999999999" customHeight="1" x14ac:dyDescent="0.25">
      <c r="A13" s="7" t="s">
        <v>23</v>
      </c>
      <c r="B13" s="7">
        <f>'Master Sheet'!M143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700</v>
      </c>
    </row>
    <row r="15" spans="1:2" s="8" customFormat="1" ht="19.899999999999999" customHeight="1" x14ac:dyDescent="0.25">
      <c r="A15" s="7" t="s">
        <v>25</v>
      </c>
      <c r="B15" s="7">
        <f>3500-B14</f>
        <v>2800</v>
      </c>
    </row>
  </sheetData>
  <mergeCells count="1">
    <mergeCell ref="A1:B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Sheet'!B144</f>
        <v>Jalaja Maniyan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Sheet'!D144</f>
        <v>0</v>
      </c>
    </row>
    <row r="5" spans="1:2" s="8" customFormat="1" ht="19.899999999999999" customHeight="1" x14ac:dyDescent="0.25">
      <c r="A5" s="7" t="s">
        <v>15</v>
      </c>
      <c r="B5" s="7">
        <f>'Master Sheet'!E144</f>
        <v>0</v>
      </c>
    </row>
    <row r="6" spans="1:2" s="8" customFormat="1" ht="19.899999999999999" customHeight="1" x14ac:dyDescent="0.25">
      <c r="A6" s="7" t="s">
        <v>16</v>
      </c>
      <c r="B6" s="7">
        <f>'Master Sheet'!F144</f>
        <v>0</v>
      </c>
    </row>
    <row r="7" spans="1:2" s="8" customFormat="1" ht="19.899999999999999" customHeight="1" x14ac:dyDescent="0.25">
      <c r="A7" s="7" t="s">
        <v>17</v>
      </c>
      <c r="B7" s="7">
        <f>'Master Sheet'!G144</f>
        <v>0</v>
      </c>
    </row>
    <row r="8" spans="1:2" s="8" customFormat="1" ht="19.899999999999999" customHeight="1" x14ac:dyDescent="0.25">
      <c r="A8" s="7" t="s">
        <v>18</v>
      </c>
      <c r="B8" s="7">
        <f>'Master Sheet'!H144</f>
        <v>0</v>
      </c>
    </row>
    <row r="9" spans="1:2" s="8" customFormat="1" ht="19.899999999999999" customHeight="1" x14ac:dyDescent="0.25">
      <c r="A9" s="7" t="s">
        <v>19</v>
      </c>
      <c r="B9" s="7">
        <f>'Master Sheet'!I144</f>
        <v>0</v>
      </c>
    </row>
    <row r="10" spans="1:2" s="8" customFormat="1" ht="19.899999999999999" customHeight="1" x14ac:dyDescent="0.25">
      <c r="A10" s="7" t="s">
        <v>20</v>
      </c>
      <c r="B10" s="7">
        <f>'Master Sheet'!J144</f>
        <v>0</v>
      </c>
    </row>
    <row r="11" spans="1:2" s="8" customFormat="1" ht="19.899999999999999" customHeight="1" x14ac:dyDescent="0.25">
      <c r="A11" s="7" t="s">
        <v>21</v>
      </c>
      <c r="B11" s="7">
        <f>'Master Sheet'!K144</f>
        <v>0</v>
      </c>
    </row>
    <row r="12" spans="1:2" s="8" customFormat="1" ht="19.899999999999999" customHeight="1" x14ac:dyDescent="0.25">
      <c r="A12" s="7" t="s">
        <v>22</v>
      </c>
      <c r="B12" s="7">
        <f>'Master Sheet'!L144</f>
        <v>0</v>
      </c>
    </row>
    <row r="13" spans="1:2" s="8" customFormat="1" ht="19.899999999999999" customHeight="1" x14ac:dyDescent="0.25">
      <c r="A13" s="7" t="s">
        <v>23</v>
      </c>
      <c r="B13" s="7">
        <f>'Master Sheet'!M144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0</v>
      </c>
    </row>
    <row r="15" spans="1:2" s="8" customFormat="1" ht="19.899999999999999" customHeight="1" x14ac:dyDescent="0.25">
      <c r="A15" s="7" t="s">
        <v>25</v>
      </c>
      <c r="B15" s="7">
        <f>3500-B14</f>
        <v>3500</v>
      </c>
    </row>
  </sheetData>
  <mergeCells count="1">
    <mergeCell ref="A1:B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Sheet'!B145</f>
        <v>Ambily Vijayan Vazhakunnam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Sheet'!D145</f>
        <v>350</v>
      </c>
    </row>
    <row r="5" spans="1:2" s="8" customFormat="1" ht="19.899999999999999" customHeight="1" x14ac:dyDescent="0.25">
      <c r="A5" s="7" t="s">
        <v>15</v>
      </c>
      <c r="B5" s="7">
        <f>'Master Sheet'!E145</f>
        <v>350</v>
      </c>
    </row>
    <row r="6" spans="1:2" s="8" customFormat="1" ht="19.899999999999999" customHeight="1" x14ac:dyDescent="0.25">
      <c r="A6" s="7" t="s">
        <v>16</v>
      </c>
      <c r="B6" s="7">
        <f>'Master Sheet'!F145</f>
        <v>350</v>
      </c>
    </row>
    <row r="7" spans="1:2" s="8" customFormat="1" ht="19.899999999999999" customHeight="1" x14ac:dyDescent="0.25">
      <c r="A7" s="7" t="s">
        <v>17</v>
      </c>
      <c r="B7" s="7">
        <f>'Master Sheet'!G145</f>
        <v>0</v>
      </c>
    </row>
    <row r="8" spans="1:2" s="8" customFormat="1" ht="19.899999999999999" customHeight="1" x14ac:dyDescent="0.25">
      <c r="A8" s="7" t="s">
        <v>18</v>
      </c>
      <c r="B8" s="7">
        <f>'Master Sheet'!H145</f>
        <v>0</v>
      </c>
    </row>
    <row r="9" spans="1:2" s="8" customFormat="1" ht="19.899999999999999" customHeight="1" x14ac:dyDescent="0.25">
      <c r="A9" s="7" t="s">
        <v>19</v>
      </c>
      <c r="B9" s="7">
        <f>'Master Sheet'!I145</f>
        <v>0</v>
      </c>
    </row>
    <row r="10" spans="1:2" s="8" customFormat="1" ht="19.899999999999999" customHeight="1" x14ac:dyDescent="0.25">
      <c r="A10" s="7" t="s">
        <v>20</v>
      </c>
      <c r="B10" s="7">
        <f>'Master Sheet'!J145</f>
        <v>0</v>
      </c>
    </row>
    <row r="11" spans="1:2" s="8" customFormat="1" ht="19.899999999999999" customHeight="1" x14ac:dyDescent="0.25">
      <c r="A11" s="7" t="s">
        <v>21</v>
      </c>
      <c r="B11" s="7">
        <f>'Master Sheet'!K145</f>
        <v>0</v>
      </c>
    </row>
    <row r="12" spans="1:2" s="8" customFormat="1" ht="19.899999999999999" customHeight="1" x14ac:dyDescent="0.25">
      <c r="A12" s="7" t="s">
        <v>22</v>
      </c>
      <c r="B12" s="7">
        <f>'Master Sheet'!L145</f>
        <v>0</v>
      </c>
    </row>
    <row r="13" spans="1:2" s="8" customFormat="1" ht="19.899999999999999" customHeight="1" x14ac:dyDescent="0.25">
      <c r="A13" s="7" t="s">
        <v>23</v>
      </c>
      <c r="B13" s="7">
        <f>'Master Sheet'!M145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Sheet'!B146</f>
        <v>Soubhagya Vazhakunnam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Sheet'!D146</f>
        <v>350</v>
      </c>
    </row>
    <row r="5" spans="1:2" s="8" customFormat="1" ht="19.899999999999999" customHeight="1" x14ac:dyDescent="0.25">
      <c r="A5" s="7" t="s">
        <v>15</v>
      </c>
      <c r="B5" s="7">
        <f>'Master Sheet'!E146</f>
        <v>350</v>
      </c>
    </row>
    <row r="6" spans="1:2" s="8" customFormat="1" ht="19.899999999999999" customHeight="1" x14ac:dyDescent="0.25">
      <c r="A6" s="7" t="s">
        <v>16</v>
      </c>
      <c r="B6" s="7">
        <f>'Master Sheet'!F146</f>
        <v>350</v>
      </c>
    </row>
    <row r="7" spans="1:2" s="8" customFormat="1" ht="19.899999999999999" customHeight="1" x14ac:dyDescent="0.25">
      <c r="A7" s="7" t="s">
        <v>17</v>
      </c>
      <c r="B7" s="7">
        <f>'Master Sheet'!G146</f>
        <v>0</v>
      </c>
    </row>
    <row r="8" spans="1:2" s="8" customFormat="1" ht="19.899999999999999" customHeight="1" x14ac:dyDescent="0.25">
      <c r="A8" s="7" t="s">
        <v>18</v>
      </c>
      <c r="B8" s="7">
        <f>'Master Sheet'!H146</f>
        <v>0</v>
      </c>
    </row>
    <row r="9" spans="1:2" s="8" customFormat="1" ht="19.899999999999999" customHeight="1" x14ac:dyDescent="0.25">
      <c r="A9" s="7" t="s">
        <v>19</v>
      </c>
      <c r="B9" s="7">
        <f>'Master Sheet'!I146</f>
        <v>0</v>
      </c>
    </row>
    <row r="10" spans="1:2" s="8" customFormat="1" ht="19.899999999999999" customHeight="1" x14ac:dyDescent="0.25">
      <c r="A10" s="7" t="s">
        <v>20</v>
      </c>
      <c r="B10" s="7">
        <f>'Master Sheet'!J146</f>
        <v>0</v>
      </c>
    </row>
    <row r="11" spans="1:2" s="8" customFormat="1" ht="19.899999999999999" customHeight="1" x14ac:dyDescent="0.25">
      <c r="A11" s="7" t="s">
        <v>21</v>
      </c>
      <c r="B11" s="7">
        <f>'Master Sheet'!K146</f>
        <v>0</v>
      </c>
    </row>
    <row r="12" spans="1:2" s="8" customFormat="1" ht="19.899999999999999" customHeight="1" x14ac:dyDescent="0.25">
      <c r="A12" s="7" t="s">
        <v>22</v>
      </c>
      <c r="B12" s="7">
        <f>'Master Sheet'!L146</f>
        <v>0</v>
      </c>
    </row>
    <row r="13" spans="1:2" s="8" customFormat="1" ht="19.899999999999999" customHeight="1" x14ac:dyDescent="0.25">
      <c r="A13" s="7" t="s">
        <v>23</v>
      </c>
      <c r="B13" s="7">
        <f>'Master Sheet'!M146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Sheet'!B147</f>
        <v>Saji Poovathur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Sheet'!D147</f>
        <v>350</v>
      </c>
    </row>
    <row r="5" spans="1:2" s="8" customFormat="1" ht="19.899999999999999" customHeight="1" x14ac:dyDescent="0.25">
      <c r="A5" s="7" t="s">
        <v>15</v>
      </c>
      <c r="B5" s="7">
        <f>'Master Sheet'!E147</f>
        <v>0</v>
      </c>
    </row>
    <row r="6" spans="1:2" s="8" customFormat="1" ht="19.899999999999999" customHeight="1" x14ac:dyDescent="0.25">
      <c r="A6" s="7" t="s">
        <v>16</v>
      </c>
      <c r="B6" s="7">
        <f>'Master Sheet'!F147</f>
        <v>0</v>
      </c>
    </row>
    <row r="7" spans="1:2" s="8" customFormat="1" ht="19.899999999999999" customHeight="1" x14ac:dyDescent="0.25">
      <c r="A7" s="7" t="s">
        <v>17</v>
      </c>
      <c r="B7" s="7">
        <f>'Master Sheet'!G147</f>
        <v>0</v>
      </c>
    </row>
    <row r="8" spans="1:2" s="8" customFormat="1" ht="19.899999999999999" customHeight="1" x14ac:dyDescent="0.25">
      <c r="A8" s="7" t="s">
        <v>18</v>
      </c>
      <c r="B8" s="7">
        <f>'Master Sheet'!H147</f>
        <v>0</v>
      </c>
    </row>
    <row r="9" spans="1:2" s="8" customFormat="1" ht="19.899999999999999" customHeight="1" x14ac:dyDescent="0.25">
      <c r="A9" s="7" t="s">
        <v>19</v>
      </c>
      <c r="B9" s="7">
        <f>'Master Sheet'!I147</f>
        <v>0</v>
      </c>
    </row>
    <row r="10" spans="1:2" s="8" customFormat="1" ht="19.899999999999999" customHeight="1" x14ac:dyDescent="0.25">
      <c r="A10" s="7" t="s">
        <v>20</v>
      </c>
      <c r="B10" s="7">
        <f>'Master Sheet'!J147</f>
        <v>0</v>
      </c>
    </row>
    <row r="11" spans="1:2" s="8" customFormat="1" ht="19.899999999999999" customHeight="1" x14ac:dyDescent="0.25">
      <c r="A11" s="7" t="s">
        <v>21</v>
      </c>
      <c r="B11" s="7">
        <f>'Master Sheet'!K147</f>
        <v>0</v>
      </c>
    </row>
    <row r="12" spans="1:2" s="8" customFormat="1" ht="19.899999999999999" customHeight="1" x14ac:dyDescent="0.25">
      <c r="A12" s="7" t="s">
        <v>22</v>
      </c>
      <c r="B12" s="7">
        <f>'Master Sheet'!L147</f>
        <v>0</v>
      </c>
    </row>
    <row r="13" spans="1:2" s="8" customFormat="1" ht="19.899999999999999" customHeight="1" x14ac:dyDescent="0.25">
      <c r="A13" s="7" t="s">
        <v>23</v>
      </c>
      <c r="B13" s="7">
        <f>'Master Sheet'!M147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Sheet'!B148</f>
        <v>Smitha Sadanadan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Sheet'!D148</f>
        <v>350</v>
      </c>
    </row>
    <row r="5" spans="1:2" s="8" customFormat="1" ht="19.899999999999999" customHeight="1" x14ac:dyDescent="0.25">
      <c r="A5" s="7" t="s">
        <v>15</v>
      </c>
      <c r="B5" s="7">
        <f>'Master Sheet'!E148</f>
        <v>350</v>
      </c>
    </row>
    <row r="6" spans="1:2" s="8" customFormat="1" ht="19.899999999999999" customHeight="1" x14ac:dyDescent="0.25">
      <c r="A6" s="7" t="s">
        <v>16</v>
      </c>
      <c r="B6" s="7">
        <f>'Master Sheet'!F148</f>
        <v>350</v>
      </c>
    </row>
    <row r="7" spans="1:2" s="8" customFormat="1" ht="19.899999999999999" customHeight="1" x14ac:dyDescent="0.25">
      <c r="A7" s="7" t="s">
        <v>17</v>
      </c>
      <c r="B7" s="7">
        <f>'Master Sheet'!G148</f>
        <v>0</v>
      </c>
    </row>
    <row r="8" spans="1:2" s="8" customFormat="1" ht="19.899999999999999" customHeight="1" x14ac:dyDescent="0.25">
      <c r="A8" s="7" t="s">
        <v>18</v>
      </c>
      <c r="B8" s="7">
        <f>'Master Sheet'!H148</f>
        <v>0</v>
      </c>
    </row>
    <row r="9" spans="1:2" s="8" customFormat="1" ht="19.899999999999999" customHeight="1" x14ac:dyDescent="0.25">
      <c r="A9" s="7" t="s">
        <v>19</v>
      </c>
      <c r="B9" s="7">
        <f>'Master Sheet'!I148</f>
        <v>0</v>
      </c>
    </row>
    <row r="10" spans="1:2" s="8" customFormat="1" ht="19.899999999999999" customHeight="1" x14ac:dyDescent="0.25">
      <c r="A10" s="7" t="s">
        <v>20</v>
      </c>
      <c r="B10" s="7">
        <f>'Master Sheet'!J148</f>
        <v>0</v>
      </c>
    </row>
    <row r="11" spans="1:2" s="8" customFormat="1" ht="19.899999999999999" customHeight="1" x14ac:dyDescent="0.25">
      <c r="A11" s="7" t="s">
        <v>21</v>
      </c>
      <c r="B11" s="7">
        <f>'Master Sheet'!K148</f>
        <v>0</v>
      </c>
    </row>
    <row r="12" spans="1:2" s="8" customFormat="1" ht="19.899999999999999" customHeight="1" x14ac:dyDescent="0.25">
      <c r="A12" s="7" t="s">
        <v>22</v>
      </c>
      <c r="B12" s="7">
        <f>'Master Sheet'!L148</f>
        <v>0</v>
      </c>
    </row>
    <row r="13" spans="1:2" s="8" customFormat="1" ht="19.899999999999999" customHeight="1" x14ac:dyDescent="0.25">
      <c r="A13" s="7" t="s">
        <v>23</v>
      </c>
      <c r="B13" s="7">
        <f>'Master Sheet'!M148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Sheet'!B149</f>
        <v>Suresh Babu K.R Othara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Sheet'!D149</f>
        <v>350</v>
      </c>
    </row>
    <row r="5" spans="1:2" s="8" customFormat="1" ht="19.899999999999999" customHeight="1" x14ac:dyDescent="0.25">
      <c r="A5" s="7" t="s">
        <v>15</v>
      </c>
      <c r="B5" s="7">
        <f>'Master Sheet'!E149</f>
        <v>0</v>
      </c>
    </row>
    <row r="6" spans="1:2" s="8" customFormat="1" ht="19.899999999999999" customHeight="1" x14ac:dyDescent="0.25">
      <c r="A6" s="7" t="s">
        <v>16</v>
      </c>
      <c r="B6" s="7">
        <f>'Master Sheet'!F149</f>
        <v>0</v>
      </c>
    </row>
    <row r="7" spans="1:2" s="8" customFormat="1" ht="19.899999999999999" customHeight="1" x14ac:dyDescent="0.25">
      <c r="A7" s="7" t="s">
        <v>17</v>
      </c>
      <c r="B7" s="7">
        <f>'Master Sheet'!G149</f>
        <v>0</v>
      </c>
    </row>
    <row r="8" spans="1:2" s="8" customFormat="1" ht="19.899999999999999" customHeight="1" x14ac:dyDescent="0.25">
      <c r="A8" s="7" t="s">
        <v>18</v>
      </c>
      <c r="B8" s="7">
        <f>'Master Sheet'!H149</f>
        <v>0</v>
      </c>
    </row>
    <row r="9" spans="1:2" s="8" customFormat="1" ht="19.899999999999999" customHeight="1" x14ac:dyDescent="0.25">
      <c r="A9" s="7" t="s">
        <v>19</v>
      </c>
      <c r="B9" s="7">
        <f>'Master Sheet'!I149</f>
        <v>0</v>
      </c>
    </row>
    <row r="10" spans="1:2" s="8" customFormat="1" ht="19.899999999999999" customHeight="1" x14ac:dyDescent="0.25">
      <c r="A10" s="7" t="s">
        <v>20</v>
      </c>
      <c r="B10" s="7">
        <f>'Master Sheet'!J149</f>
        <v>0</v>
      </c>
    </row>
    <row r="11" spans="1:2" s="8" customFormat="1" ht="19.899999999999999" customHeight="1" x14ac:dyDescent="0.25">
      <c r="A11" s="7" t="s">
        <v>21</v>
      </c>
      <c r="B11" s="7">
        <f>'Master Sheet'!K149</f>
        <v>0</v>
      </c>
    </row>
    <row r="12" spans="1:2" s="8" customFormat="1" ht="19.899999999999999" customHeight="1" x14ac:dyDescent="0.25">
      <c r="A12" s="7" t="s">
        <v>22</v>
      </c>
      <c r="B12" s="7">
        <f>'Master Sheet'!L149</f>
        <v>0</v>
      </c>
    </row>
    <row r="13" spans="1:2" s="8" customFormat="1" ht="19.899999999999999" customHeight="1" x14ac:dyDescent="0.25">
      <c r="A13" s="7" t="s">
        <v>23</v>
      </c>
      <c r="B13" s="7">
        <f>'Master Sheet'!M149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Sheet'!B150</f>
        <v>Latha Mullanical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Sheet'!D150</f>
        <v>350</v>
      </c>
    </row>
    <row r="5" spans="1:2" s="8" customFormat="1" ht="19.899999999999999" customHeight="1" x14ac:dyDescent="0.25">
      <c r="A5" s="7" t="s">
        <v>15</v>
      </c>
      <c r="B5" s="7">
        <f>'Master Sheet'!E150</f>
        <v>0</v>
      </c>
    </row>
    <row r="6" spans="1:2" s="8" customFormat="1" ht="19.899999999999999" customHeight="1" x14ac:dyDescent="0.25">
      <c r="A6" s="7" t="s">
        <v>16</v>
      </c>
      <c r="B6" s="7">
        <f>'Master Sheet'!F150</f>
        <v>0</v>
      </c>
    </row>
    <row r="7" spans="1:2" s="8" customFormat="1" ht="19.899999999999999" customHeight="1" x14ac:dyDescent="0.25">
      <c r="A7" s="7" t="s">
        <v>17</v>
      </c>
      <c r="B7" s="7">
        <f>'Master Sheet'!G150</f>
        <v>0</v>
      </c>
    </row>
    <row r="8" spans="1:2" s="8" customFormat="1" ht="19.899999999999999" customHeight="1" x14ac:dyDescent="0.25">
      <c r="A8" s="7" t="s">
        <v>18</v>
      </c>
      <c r="B8" s="7">
        <f>'Master Sheet'!H150</f>
        <v>0</v>
      </c>
    </row>
    <row r="9" spans="1:2" s="8" customFormat="1" ht="19.899999999999999" customHeight="1" x14ac:dyDescent="0.25">
      <c r="A9" s="7" t="s">
        <v>19</v>
      </c>
      <c r="B9" s="7">
        <f>'Master Sheet'!I150</f>
        <v>0</v>
      </c>
    </row>
    <row r="10" spans="1:2" s="8" customFormat="1" ht="19.899999999999999" customHeight="1" x14ac:dyDescent="0.25">
      <c r="A10" s="7" t="s">
        <v>20</v>
      </c>
      <c r="B10" s="7">
        <f>'Master Sheet'!J150</f>
        <v>0</v>
      </c>
    </row>
    <row r="11" spans="1:2" s="8" customFormat="1" ht="19.899999999999999" customHeight="1" x14ac:dyDescent="0.25">
      <c r="A11" s="7" t="s">
        <v>21</v>
      </c>
      <c r="B11" s="7">
        <f>'Master Sheet'!K150</f>
        <v>0</v>
      </c>
    </row>
    <row r="12" spans="1:2" s="8" customFormat="1" ht="19.899999999999999" customHeight="1" x14ac:dyDescent="0.25">
      <c r="A12" s="7" t="s">
        <v>22</v>
      </c>
      <c r="B12" s="7">
        <f>'Master Sheet'!L150</f>
        <v>0</v>
      </c>
    </row>
    <row r="13" spans="1:2" s="8" customFormat="1" ht="19.899999999999999" customHeight="1" x14ac:dyDescent="0.25">
      <c r="A13" s="7" t="s">
        <v>23</v>
      </c>
      <c r="B13" s="7">
        <f>'Master Sheet'!M150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350</v>
      </c>
    </row>
    <row r="15" spans="1:2" s="8" customFormat="1" ht="19.899999999999999" customHeight="1" x14ac:dyDescent="0.25">
      <c r="A15" s="7" t="s">
        <v>25</v>
      </c>
      <c r="B15" s="7">
        <f>3500-B14</f>
        <v>3150</v>
      </c>
    </row>
  </sheetData>
  <mergeCells count="1">
    <mergeCell ref="A1:B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Sheet'!B151</f>
        <v>Bindhu Melukara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Sheet'!D151</f>
        <v>350</v>
      </c>
    </row>
    <row r="5" spans="1:2" s="8" customFormat="1" ht="19.899999999999999" customHeight="1" x14ac:dyDescent="0.25">
      <c r="A5" s="7" t="s">
        <v>15</v>
      </c>
      <c r="B5" s="7">
        <f>'Master Sheet'!E151</f>
        <v>350</v>
      </c>
    </row>
    <row r="6" spans="1:2" s="8" customFormat="1" ht="19.899999999999999" customHeight="1" x14ac:dyDescent="0.25">
      <c r="A6" s="7" t="s">
        <v>16</v>
      </c>
      <c r="B6" s="7">
        <f>'Master Sheet'!F151</f>
        <v>0</v>
      </c>
    </row>
    <row r="7" spans="1:2" s="8" customFormat="1" ht="19.899999999999999" customHeight="1" x14ac:dyDescent="0.25">
      <c r="A7" s="7" t="s">
        <v>17</v>
      </c>
      <c r="B7" s="7">
        <f>'Master Sheet'!G151</f>
        <v>0</v>
      </c>
    </row>
    <row r="8" spans="1:2" s="8" customFormat="1" ht="19.899999999999999" customHeight="1" x14ac:dyDescent="0.25">
      <c r="A8" s="7" t="s">
        <v>18</v>
      </c>
      <c r="B8" s="7">
        <f>'Master Sheet'!H151</f>
        <v>0</v>
      </c>
    </row>
    <row r="9" spans="1:2" s="8" customFormat="1" ht="19.899999999999999" customHeight="1" x14ac:dyDescent="0.25">
      <c r="A9" s="7" t="s">
        <v>19</v>
      </c>
      <c r="B9" s="7">
        <f>'Master Sheet'!I151</f>
        <v>0</v>
      </c>
    </row>
    <row r="10" spans="1:2" s="8" customFormat="1" ht="19.899999999999999" customHeight="1" x14ac:dyDescent="0.25">
      <c r="A10" s="7" t="s">
        <v>20</v>
      </c>
      <c r="B10" s="7">
        <f>'Master Sheet'!J151</f>
        <v>0</v>
      </c>
    </row>
    <row r="11" spans="1:2" s="8" customFormat="1" ht="19.899999999999999" customHeight="1" x14ac:dyDescent="0.25">
      <c r="A11" s="7" t="s">
        <v>21</v>
      </c>
      <c r="B11" s="7">
        <f>'Master Sheet'!K151</f>
        <v>0</v>
      </c>
    </row>
    <row r="12" spans="1:2" s="8" customFormat="1" ht="19.899999999999999" customHeight="1" x14ac:dyDescent="0.25">
      <c r="A12" s="7" t="s">
        <v>22</v>
      </c>
      <c r="B12" s="7">
        <f>'Master Sheet'!L151</f>
        <v>0</v>
      </c>
    </row>
    <row r="13" spans="1:2" s="8" customFormat="1" ht="19.899999999999999" customHeight="1" x14ac:dyDescent="0.25">
      <c r="A13" s="7" t="s">
        <v>23</v>
      </c>
      <c r="B13" s="7">
        <f>'Master Sheet'!M151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700</v>
      </c>
    </row>
    <row r="15" spans="1:2" s="8" customFormat="1" ht="19.899999999999999" customHeight="1" x14ac:dyDescent="0.25">
      <c r="A15" s="7" t="s">
        <v>25</v>
      </c>
      <c r="B15" s="7">
        <f>3500-B14</f>
        <v>2800</v>
      </c>
    </row>
  </sheetData>
  <mergeCells count="1">
    <mergeCell ref="A1:B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2" sqref="B2"/>
    </sheetView>
  </sheetViews>
  <sheetFormatPr defaultRowHeight="15" x14ac:dyDescent="0.25"/>
  <cols>
    <col min="1" max="1" width="8.28515625" customWidth="1"/>
    <col min="2" max="2" width="24.7109375" customWidth="1"/>
  </cols>
  <sheetData>
    <row r="1" spans="1:2" s="8" customFormat="1" ht="19.899999999999999" customHeight="1" x14ac:dyDescent="0.25">
      <c r="A1" s="28" t="s">
        <v>179</v>
      </c>
      <c r="B1" s="28"/>
    </row>
    <row r="2" spans="1:2" s="8" customFormat="1" ht="19.899999999999999" customHeight="1" x14ac:dyDescent="0.25">
      <c r="A2" s="16" t="s">
        <v>12</v>
      </c>
      <c r="B2" s="17" t="str">
        <f>'Master Sheet'!B152</f>
        <v>Ardra R.Nath</v>
      </c>
    </row>
    <row r="3" spans="1:2" s="8" customFormat="1" ht="19.899999999999999" customHeight="1" x14ac:dyDescent="0.25">
      <c r="A3" s="16" t="s">
        <v>176</v>
      </c>
      <c r="B3" s="16" t="s">
        <v>177</v>
      </c>
    </row>
    <row r="4" spans="1:2" s="8" customFormat="1" ht="19.899999999999999" customHeight="1" x14ac:dyDescent="0.25">
      <c r="A4" s="7" t="s">
        <v>14</v>
      </c>
      <c r="B4" s="7">
        <f>'Master Sheet'!D152</f>
        <v>350</v>
      </c>
    </row>
    <row r="5" spans="1:2" s="8" customFormat="1" ht="19.899999999999999" customHeight="1" x14ac:dyDescent="0.25">
      <c r="A5" s="7" t="s">
        <v>15</v>
      </c>
      <c r="B5" s="7">
        <f>'Master Sheet'!E152</f>
        <v>350</v>
      </c>
    </row>
    <row r="6" spans="1:2" s="8" customFormat="1" ht="19.899999999999999" customHeight="1" x14ac:dyDescent="0.25">
      <c r="A6" s="7" t="s">
        <v>16</v>
      </c>
      <c r="B6" s="7">
        <f>'Master Sheet'!F152</f>
        <v>350</v>
      </c>
    </row>
    <row r="7" spans="1:2" s="8" customFormat="1" ht="19.899999999999999" customHeight="1" x14ac:dyDescent="0.25">
      <c r="A7" s="7" t="s">
        <v>17</v>
      </c>
      <c r="B7" s="7">
        <f>'Master Sheet'!G152</f>
        <v>0</v>
      </c>
    </row>
    <row r="8" spans="1:2" s="8" customFormat="1" ht="19.899999999999999" customHeight="1" x14ac:dyDescent="0.25">
      <c r="A8" s="7" t="s">
        <v>18</v>
      </c>
      <c r="B8" s="7">
        <f>'Master Sheet'!H152</f>
        <v>0</v>
      </c>
    </row>
    <row r="9" spans="1:2" s="8" customFormat="1" ht="19.899999999999999" customHeight="1" x14ac:dyDescent="0.25">
      <c r="A9" s="7" t="s">
        <v>19</v>
      </c>
      <c r="B9" s="7">
        <f>'Master Sheet'!I152</f>
        <v>0</v>
      </c>
    </row>
    <row r="10" spans="1:2" s="8" customFormat="1" ht="19.899999999999999" customHeight="1" x14ac:dyDescent="0.25">
      <c r="A10" s="7" t="s">
        <v>20</v>
      </c>
      <c r="B10" s="7">
        <f>'Master Sheet'!J152</f>
        <v>0</v>
      </c>
    </row>
    <row r="11" spans="1:2" s="8" customFormat="1" ht="19.899999999999999" customHeight="1" x14ac:dyDescent="0.25">
      <c r="A11" s="7" t="s">
        <v>21</v>
      </c>
      <c r="B11" s="7">
        <f>'Master Sheet'!K152</f>
        <v>0</v>
      </c>
    </row>
    <row r="12" spans="1:2" s="8" customFormat="1" ht="19.899999999999999" customHeight="1" x14ac:dyDescent="0.25">
      <c r="A12" s="7" t="s">
        <v>22</v>
      </c>
      <c r="B12" s="7">
        <f>'Master Sheet'!L152</f>
        <v>0</v>
      </c>
    </row>
    <row r="13" spans="1:2" s="8" customFormat="1" ht="19.899999999999999" customHeight="1" x14ac:dyDescent="0.25">
      <c r="A13" s="7" t="s">
        <v>23</v>
      </c>
      <c r="B13" s="7">
        <f>'Master Sheet'!M152</f>
        <v>0</v>
      </c>
    </row>
    <row r="14" spans="1:2" s="8" customFormat="1" ht="19.899999999999999" customHeight="1" x14ac:dyDescent="0.25">
      <c r="A14" s="7" t="s">
        <v>178</v>
      </c>
      <c r="B14" s="7">
        <f>SUM(B4:B13)</f>
        <v>1050</v>
      </c>
    </row>
    <row r="15" spans="1:2" s="8" customFormat="1" ht="19.899999999999999" customHeight="1" x14ac:dyDescent="0.25">
      <c r="A15" s="7" t="s">
        <v>25</v>
      </c>
      <c r="B15" s="7">
        <f>3500-B14</f>
        <v>2450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160</vt:i4>
      </vt:variant>
      <vt:variant>
        <vt:lpstr>Named Ranges</vt:lpstr>
      </vt:variant>
      <vt:variant>
        <vt:i4>9</vt:i4>
      </vt:variant>
    </vt:vector>
  </HeadingPairs>
  <TitlesOfParts>
    <vt:vector size="169" baseType="lpstr">
      <vt:lpstr>Dashboard</vt:lpstr>
      <vt:lpstr>Master Sheet</vt:lpstr>
      <vt:lpstr>Area 1 (Meenu S)</vt:lpstr>
      <vt:lpstr>Area 2 (Viswakala S)</vt:lpstr>
      <vt:lpstr>Area 3 (Saranya R)</vt:lpstr>
      <vt:lpstr>Area 4 (Anitha R)</vt:lpstr>
      <vt:lpstr>Area 5 (Renuka A)</vt:lpstr>
      <vt:lpstr>Area 6 (Anitha P)</vt:lpstr>
      <vt:lpstr>Area 7 (Anu R)</vt:lpstr>
      <vt:lpstr>P001</vt:lpstr>
      <vt:lpstr>P002</vt:lpstr>
      <vt:lpstr>P003</vt:lpstr>
      <vt:lpstr>P004</vt:lpstr>
      <vt:lpstr>P005</vt:lpstr>
      <vt:lpstr>P006</vt:lpstr>
      <vt:lpstr>P007</vt:lpstr>
      <vt:lpstr>P008</vt:lpstr>
      <vt:lpstr>P009</vt:lpstr>
      <vt:lpstr>P010</vt:lpstr>
      <vt:lpstr>P011</vt:lpstr>
      <vt:lpstr>P012</vt:lpstr>
      <vt:lpstr>P013</vt:lpstr>
      <vt:lpstr>P014</vt:lpstr>
      <vt:lpstr>P015</vt:lpstr>
      <vt:lpstr>P016</vt:lpstr>
      <vt:lpstr>P017</vt:lpstr>
      <vt:lpstr>P018</vt:lpstr>
      <vt:lpstr>P019</vt:lpstr>
      <vt:lpstr>P020</vt:lpstr>
      <vt:lpstr>P021</vt:lpstr>
      <vt:lpstr>P022</vt:lpstr>
      <vt:lpstr>P023</vt:lpstr>
      <vt:lpstr>P024</vt:lpstr>
      <vt:lpstr>P025</vt:lpstr>
      <vt:lpstr>P026</vt:lpstr>
      <vt:lpstr>P027</vt:lpstr>
      <vt:lpstr>P028</vt:lpstr>
      <vt:lpstr>P029</vt:lpstr>
      <vt:lpstr>P030</vt:lpstr>
      <vt:lpstr>P031</vt:lpstr>
      <vt:lpstr>P032</vt:lpstr>
      <vt:lpstr>P033</vt:lpstr>
      <vt:lpstr>P034</vt:lpstr>
      <vt:lpstr>P035</vt:lpstr>
      <vt:lpstr>P036</vt:lpstr>
      <vt:lpstr>P037</vt:lpstr>
      <vt:lpstr>P038</vt:lpstr>
      <vt:lpstr>P039</vt:lpstr>
      <vt:lpstr>P040</vt:lpstr>
      <vt:lpstr>P041</vt:lpstr>
      <vt:lpstr>P042</vt:lpstr>
      <vt:lpstr>P043</vt:lpstr>
      <vt:lpstr>P044</vt:lpstr>
      <vt:lpstr>P045</vt:lpstr>
      <vt:lpstr>P046</vt:lpstr>
      <vt:lpstr>P047</vt:lpstr>
      <vt:lpstr>P048</vt:lpstr>
      <vt:lpstr>P049</vt:lpstr>
      <vt:lpstr>P050</vt:lpstr>
      <vt:lpstr>P051</vt:lpstr>
      <vt:lpstr>P052</vt:lpstr>
      <vt:lpstr>P053</vt:lpstr>
      <vt:lpstr>P054</vt:lpstr>
      <vt:lpstr>P055</vt:lpstr>
      <vt:lpstr>P056</vt:lpstr>
      <vt:lpstr>P057</vt:lpstr>
      <vt:lpstr>P058</vt:lpstr>
      <vt:lpstr>P059</vt:lpstr>
      <vt:lpstr>P060</vt:lpstr>
      <vt:lpstr>P061</vt:lpstr>
      <vt:lpstr>P062</vt:lpstr>
      <vt:lpstr>P063</vt:lpstr>
      <vt:lpstr>P064</vt:lpstr>
      <vt:lpstr>P065</vt:lpstr>
      <vt:lpstr>P066</vt:lpstr>
      <vt:lpstr>P067</vt:lpstr>
      <vt:lpstr>P068</vt:lpstr>
      <vt:lpstr>P069</vt:lpstr>
      <vt:lpstr>P070</vt:lpstr>
      <vt:lpstr>P071</vt:lpstr>
      <vt:lpstr>P072</vt:lpstr>
      <vt:lpstr>P073</vt:lpstr>
      <vt:lpstr>P074</vt:lpstr>
      <vt:lpstr>P075</vt:lpstr>
      <vt:lpstr>P076</vt:lpstr>
      <vt:lpstr>P077</vt:lpstr>
      <vt:lpstr>P078</vt:lpstr>
      <vt:lpstr>P079</vt:lpstr>
      <vt:lpstr>P080</vt:lpstr>
      <vt:lpstr>P081</vt:lpstr>
      <vt:lpstr>P082</vt:lpstr>
      <vt:lpstr>P083</vt:lpstr>
      <vt:lpstr>P084</vt:lpstr>
      <vt:lpstr>P085</vt:lpstr>
      <vt:lpstr>P086</vt:lpstr>
      <vt:lpstr>P087</vt:lpstr>
      <vt:lpstr>P088</vt:lpstr>
      <vt:lpstr>P089</vt:lpstr>
      <vt:lpstr>P090</vt:lpstr>
      <vt:lpstr>P091</vt:lpstr>
      <vt:lpstr>P092</vt:lpstr>
      <vt:lpstr>P093</vt:lpstr>
      <vt:lpstr>P094</vt:lpstr>
      <vt:lpstr>P095</vt:lpstr>
      <vt:lpstr>P096</vt:lpstr>
      <vt:lpstr>P097</vt:lpstr>
      <vt:lpstr>P098</vt:lpstr>
      <vt:lpstr>P099</vt:lpstr>
      <vt:lpstr>P100</vt:lpstr>
      <vt:lpstr>P101</vt:lpstr>
      <vt:lpstr>P102</vt:lpstr>
      <vt:lpstr>P103</vt:lpstr>
      <vt:lpstr>P104</vt:lpstr>
      <vt:lpstr>P105</vt:lpstr>
      <vt:lpstr>P106</vt:lpstr>
      <vt:lpstr>P107</vt:lpstr>
      <vt:lpstr>P108</vt:lpstr>
      <vt:lpstr>P109</vt:lpstr>
      <vt:lpstr>P110</vt:lpstr>
      <vt:lpstr>P111</vt:lpstr>
      <vt:lpstr>P112</vt:lpstr>
      <vt:lpstr>P113</vt:lpstr>
      <vt:lpstr>P114</vt:lpstr>
      <vt:lpstr>P115</vt:lpstr>
      <vt:lpstr>P116</vt:lpstr>
      <vt:lpstr>P117</vt:lpstr>
      <vt:lpstr>P118</vt:lpstr>
      <vt:lpstr>P119</vt:lpstr>
      <vt:lpstr>P120</vt:lpstr>
      <vt:lpstr>P121</vt:lpstr>
      <vt:lpstr>P122</vt:lpstr>
      <vt:lpstr>P123</vt:lpstr>
      <vt:lpstr>P124</vt:lpstr>
      <vt:lpstr>P125</vt:lpstr>
      <vt:lpstr>P126</vt:lpstr>
      <vt:lpstr>P127</vt:lpstr>
      <vt:lpstr>P128</vt:lpstr>
      <vt:lpstr>P129</vt:lpstr>
      <vt:lpstr>P130</vt:lpstr>
      <vt:lpstr>P131</vt:lpstr>
      <vt:lpstr>P132</vt:lpstr>
      <vt:lpstr>P133</vt:lpstr>
      <vt:lpstr>P134</vt:lpstr>
      <vt:lpstr>P135</vt:lpstr>
      <vt:lpstr>P136</vt:lpstr>
      <vt:lpstr>P137</vt:lpstr>
      <vt:lpstr>P138</vt:lpstr>
      <vt:lpstr>P139</vt:lpstr>
      <vt:lpstr>P140</vt:lpstr>
      <vt:lpstr>P141</vt:lpstr>
      <vt:lpstr>P142</vt:lpstr>
      <vt:lpstr>P143</vt:lpstr>
      <vt:lpstr>P144</vt:lpstr>
      <vt:lpstr>P145</vt:lpstr>
      <vt:lpstr>P146</vt:lpstr>
      <vt:lpstr>P147</vt:lpstr>
      <vt:lpstr>P148</vt:lpstr>
      <vt:lpstr>P149</vt:lpstr>
      <vt:lpstr>P150</vt:lpstr>
      <vt:lpstr>P151</vt:lpstr>
      <vt:lpstr>'Area 1 (Meenu S)'!Print_Area</vt:lpstr>
      <vt:lpstr>'Area 2 (Viswakala S)'!Print_Area</vt:lpstr>
      <vt:lpstr>'Area 3 (Saranya R)'!Print_Area</vt:lpstr>
      <vt:lpstr>'Area 4 (Anitha R)'!Print_Area</vt:lpstr>
      <vt:lpstr>'Area 5 (Renuka A)'!Print_Area</vt:lpstr>
      <vt:lpstr>'Area 6 (Anitha P)'!Print_Area</vt:lpstr>
      <vt:lpstr>'Area 7 (Anu R)'!Print_Area</vt:lpstr>
      <vt:lpstr>'Master Sheet'!Print_Area</vt:lpstr>
      <vt:lpstr>'Area 7 (Anu R)'!Print_Titles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2026-02-24T05:55:16Z</cp:lastPrinted>
  <dcterms:created xsi:type="dcterms:W3CDTF">2026-01-12T06:18:41Z</dcterms:created>
  <dcterms:modified xsi:type="dcterms:W3CDTF">2026-02-24T06:00:01Z</dcterms:modified>
</cp:coreProperties>
</file>